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/>
  <mc:AlternateContent xmlns:mc="http://schemas.openxmlformats.org/markup-compatibility/2006">
    <mc:Choice Requires="x15">
      <x15ac:absPath xmlns:x15ac="http://schemas.microsoft.com/office/spreadsheetml/2010/11/ac" url="https://purdue0-my.sharepoint.com/personal/rsana_purdue_edu/Documents/Fall 2025-Prabhu’s MacBook Air/module 1 classes/MGMT 58200 Mgmt of Org Data/Group Project/Final report/"/>
    </mc:Choice>
  </mc:AlternateContent>
  <xr:revisionPtr revIDLastSave="0" documentId="8_{1E1A0426-9DAA-9442-9714-0E8F74906644}" xr6:coauthVersionLast="47" xr6:coauthVersionMax="47" xr10:uidLastSave="{00000000-0000-0000-0000-000000000000}"/>
  <bookViews>
    <workbookView xWindow="780" yWindow="960" windowWidth="28340" windowHeight="16180" activeTab="1" xr2:uid="{8412632C-1D95-1846-A3E8-21D28BA78858}"/>
  </bookViews>
  <sheets>
    <sheet name="Q1 Total Visits By Brand" sheetId="1" r:id="rId1"/>
    <sheet name="Weekly visits" sheetId="13" r:id="rId2"/>
    <sheet name="Q1 Weekly Visits" sheetId="2" r:id="rId3"/>
    <sheet name="Q1 demographic factor" sheetId="8" r:id="rId4"/>
    <sheet name="Q3 Brand Stabilization" sheetId="11" r:id="rId5"/>
    <sheet name="Q2 Urban Rural Classification" sheetId="3" r:id="rId6"/>
    <sheet name="Q2 Heatmap" sheetId="6" r:id="rId7"/>
    <sheet name="Sheet2" sheetId="10" state="hidden" r:id="rId8"/>
    <sheet name="Texas county names" sheetId="9" state="hidden" r:id="rId9"/>
    <sheet name="Query 1" sheetId="4" r:id="rId10"/>
  </sheets>
  <definedNames>
    <definedName name="_xlnm._FilterDatabase" localSheetId="2" hidden="1">'Q1 Weekly Visits'!$B$1:$F$127</definedName>
    <definedName name="_xlnm._FilterDatabase" localSheetId="6" hidden="1">'Q2 Heatmap'!$AF$4:$AG$71</definedName>
    <definedName name="_xlchart.v5.0" hidden="1">'Q2 Heatmap'!$K$3</definedName>
    <definedName name="_xlchart.v5.1" hidden="1">'Q2 Heatmap'!$K$4:$K$55</definedName>
    <definedName name="_xlchart.v5.10" hidden="1">'Q2 Heatmap'!$R$4</definedName>
    <definedName name="_xlchart.v5.11" hidden="1">'Q2 Heatmap'!$R$5:$R$59</definedName>
    <definedName name="_xlchart.v5.2" hidden="1">'Q2 Heatmap'!$L$3</definedName>
    <definedName name="_xlchart.v5.3" hidden="1">'Q2 Heatmap'!$L$4:$L$55</definedName>
    <definedName name="_xlchart.v5.4" hidden="1">'Q2 Heatmap'!$W$4</definedName>
    <definedName name="_xlchart.v5.5" hidden="1">'Q2 Heatmap'!$W$5:$W$43</definedName>
    <definedName name="_xlchart.v5.6" hidden="1">'Q2 Heatmap'!$X$4</definedName>
    <definedName name="_xlchart.v5.7" hidden="1">'Q2 Heatmap'!$X$5:$X$43</definedName>
    <definedName name="_xlchart.v5.8" hidden="1">'Q2 Heatmap'!$Q$4</definedName>
    <definedName name="_xlchart.v5.9" hidden="1">'Q2 Heatmap'!$Q$5:$Q$59</definedName>
  </definedNames>
  <calcPr calcId="191028"/>
  <pivotCaches>
    <pivotCache cacheId="0" r:id="rId11"/>
    <pivotCache cacheId="1" r:id="rId12"/>
    <pivotCache cacheId="2" r:id="rId13"/>
    <pivotCache cacheId="3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4" i="6"/>
</calcChain>
</file>

<file path=xl/sharedStrings.xml><?xml version="1.0" encoding="utf-8"?>
<sst xmlns="http://schemas.openxmlformats.org/spreadsheetml/2006/main" count="12543" uniqueCount="1235">
  <si>
    <t>Row</t>
  </si>
  <si>
    <t>brand_name</t>
  </si>
  <si>
    <t>total_visits</t>
  </si>
  <si>
    <t>avg_dwell_time</t>
  </si>
  <si>
    <t>total_visits_for_scatterplot</t>
  </si>
  <si>
    <t>Staples</t>
  </si>
  <si>
    <t>Office Depot</t>
  </si>
  <si>
    <t>OfficeMax</t>
  </si>
  <si>
    <t>Cartridge World</t>
  </si>
  <si>
    <t>Papyrus</t>
  </si>
  <si>
    <t>Paper Source</t>
  </si>
  <si>
    <t>Rapid Refill</t>
  </si>
  <si>
    <t>week_start</t>
  </si>
  <si>
    <t>week_number</t>
  </si>
  <si>
    <t>weekly_visits</t>
  </si>
  <si>
    <t>W-01</t>
  </si>
  <si>
    <t>Sum of weekly_visits</t>
  </si>
  <si>
    <t>Column Labels</t>
  </si>
  <si>
    <t>W-02</t>
  </si>
  <si>
    <t>Row Labels</t>
  </si>
  <si>
    <t>Grand Total</t>
  </si>
  <si>
    <t>W-03</t>
  </si>
  <si>
    <t>W-04</t>
  </si>
  <si>
    <t>W-05</t>
  </si>
  <si>
    <t>W-06</t>
  </si>
  <si>
    <t>W-07</t>
  </si>
  <si>
    <t>W-08</t>
  </si>
  <si>
    <t>W-09</t>
  </si>
  <si>
    <t>W-10</t>
  </si>
  <si>
    <t>W-11</t>
  </si>
  <si>
    <t>W-12</t>
  </si>
  <si>
    <t>W-13</t>
  </si>
  <si>
    <t>W-14</t>
  </si>
  <si>
    <t>W-15</t>
  </si>
  <si>
    <t>W-16</t>
  </si>
  <si>
    <t>W-17</t>
  </si>
  <si>
    <t>W-18</t>
  </si>
  <si>
    <t>Research Question 1</t>
  </si>
  <si>
    <t>Weekly aggregation</t>
  </si>
  <si>
    <t>weekly visits ----
CREATE TABLE `group7-fa25-mgmt58200-final`.safegraph.Wekly_visit_Step_2 AS
WITH
parsed AS (
   SELECT
     v.date_range_start,
     v.date_range_end,
     b.brand_name,
     ARRAY(
       SELECT
         SAFE_CAST(x AS INT64)
       FROM
         UNNEST(SPLIT(REGEXP_REPLACE(v.visits_by_day, r'[\[\]\s]', ''), ',')) AS x
     ) AS visits_array
   FROM
     `group7-fa25-mgmt58200-final`.safegraph.visits AS v
     INNER JOIN
     `group7-fa25-mgmt58200-final`.safegraph.brands AS b
     ON v.safegraph_brand_ids = b.safegraph_brand_id
   WHERE
     b.naics_code = 453210
),
expanded AS (
   SELECT
     brand_name,
     date_range_start,
     date_range_end,
     TIMESTAMP_ADD(date_range_start, INTERVAL pos DAY) AS visit_date,
     value AS visits
   FROM
     parsed,
     UNNEST(visits_array) AS value WITH OFFSET AS pos
),
weekly_agg AS (
   SELECT
     brand_name,
     DATE_TRUNC(DATE(visit_date), WEEK(MONDAY)) AS week_start,
     SUM(visits) AS weekly_visits
   FROM
     expanded
   WHERE
     visit_date &gt;= TIMESTAMP('2020-01-01 05:00:00 UTC')
   GROUP BY brand_name, week_start
),
ranked_weeks AS (
   SELECT
     brand_name,
     week_start,
     -- Use a padding for consistent length, or extract numeric part for sorting
     CONCAT('W-', LPAD(CAST(ROW_NUMBER() OVER (PARTITION BY brand_name ORDER BY week_start) AS STRING), 2, '0')) AS week_number_padded,
     ROW_NUMBER() OVER (PARTITION BY brand_name ORDER BY week_start) AS week_sequence_num, -- New column for numeric sort
     weekly_visits
   FROM
     weekly_agg
)
SELECT
brand_name,
week_start,
week_number_padded AS week_number, -- Use the padded version for display
weekly_visits
FROM
ranked_weeks
ORDER BY
brand_name,
week_sequence_num; -- Sort by the numeric sequence number</t>
  </si>
  <si>
    <t>With demographic split</t>
  </si>
  <si>
    <t>WITH parsed AS (
  SELECT
    v.date_range_start,
    v.date_range_end,
    b.brand_name,
    v.poi_cbg,
    ARRAY(
      SELECT SAFE_CAST(x AS INT64)
      FROM UNNEST(SPLIT(REGEXP_REPLACE(v.visits_by_day, r'[\[\]\s]', ''), ',')) AS x
    ) AS visits_array,
    v.median_dwell
  FROM
    `group7-fa25-mgmt58200-final.safegraph.visits` v
    INNER JOIN `group7-fa25-mgmt58200-final.safegraph.brands` b
      ON v.safegraph_brand_ids = b.safegraph_brand_id
  WHERE b.naics_code = 453210
),
expanded AS (
  SELECT
    brand_name,
    poi_cbg,
    date_range_start,
    date_range_end,
    median_dwell,
    TIMESTAMP_ADD(date_range_start, INTERVAL pos DAY) AS visit_date,
    value AS visits
  FROM
    parsed,
    UNNEST(visits_array) AS value WITH OFFSET AS pos
),
weekly_visits AS (
  SELECT
    brand_name,
    poi_cbg,
    DATE_TRUNC(DATE(visit_date), WEEK(MONDAY)) AS week_start,
    SUM(visits) AS weekly_visits,
    AVG(median_dwell) AS avg_dwell_time
  FROM
    expanded
  WHERE
    visit_date &gt;= TIMESTAMP('2020-01-01 05:00:00 UTC')
    AND visit_date &lt; TIMESTAMP('2020-05-01 00:00:00 UTC')
  GROUP BY
    brand_name, poi_cbg, week_start
),
cbg_demogs AS (
  SELECT
    cbg,
    -- K-12 population
    (`pop_m_5-9` + `pop_m_10-14` + `pop_m_15-17`
     + `pop_f_5-9` + `pop_f_10-14` + `pop_f_15-17`) AS k12_population,
    -- Working-age population
    (`pop_m_18-19` + `pop_m_20` + `pop_m_21` + `pop_m_22-24` + `pop_m_25-29` + `pop_m_30-34` + `pop_m_35-39` + `pop_m_40-44`
     + `pop_m_45-49` + `pop_m_50-54` + `pop_m_55-59` + `pop_m_60-61` + `pop_m_62-64`
     + `pop_f_18-19` + `pop_f_20` + `pop_f_21` + `pop_f_22-24` + `pop_f_25-29` + `pop_f_30-34` + `pop_f_35-39` + `pop_f_40-44`
     + `pop_f_45-49` + `pop_f_50-54` + `pop_f_55-59` + `pop_f_60-61` + `pop_f_62-64`) AS working_age_population,
    `edu_hs` AS edu_high_school,
    `edu_coll_assoc` AS edu_associates,
    `edu_coll_bach` AS edu_bachelor,
    `edu_coll_mast` AS edu_masters
  FROM `group7-fa25-mgmt58200-final.safegraph.cbg_demographics`
),
final AS (
  SELECT
    w.brand_name,
    w.week_start,
    SUM(w.weekly_visits) AS total_weekly_visits,
    AVG(w.avg_dwell_time) AS avg_dwell_time,
    SUM(d.k12_population) AS total_k12_population,
    SUM(d.working_age_population) AS total_working_age,
    AVG(d.edu_high_school) AS avg_high_school,
    AVG(d.edu_associates) AS avg_associates,
    AVG(d.edu_bachelor) AS avg_bachelor,
    AVG(d.edu_masters) AS avg_masters
  FROM
    weekly_visits w
    LEFT JOIN cbg_demogs d ON w.poi_cbg = d.cbg
  GROUP BY
    w.brand_name, w.week_start
)
SELECT *
FROM final
ORDER BY brand_name, week_start;</t>
  </si>
  <si>
    <t>Query for Question 3</t>
  </si>
  <si>
    <t>Question 1 part 2</t>
  </si>
  <si>
    <t>urban_class</t>
  </si>
  <si>
    <t>Rural</t>
  </si>
  <si>
    <t>Suburban</t>
  </si>
  <si>
    <t>Urban</t>
  </si>
  <si>
    <t>(All)</t>
  </si>
  <si>
    <t>WITH parsed AS (
  SELECT
    v.date_range_start,
    b.brand_name,
    ARRAY(
      SELECT SAFE_CAST(x AS INT64)
      FROM UNNEST(SPLIT(REGEXP_REPLACE(v.visits_by_day, r'[\[\]\s]', ''), ',')) AS x
    ) AS visits_array,
    v.median_dwell
  FROM `group7-fa25-mgmt58200-final.safegraph.visits` v
  INNER JOIN `group7-fa25-mgmt58200-final.safegraph.brands` b
    ON v.safegraph_brand_ids = b.safegraph_brand_id
  WHERE b.naics_code = 453210
    AND DATE(v.date_range_start) &gt;= DATE('2020-01-01')
    AND DATE(v.date_range_end) &lt; DATE('2020-05-01')
),
expanded AS (
  SELECT
    brand_name,
    TIMESTAMP_ADD(date_range_start, INTERVAL pos DAY) AS visit_date,
    value AS visits,
    median_dwell
  FROM parsed, UNNEST(visits_array) AS value WITH OFFSET AS pos
),
weekly AS (
  SELECT
    brand_name,
    DATE_TRUNC(DATE(visit_date), WEEK(MONDAY)) AS period_start,
    SUM(visits) AS visits,
    AVG(median_dwell) AS dwell
  FROM expanded
  GROUP BY brand_name, period_start
),
monthly AS (
  SELECT
    brand_name,
    DATE_TRUNC(DATE(visit_date), MONTH) AS period_start,
    SUM(visits) AS visits,
    AVG(median_dwell) AS dwell
  FROM expanded
  GROUP BY brand_name, period_start
),
weekly_changes AS (
  SELECT
    brand_name,
    period_start,
    visits AS current_visits,
    LAG(visits) OVER (PARTITION BY brand_name ORDER BY period_start) AS previous_visits,
    dwell AS current_dwell,
    LAG(dwell) OVER (PARTITION BY brand_name ORDER BY period_start) AS previous_dwell
  FROM weekly
),
monthly_changes AS (
  SELECT
    brand_name,
    period_start,
    visits AS current_visits,
    LAG(visits) OVER (PARTITION BY brand_name ORDER BY period_start) AS previous_visits,
    dwell AS current_dwell,
    LAG(dwell) OVER (PARTITION BY brand_name ORDER BY period_start) AS previous_dwell
  FROM monthly
)
SELECT
  'week' AS period_type,
  brand_name,
  period_start,
  previous_visits,
  current_visits,
  current_visits - previous_visits AS visits_change,
  SAFE_DIVIDE(current_visits - previous_visits, previous_visits) AS visits_pct_change,
  previous_dwell,
  current_dwell,
  current_dwell - previous_dwell AS dwell_change,
  SAFE_DIVIDE(current_dwell - previous_dwell, previous_dwell) AS dwell_pct_change
FROM weekly_changes
UNION ALL
SELECT
  'month' AS period_type,
  brand_name,
  period_start,
  previous_visits,
  current_visits,
  current_visits - previous_visits AS visits_change,
  SAFE_DIVIDE(current_visits - previous_visits, previous_visits) AS visits_pct_change,
  previous_dwell,
  current_dwell,
  current_dwell - previous_dwell AS dwell_change,
  SAFE_DIVIDE(current_dwell - previous_dwell, previous_dwell) AS dwell_pct_change
FROM monthly_changes
ORDER BY brand_name, period_type, period_start;</t>
  </si>
  <si>
    <t>WITH parsed AS (
  SELECT
    v.date_range_start,
    v.date_range_end,
    b.brand_name,
    v.safegraph_place_id,
    v.poi_cbg,
    ARRAY(
      SELECT SAFE_CAST(x AS INT64)
      FROM UNNEST(SPLIT(REGEXP_REPLACE(v.visits_by_day, r'[\[\]\s]', ''), ',')) AS x
    ) AS visits_array,
    v.median_dwell
  FROM `group7-fa25-mgmt58200-final.safegraph.visits` v
  INNER JOIN `group7-fa25-mgmt58200-final.safegraph.brands` b
    ON v.safegraph_brand_ids = b.safegraph_brand_id
  WHERE b.naics_code = 453210
),
expanded AS (
  SELECT
    brand_name,
    safegraph_place_id,
    poi_cbg,
    date_range_start,
    TIMESTAMP_ADD(date_range_start, INTERVAL pos DAY) AS visit_date,
    value AS visits,
    median_dwell
  FROM parsed, UNNEST(visits_array) AS value WITH OFFSET AS pos
),
weekly_visits AS (
  SELECT
    brand_name,
    safegraph_place_id,
    poi_cbg,
    DATE_TRUNC(DATE(visit_date), WEEK(MONDAY)) AS week_start,
    SUM(visits) AS weekly_visits,
    AVG(median_dwell) AS avg_dwell_time
  FROM expanded
  WHERE visit_date &gt;= TIMESTAMP('2020-01-01 05:00:00 UTC')
    AND visit_date &lt; TIMESTAMP('2020-05-01 00:00:00 UTC')
  GROUP BY brand_name, safegraph_place_id, poi_cbg, week_start
),
cbg_demogs AS (
  SELECT
    cbg,
    (`pop_m_5-9` + `pop_m_10-14` + `pop_m_15-17` +
     `pop_f_5-9` + `pop_f_10-14` + `pop_f_15-17`) AS k12_population,
    (`pop_m_18-19` + `pop_m_20` + `pop_m_21` + `pop_m_22-24` + `pop_m_25-29`
     + `pop_m_30-34` + `pop_m_35-39` + `pop_m_40-44` + `pop_m_45-49`
     + `pop_m_50-54` + `pop_m_55-59` + `pop_m_60-61` + `pop_m_62-64`
     + `pop_f_18-19` + `pop_f_20` + `pop_f_21` + `pop_f_22-24` + `pop_f_25-29`
     + `pop_f_30-34` + `pop_f_35-39` + `pop_f_40-44` + `pop_f_45-49`
     + `pop_f_50-54` + `pop_f_55-59` + `pop_f_60-61` + `pop_f_62-64`) AS working_age_population,
    edu_hs AS edu_high_school,
    edu_coll_assoc AS edu_associates,
    edu_coll_bach AS edu_bachelor,
    edu_coll_mast AS edu_masters
  FROM `group7-fa25-mgmt58200-final.safegraph.cbg_demographics`
),
final AS (
  SELECT
    w.brand_name,
    w.week_start,
    w.safegraph_place_id,
    w.poi_cbg,
    SUM(w.weekly_visits) AS total_weekly_visits,
    AVG(w.avg_dwell_time) AS avg_dwell_time,
    SUM(d.k12_population) AS total_k12_population,
    SUM(d.working_age_population) AS total_working_age,
    AVG(d.edu_high_school) AS avg_high_school,
    AVG(d.edu_associates) AS avg_associates,
    AVG(d.edu_bachelor) AS avg_bachelor,
    AVG(d.edu_masters) AS avg_masters
  FROM weekly_visits w
  LEFT JOIN cbg_demogs d ON w.poi_cbg = d.cbg
  GROUP BY w.brand_name, w.week_start, w.safegraph_place_id, w.poi_cbg
)
SELECT
  f.*,
  p.location_name,
  p.street_address,
  p.city,
  p.region,
  p.postal_code,
  p.latitude,
  p.longitude
FROM final f
LEFT JOIN `group7-fa25-mgmt58200-final.safegraph.places` p
  ON f.safegraph_place_id = p.safegraph_place_id
ORDER BY brand_name, week_start;</t>
  </si>
  <si>
    <t>Version 2 - need to check and can be appropriate</t>
  </si>
  <si>
    <t>avg_median_dwell_time</t>
  </si>
  <si>
    <t>Sum of total_visits</t>
  </si>
  <si>
    <t>state</t>
  </si>
  <si>
    <t>county</t>
  </si>
  <si>
    <t>postal_code</t>
  </si>
  <si>
    <t>AK</t>
  </si>
  <si>
    <t>Anchorage Municipality</t>
  </si>
  <si>
    <t>Juneau City and Borough</t>
  </si>
  <si>
    <t>Fairbanks North Star Borough</t>
  </si>
  <si>
    <t>AL</t>
  </si>
  <si>
    <t>Madison County</t>
  </si>
  <si>
    <t>Mobile County</t>
  </si>
  <si>
    <t>Houston County</t>
  </si>
  <si>
    <t>Cullman County</t>
  </si>
  <si>
    <t>Tuscaloosa County</t>
  </si>
  <si>
    <t>Calhoun County</t>
  </si>
  <si>
    <t>Elmore County</t>
  </si>
  <si>
    <t>Baldwin County</t>
  </si>
  <si>
    <t>Morgan County</t>
  </si>
  <si>
    <t>Lauderdale County</t>
  </si>
  <si>
    <t>Marshall County</t>
  </si>
  <si>
    <t>Coffee County</t>
  </si>
  <si>
    <t>Montgomery County</t>
  </si>
  <si>
    <t>Jefferson County</t>
  </si>
  <si>
    <t>Lee County</t>
  </si>
  <si>
    <t>Shelby County</t>
  </si>
  <si>
    <t>Etowah County</t>
  </si>
  <si>
    <t>Limestone County</t>
  </si>
  <si>
    <t>AR</t>
  </si>
  <si>
    <t>Saline County</t>
  </si>
  <si>
    <t>Washington County</t>
  </si>
  <si>
    <t>Pope County</t>
  </si>
  <si>
    <t>Benton County</t>
  </si>
  <si>
    <t>Garland County</t>
  </si>
  <si>
    <t>Sebastian County</t>
  </si>
  <si>
    <t>Craighead County</t>
  </si>
  <si>
    <t>Union County</t>
  </si>
  <si>
    <t>Pulaski County</t>
  </si>
  <si>
    <t>Faulkner County</t>
  </si>
  <si>
    <t>AZ</t>
  </si>
  <si>
    <t>Mohave County</t>
  </si>
  <si>
    <t>Yavapai County</t>
  </si>
  <si>
    <t>Maricopa County</t>
  </si>
  <si>
    <t>Pinal County</t>
  </si>
  <si>
    <t>Coconino County</t>
  </si>
  <si>
    <t>Cochise County</t>
  </si>
  <si>
    <t>Pima County</t>
  </si>
  <si>
    <t>Yuma County</t>
  </si>
  <si>
    <t>CA</t>
  </si>
  <si>
    <t>Santa Cruz County</t>
  </si>
  <si>
    <t>Monterey County</t>
  </si>
  <si>
    <t>San Luis Obispo County</t>
  </si>
  <si>
    <t>San Bernardino County</t>
  </si>
  <si>
    <t>Butte County</t>
  </si>
  <si>
    <t>Tulare County</t>
  </si>
  <si>
    <t>El Dorado County</t>
  </si>
  <si>
    <t>Placer County</t>
  </si>
  <si>
    <t>Sonoma County</t>
  </si>
  <si>
    <t>Imperial County</t>
  </si>
  <si>
    <t>Shasta County</t>
  </si>
  <si>
    <t>Orange County</t>
  </si>
  <si>
    <t>Sacramento County</t>
  </si>
  <si>
    <t>Contra Costa County</t>
  </si>
  <si>
    <t>Santa Clara County</t>
  </si>
  <si>
    <t>Ventura County</t>
  </si>
  <si>
    <t>San Francisco County</t>
  </si>
  <si>
    <t>Nevada County</t>
  </si>
  <si>
    <t>Kings County</t>
  </si>
  <si>
    <t>Solano County</t>
  </si>
  <si>
    <t>San Joaquin County</t>
  </si>
  <si>
    <t>Yolo County</t>
  </si>
  <si>
    <t>Amador County</t>
  </si>
  <si>
    <t>Marin County</t>
  </si>
  <si>
    <t>Madera County</t>
  </si>
  <si>
    <t>San Diego County</t>
  </si>
  <si>
    <t>Los Angeles County</t>
  </si>
  <si>
    <t>Riverside County</t>
  </si>
  <si>
    <t>Alameda County</t>
  </si>
  <si>
    <t>Fresno County</t>
  </si>
  <si>
    <t>Mendocino County</t>
  </si>
  <si>
    <t>Stanislaus County</t>
  </si>
  <si>
    <t>San Mateo County</t>
  </si>
  <si>
    <t>Santa Barbara County</t>
  </si>
  <si>
    <t>Kern County</t>
  </si>
  <si>
    <t>Sutter County</t>
  </si>
  <si>
    <t>Merced County</t>
  </si>
  <si>
    <t>Napa County</t>
  </si>
  <si>
    <t>Tuolumne County</t>
  </si>
  <si>
    <t>CO</t>
  </si>
  <si>
    <t>Fremont County</t>
  </si>
  <si>
    <t>Weld County</t>
  </si>
  <si>
    <t>Larimer County</t>
  </si>
  <si>
    <t>Douglas County</t>
  </si>
  <si>
    <t>Denver County</t>
  </si>
  <si>
    <t>El Paso County</t>
  </si>
  <si>
    <t>Arapahoe County</t>
  </si>
  <si>
    <t>Montrose County</t>
  </si>
  <si>
    <t>Boulder County</t>
  </si>
  <si>
    <t>La Plata County</t>
  </si>
  <si>
    <t>Mesa County</t>
  </si>
  <si>
    <t>Adams County</t>
  </si>
  <si>
    <t>Garfield County</t>
  </si>
  <si>
    <t>Pueblo County</t>
  </si>
  <si>
    <t>Summit County</t>
  </si>
  <si>
    <t>CT</t>
  </si>
  <si>
    <t>Middlesex County</t>
  </si>
  <si>
    <t>Windham County</t>
  </si>
  <si>
    <t>Tolland County</t>
  </si>
  <si>
    <t>Hartford County</t>
  </si>
  <si>
    <t>Litchfield County</t>
  </si>
  <si>
    <t>Fairfield County</t>
  </si>
  <si>
    <t>New Haven County</t>
  </si>
  <si>
    <t>New London County</t>
  </si>
  <si>
    <t>DC</t>
  </si>
  <si>
    <t>District of Columbia</t>
  </si>
  <si>
    <t>DE</t>
  </si>
  <si>
    <t>Sussex County</t>
  </si>
  <si>
    <t>New Castle County</t>
  </si>
  <si>
    <t>Kent County</t>
  </si>
  <si>
    <t>FL</t>
  </si>
  <si>
    <t>Sarasota County</t>
  </si>
  <si>
    <t>Indian River County</t>
  </si>
  <si>
    <t>Lake County</t>
  </si>
  <si>
    <t>Charlotte County</t>
  </si>
  <si>
    <t>Polk County</t>
  </si>
  <si>
    <t>Escambia County</t>
  </si>
  <si>
    <t>Monroe County</t>
  </si>
  <si>
    <t>Osceola County</t>
  </si>
  <si>
    <t>Citrus County</t>
  </si>
  <si>
    <t>Nassau County</t>
  </si>
  <si>
    <t>Flagler County</t>
  </si>
  <si>
    <t>Hernando County</t>
  </si>
  <si>
    <t>Putnam County</t>
  </si>
  <si>
    <t>Miami-Dade County</t>
  </si>
  <si>
    <t>Pinellas County</t>
  </si>
  <si>
    <t>Hillsborough County</t>
  </si>
  <si>
    <t>St. Lucie County</t>
  </si>
  <si>
    <t>Santa Rosa County</t>
  </si>
  <si>
    <t>Collier County</t>
  </si>
  <si>
    <t>Duval County</t>
  </si>
  <si>
    <t>Bay County</t>
  </si>
  <si>
    <t>Martin County</t>
  </si>
  <si>
    <t>Columbia County</t>
  </si>
  <si>
    <t>Manatee County</t>
  </si>
  <si>
    <t>Palm Beach County</t>
  </si>
  <si>
    <t>Alachua County</t>
  </si>
  <si>
    <t>Broward County</t>
  </si>
  <si>
    <t>Pasco County</t>
  </si>
  <si>
    <t>Seminole County</t>
  </si>
  <si>
    <t>Brevard County</t>
  </si>
  <si>
    <t>Okaloosa County</t>
  </si>
  <si>
    <t>Highlands County</t>
  </si>
  <si>
    <t>Leon County</t>
  </si>
  <si>
    <t>Marion County</t>
  </si>
  <si>
    <t>Volusia County</t>
  </si>
  <si>
    <t>Clay County</t>
  </si>
  <si>
    <t>St. Johns County</t>
  </si>
  <si>
    <t>GA</t>
  </si>
  <si>
    <t>Tift County</t>
  </si>
  <si>
    <t>Chatham County</t>
  </si>
  <si>
    <t>DeKalb County</t>
  </si>
  <si>
    <t>Muscogee County</t>
  </si>
  <si>
    <t>Henry County</t>
  </si>
  <si>
    <t>Whitfield County</t>
  </si>
  <si>
    <t>Floyd County</t>
  </si>
  <si>
    <t>Paulding County</t>
  </si>
  <si>
    <t>Troup County</t>
  </si>
  <si>
    <t>Bartow County</t>
  </si>
  <si>
    <t>Coweta County</t>
  </si>
  <si>
    <t>Dougherty County</t>
  </si>
  <si>
    <t>Clarke County</t>
  </si>
  <si>
    <t>Cherokee County</t>
  </si>
  <si>
    <t>Barrow County</t>
  </si>
  <si>
    <t>Cobb County</t>
  </si>
  <si>
    <t>Gordon County</t>
  </si>
  <si>
    <t>Fulton County</t>
  </si>
  <si>
    <t>Hall County</t>
  </si>
  <si>
    <t>Bibb County</t>
  </si>
  <si>
    <t>Fayette County</t>
  </si>
  <si>
    <t>Thomas County</t>
  </si>
  <si>
    <t>Lowndes County</t>
  </si>
  <si>
    <t>Spalding County</t>
  </si>
  <si>
    <t>Rockdale County</t>
  </si>
  <si>
    <t>Laurens County</t>
  </si>
  <si>
    <t>Bulloch County</t>
  </si>
  <si>
    <t>Gwinnett County</t>
  </si>
  <si>
    <t>Ware County</t>
  </si>
  <si>
    <t>Clayton County</t>
  </si>
  <si>
    <t>Forsyth County</t>
  </si>
  <si>
    <t>Carroll County</t>
  </si>
  <si>
    <t>Catoosa County</t>
  </si>
  <si>
    <t>Glynn County</t>
  </si>
  <si>
    <t>Richmond County</t>
  </si>
  <si>
    <t>HI</t>
  </si>
  <si>
    <t>Honolulu County</t>
  </si>
  <si>
    <t>Hawaii County</t>
  </si>
  <si>
    <t>Maui County</t>
  </si>
  <si>
    <t>IA</t>
  </si>
  <si>
    <t>Cerro Gordo County</t>
  </si>
  <si>
    <t>Webster County</t>
  </si>
  <si>
    <t>Story County</t>
  </si>
  <si>
    <t>Dubuque County</t>
  </si>
  <si>
    <t>Johnson County</t>
  </si>
  <si>
    <t>Black Hawk County</t>
  </si>
  <si>
    <t>Linn County</t>
  </si>
  <si>
    <t>Woodbury County</t>
  </si>
  <si>
    <t>Dallas County</t>
  </si>
  <si>
    <t>Des Moines County</t>
  </si>
  <si>
    <t>Pottawattamie County</t>
  </si>
  <si>
    <t>Scott County</t>
  </si>
  <si>
    <t>ID</t>
  </si>
  <si>
    <t>Nez Perce County</t>
  </si>
  <si>
    <t>Bonner County</t>
  </si>
  <si>
    <t>Bannock County</t>
  </si>
  <si>
    <t>Latah County</t>
  </si>
  <si>
    <t>Ada County</t>
  </si>
  <si>
    <t>Bonneville County</t>
  </si>
  <si>
    <t>Canyon County</t>
  </si>
  <si>
    <t>Twin Falls County</t>
  </si>
  <si>
    <t>Kootenai County</t>
  </si>
  <si>
    <t>IL</t>
  </si>
  <si>
    <t>Kane County</t>
  </si>
  <si>
    <t>DuPage County</t>
  </si>
  <si>
    <t>Rock Island County</t>
  </si>
  <si>
    <t>Tazewell County</t>
  </si>
  <si>
    <t>Will County</t>
  </si>
  <si>
    <t>Peoria County</t>
  </si>
  <si>
    <t>Macon County</t>
  </si>
  <si>
    <t>Whiteside County</t>
  </si>
  <si>
    <t>Cook County</t>
  </si>
  <si>
    <t>Winnebago County</t>
  </si>
  <si>
    <t>McLean County</t>
  </si>
  <si>
    <t>Sangamon County</t>
  </si>
  <si>
    <t>Jackson County</t>
  </si>
  <si>
    <t>McHenry County</t>
  </si>
  <si>
    <t>Kendall County</t>
  </si>
  <si>
    <t>St. Clair County</t>
  </si>
  <si>
    <t>Champaign County</t>
  </si>
  <si>
    <t>LaSalle County</t>
  </si>
  <si>
    <t>Kankakee County</t>
  </si>
  <si>
    <t>IN</t>
  </si>
  <si>
    <t>Delaware County</t>
  </si>
  <si>
    <t>St. Joseph County</t>
  </si>
  <si>
    <t>Kosciusko County</t>
  </si>
  <si>
    <t>Hamilton County</t>
  </si>
  <si>
    <t>Tippecanoe County</t>
  </si>
  <si>
    <t>Howard County</t>
  </si>
  <si>
    <t>Bartholomew County</t>
  </si>
  <si>
    <t>Vigo County</t>
  </si>
  <si>
    <t>Allen County</t>
  </si>
  <si>
    <t>Elkhart County</t>
  </si>
  <si>
    <t>LaPorte County</t>
  </si>
  <si>
    <t>Porter County</t>
  </si>
  <si>
    <t>Hendricks County</t>
  </si>
  <si>
    <t>Vanderburgh County</t>
  </si>
  <si>
    <t>Knox County</t>
  </si>
  <si>
    <t>Clark County</t>
  </si>
  <si>
    <t>KS</t>
  </si>
  <si>
    <t>Shawnee County</t>
  </si>
  <si>
    <t>Lyon County</t>
  </si>
  <si>
    <t>Pottawatomie County</t>
  </si>
  <si>
    <t>Sedgwick County</t>
  </si>
  <si>
    <t>Finney County</t>
  </si>
  <si>
    <t>KY</t>
  </si>
  <si>
    <t>Laurel County</t>
  </si>
  <si>
    <t>Calloway County</t>
  </si>
  <si>
    <t>Boone County</t>
  </si>
  <si>
    <t>Pike County</t>
  </si>
  <si>
    <t>Hardin County</t>
  </si>
  <si>
    <t>Daviess County</t>
  </si>
  <si>
    <t>Kenton County</t>
  </si>
  <si>
    <t>Campbell County</t>
  </si>
  <si>
    <t>Christian County</t>
  </si>
  <si>
    <t>Boyd County</t>
  </si>
  <si>
    <t>Warren County</t>
  </si>
  <si>
    <t>McCracken County</t>
  </si>
  <si>
    <t>Franklin County</t>
  </si>
  <si>
    <t>LA</t>
  </si>
  <si>
    <t>Rapides Parish</t>
  </si>
  <si>
    <t>Jefferson Parish</t>
  </si>
  <si>
    <t>East Baton Rouge Parish</t>
  </si>
  <si>
    <t>Caddo Parish</t>
  </si>
  <si>
    <t>Orleans Parish</t>
  </si>
  <si>
    <t>Lincoln Parish</t>
  </si>
  <si>
    <t>Bossier Parish</t>
  </si>
  <si>
    <t>Tangipahoa Parish</t>
  </si>
  <si>
    <t>St. Tammany Parish</t>
  </si>
  <si>
    <t>Lafourche Parish</t>
  </si>
  <si>
    <t>St. John the Baptist Parish</t>
  </si>
  <si>
    <t>Ascension Parish</t>
  </si>
  <si>
    <t>Lafayette Parish</t>
  </si>
  <si>
    <t>Ouachita Parish</t>
  </si>
  <si>
    <t>Iberia Parish</t>
  </si>
  <si>
    <t>Terrebonne Parish</t>
  </si>
  <si>
    <t>Calcasieu Parish</t>
  </si>
  <si>
    <t>Livingston Parish</t>
  </si>
  <si>
    <t>MA</t>
  </si>
  <si>
    <t>Suffolk County</t>
  </si>
  <si>
    <t>Hampshire County</t>
  </si>
  <si>
    <t>Hampden County</t>
  </si>
  <si>
    <t>Bristol County</t>
  </si>
  <si>
    <t>Norfolk County</t>
  </si>
  <si>
    <t>Berkshire County</t>
  </si>
  <si>
    <t>Plymouth County</t>
  </si>
  <si>
    <t>Barnstable County</t>
  </si>
  <si>
    <t>Essex County</t>
  </si>
  <si>
    <t>Worcester County</t>
  </si>
  <si>
    <t>MD</t>
  </si>
  <si>
    <t>Prince George County</t>
  </si>
  <si>
    <t>Cecil County</t>
  </si>
  <si>
    <t>Charles County</t>
  </si>
  <si>
    <t>Baltimore city</t>
  </si>
  <si>
    <t>Harford County</t>
  </si>
  <si>
    <t>Baltimore County</t>
  </si>
  <si>
    <t>Anne Arundel County</t>
  </si>
  <si>
    <t>Frederick County</t>
  </si>
  <si>
    <t>Talbot County</t>
  </si>
  <si>
    <t>Wicomico County</t>
  </si>
  <si>
    <t>Calvert County</t>
  </si>
  <si>
    <t>Allegany County</t>
  </si>
  <si>
    <t>St. Mary County</t>
  </si>
  <si>
    <t>ME</t>
  </si>
  <si>
    <t>York County</t>
  </si>
  <si>
    <t>Cumberland County</t>
  </si>
  <si>
    <t>Androscoggin County</t>
  </si>
  <si>
    <t>Kennebec County</t>
  </si>
  <si>
    <t>Penobscot County</t>
  </si>
  <si>
    <t>MI</t>
  </si>
  <si>
    <t>Oakland County</t>
  </si>
  <si>
    <t>Lapeer County</t>
  </si>
  <si>
    <t>Washtenaw County</t>
  </si>
  <si>
    <t>Ottawa County</t>
  </si>
  <si>
    <t>Kalamazoo County</t>
  </si>
  <si>
    <t>Muskegon County</t>
  </si>
  <si>
    <t>Genesee County</t>
  </si>
  <si>
    <t>Midland County</t>
  </si>
  <si>
    <t>Livingston County</t>
  </si>
  <si>
    <t>Berrien County</t>
  </si>
  <si>
    <t>Hillsdale County</t>
  </si>
  <si>
    <t>Ingham County</t>
  </si>
  <si>
    <t>Emmet County</t>
  </si>
  <si>
    <t>Macomb County</t>
  </si>
  <si>
    <t>Eaton County</t>
  </si>
  <si>
    <t>Wayne County</t>
  </si>
  <si>
    <t>Grand Traverse County</t>
  </si>
  <si>
    <t>Saginaw County</t>
  </si>
  <si>
    <t>Lenawee County</t>
  </si>
  <si>
    <t>Isabella County</t>
  </si>
  <si>
    <t>MN</t>
  </si>
  <si>
    <t>Hennepin County</t>
  </si>
  <si>
    <t>Sherburne County</t>
  </si>
  <si>
    <t>Ramsey County</t>
  </si>
  <si>
    <t>Crow Wing County</t>
  </si>
  <si>
    <t>Beltrami County</t>
  </si>
  <si>
    <t>Blue Earth County</t>
  </si>
  <si>
    <t>Anoka County</t>
  </si>
  <si>
    <t>Kandiyohi County</t>
  </si>
  <si>
    <t>Dakota County</t>
  </si>
  <si>
    <t>Wright County</t>
  </si>
  <si>
    <t>Carver County</t>
  </si>
  <si>
    <t>Stearns County</t>
  </si>
  <si>
    <t>St. Louis County</t>
  </si>
  <si>
    <t>Olmsted County</t>
  </si>
  <si>
    <t>MO</t>
  </si>
  <si>
    <t>Pettis County</t>
  </si>
  <si>
    <t>Phelps County</t>
  </si>
  <si>
    <t>Cole County</t>
  </si>
  <si>
    <t>St. Louis city</t>
  </si>
  <si>
    <t>Jasper County</t>
  </si>
  <si>
    <t>St. Francois County</t>
  </si>
  <si>
    <t>St. Charles County</t>
  </si>
  <si>
    <t>Greene County</t>
  </si>
  <si>
    <t>Butler County</t>
  </si>
  <si>
    <t>Platte County</t>
  </si>
  <si>
    <t>Buchanan County</t>
  </si>
  <si>
    <t>Cape Girardeau County</t>
  </si>
  <si>
    <t>Cass County</t>
  </si>
  <si>
    <t>MS</t>
  </si>
  <si>
    <t>DeSoto County</t>
  </si>
  <si>
    <t>Lafayette County</t>
  </si>
  <si>
    <t>Hinds County</t>
  </si>
  <si>
    <t>Rankin County</t>
  </si>
  <si>
    <t>Jones County</t>
  </si>
  <si>
    <t>Harrison County</t>
  </si>
  <si>
    <t>Lamar County</t>
  </si>
  <si>
    <t>MT</t>
  </si>
  <si>
    <t>Yellowstone County</t>
  </si>
  <si>
    <t>Cascade County</t>
  </si>
  <si>
    <t>Silver Bow County</t>
  </si>
  <si>
    <t>Gallatin County</t>
  </si>
  <si>
    <t>Lewis and Clark County</t>
  </si>
  <si>
    <t>Missoula County</t>
  </si>
  <si>
    <t>Flathead County</t>
  </si>
  <si>
    <t>NC</t>
  </si>
  <si>
    <t>Rutherford County</t>
  </si>
  <si>
    <t>Henderson County</t>
  </si>
  <si>
    <t>Iredell County</t>
  </si>
  <si>
    <t>Catawba County</t>
  </si>
  <si>
    <t>Gaston County</t>
  </si>
  <si>
    <t>Wilson County</t>
  </si>
  <si>
    <t>Haywood County</t>
  </si>
  <si>
    <t>Rowan County</t>
  </si>
  <si>
    <t>Randolph County</t>
  </si>
  <si>
    <t>Onslow County</t>
  </si>
  <si>
    <t>Moore County</t>
  </si>
  <si>
    <t>Wake County</t>
  </si>
  <si>
    <t>New Hanover County</t>
  </si>
  <si>
    <t>Pitt County</t>
  </si>
  <si>
    <t>Buncombe County</t>
  </si>
  <si>
    <t>Beaufort County</t>
  </si>
  <si>
    <t>Pasquotank County</t>
  </si>
  <si>
    <t>Burke County</t>
  </si>
  <si>
    <t>Carteret County</t>
  </si>
  <si>
    <t>Craven County</t>
  </si>
  <si>
    <t>Mecklenburg County</t>
  </si>
  <si>
    <t>Durham County</t>
  </si>
  <si>
    <t>Nash County</t>
  </si>
  <si>
    <t>Guilford County</t>
  </si>
  <si>
    <t>Alamance County</t>
  </si>
  <si>
    <t>Cleveland County</t>
  </si>
  <si>
    <t>Surry County</t>
  </si>
  <si>
    <t>Brunswick County</t>
  </si>
  <si>
    <t>Dare County</t>
  </si>
  <si>
    <t>Watauga County</t>
  </si>
  <si>
    <t>ND</t>
  </si>
  <si>
    <t>Grand Forks County</t>
  </si>
  <si>
    <t>Burleigh County</t>
  </si>
  <si>
    <t>Ward County</t>
  </si>
  <si>
    <t>NE</t>
  </si>
  <si>
    <t>Dodge County</t>
  </si>
  <si>
    <t>Scotts Bluff County</t>
  </si>
  <si>
    <t>Sarpy County</t>
  </si>
  <si>
    <t>Lancaster County</t>
  </si>
  <si>
    <t>Buffalo County</t>
  </si>
  <si>
    <t>NH</t>
  </si>
  <si>
    <t>Strafford County</t>
  </si>
  <si>
    <t>Rockingham County</t>
  </si>
  <si>
    <t>Merrimack County</t>
  </si>
  <si>
    <t>Cheshire County</t>
  </si>
  <si>
    <t>Belknap County</t>
  </si>
  <si>
    <t>Grafton County</t>
  </si>
  <si>
    <t>NJ</t>
  </si>
  <si>
    <t>Monmouth County</t>
  </si>
  <si>
    <t>Somerset County</t>
  </si>
  <si>
    <t>Hudson County</t>
  </si>
  <si>
    <t>Gloucester County</t>
  </si>
  <si>
    <t>Camden County</t>
  </si>
  <si>
    <t>Burlington County</t>
  </si>
  <si>
    <t>Mercer County</t>
  </si>
  <si>
    <t>Bergen County</t>
  </si>
  <si>
    <t>Passaic County</t>
  </si>
  <si>
    <t>Ocean County</t>
  </si>
  <si>
    <t>Morris County</t>
  </si>
  <si>
    <t>Atlantic County</t>
  </si>
  <si>
    <t>Hunterdon County</t>
  </si>
  <si>
    <t>Cape May County</t>
  </si>
  <si>
    <t>NM</t>
  </si>
  <si>
    <t>Otero County</t>
  </si>
  <si>
    <t>Lea County</t>
  </si>
  <si>
    <t>Chaves County</t>
  </si>
  <si>
    <t>Do√±a Ana County</t>
  </si>
  <si>
    <t>Santa Fe County</t>
  </si>
  <si>
    <t>San Juan County</t>
  </si>
  <si>
    <t>Curry County</t>
  </si>
  <si>
    <t>Bernalillo County</t>
  </si>
  <si>
    <t>NV</t>
  </si>
  <si>
    <t>Elko County</t>
  </si>
  <si>
    <t>Carson City</t>
  </si>
  <si>
    <t>Washoe County</t>
  </si>
  <si>
    <t>NY</t>
  </si>
  <si>
    <t>New York County</t>
  </si>
  <si>
    <t>Chemung County</t>
  </si>
  <si>
    <t>Rockland County</t>
  </si>
  <si>
    <t>Ontario County</t>
  </si>
  <si>
    <t>Broome County</t>
  </si>
  <si>
    <t>Onondaga County</t>
  </si>
  <si>
    <t>Chautauqua County</t>
  </si>
  <si>
    <t>Schenectady County</t>
  </si>
  <si>
    <t>Ulster County</t>
  </si>
  <si>
    <t>Otsego County</t>
  </si>
  <si>
    <t>Bronx County</t>
  </si>
  <si>
    <t>Saratoga County</t>
  </si>
  <si>
    <t>Westchester County</t>
  </si>
  <si>
    <t>Erie County</t>
  </si>
  <si>
    <t>Albany County</t>
  </si>
  <si>
    <t>Oneida County</t>
  </si>
  <si>
    <t>Rensselaer County</t>
  </si>
  <si>
    <t>Cayuga County</t>
  </si>
  <si>
    <t>Queens County</t>
  </si>
  <si>
    <t>Dutchess County</t>
  </si>
  <si>
    <t>Tompkins County</t>
  </si>
  <si>
    <t>Clinton County</t>
  </si>
  <si>
    <t>Niagara County</t>
  </si>
  <si>
    <t>Cattaraugus County</t>
  </si>
  <si>
    <t>OH</t>
  </si>
  <si>
    <t>Clermont County</t>
  </si>
  <si>
    <t>Licking County</t>
  </si>
  <si>
    <t>Cuyahoga County</t>
  </si>
  <si>
    <t>Stark County</t>
  </si>
  <si>
    <t>Ross County</t>
  </si>
  <si>
    <t>Ashtabula County</t>
  </si>
  <si>
    <t>Sandusky County</t>
  </si>
  <si>
    <t>Portage County</t>
  </si>
  <si>
    <t>Lorain County</t>
  </si>
  <si>
    <t>Medina County</t>
  </si>
  <si>
    <t>Richland County</t>
  </si>
  <si>
    <t>Lucas County</t>
  </si>
  <si>
    <t>Belmont County</t>
  </si>
  <si>
    <t>Tuscarawas County</t>
  </si>
  <si>
    <t>Defiance County</t>
  </si>
  <si>
    <t>Miami County</t>
  </si>
  <si>
    <t>Trumbull County</t>
  </si>
  <si>
    <t>Muskingum County</t>
  </si>
  <si>
    <t>Mahoning County</t>
  </si>
  <si>
    <t>Wood County</t>
  </si>
  <si>
    <t>OK</t>
  </si>
  <si>
    <t>Tulsa County</t>
  </si>
  <si>
    <t>Kay County</t>
  </si>
  <si>
    <t>Canadian County</t>
  </si>
  <si>
    <t>Pontotoc County</t>
  </si>
  <si>
    <t>Comanche County</t>
  </si>
  <si>
    <t>Payne County</t>
  </si>
  <si>
    <t>Oklahoma County</t>
  </si>
  <si>
    <t>Muskogee County</t>
  </si>
  <si>
    <t>Carter County</t>
  </si>
  <si>
    <t>OR</t>
  </si>
  <si>
    <t>Yamhill County</t>
  </si>
  <si>
    <t>Multnomah County</t>
  </si>
  <si>
    <t>Klamath County</t>
  </si>
  <si>
    <t>Clatsop County</t>
  </si>
  <si>
    <t>Josephine County</t>
  </si>
  <si>
    <t>Deschutes County</t>
  </si>
  <si>
    <t>Lane County</t>
  </si>
  <si>
    <t>Clackamas County</t>
  </si>
  <si>
    <t>Coos County</t>
  </si>
  <si>
    <t>Wasco County</t>
  </si>
  <si>
    <t>Malheur County</t>
  </si>
  <si>
    <t>PA</t>
  </si>
  <si>
    <t>Luzerne County</t>
  </si>
  <si>
    <t>Bucks County</t>
  </si>
  <si>
    <t>Dauphin County</t>
  </si>
  <si>
    <t>Lackawanna County</t>
  </si>
  <si>
    <t>Beaver County</t>
  </si>
  <si>
    <t>Allegheny County</t>
  </si>
  <si>
    <t>Lehigh County</t>
  </si>
  <si>
    <t>Westmoreland County</t>
  </si>
  <si>
    <t>Cambria County</t>
  </si>
  <si>
    <t>Northampton County</t>
  </si>
  <si>
    <t>Lebanon County</t>
  </si>
  <si>
    <t>Blair County</t>
  </si>
  <si>
    <t>Philadelphia County</t>
  </si>
  <si>
    <t>Berks County</t>
  </si>
  <si>
    <t>Chester County</t>
  </si>
  <si>
    <t>Indiana County</t>
  </si>
  <si>
    <t>Centre County</t>
  </si>
  <si>
    <t>Lycoming County</t>
  </si>
  <si>
    <t>PR</t>
  </si>
  <si>
    <t>Guaynabo Municipio</t>
  </si>
  <si>
    <t>Caguas Municipio</t>
  </si>
  <si>
    <t>Carolina Municipio</t>
  </si>
  <si>
    <t>Ponce Municipio</t>
  </si>
  <si>
    <t>Hormigueros Municipio</t>
  </si>
  <si>
    <t>Bayam√≥n Municipio</t>
  </si>
  <si>
    <t>San Juan Municipio</t>
  </si>
  <si>
    <t>Manat√≠ Municipio</t>
  </si>
  <si>
    <t>RI</t>
  </si>
  <si>
    <t>Providence County</t>
  </si>
  <si>
    <t>Newport County</t>
  </si>
  <si>
    <t>SC</t>
  </si>
  <si>
    <t>Horry County</t>
  </si>
  <si>
    <t>Berkeley County</t>
  </si>
  <si>
    <t>Anderson County</t>
  </si>
  <si>
    <t>Pickens County</t>
  </si>
  <si>
    <t>Aiken County</t>
  </si>
  <si>
    <t>Florence County</t>
  </si>
  <si>
    <t>Sumter County</t>
  </si>
  <si>
    <t>Orangeburg County</t>
  </si>
  <si>
    <t>Charleston County</t>
  </si>
  <si>
    <t>Greenville County</t>
  </si>
  <si>
    <t>Greenwood County</t>
  </si>
  <si>
    <t>Spartanburg County</t>
  </si>
  <si>
    <t>Oconee County</t>
  </si>
  <si>
    <t>Lexington County</t>
  </si>
  <si>
    <t>SD</t>
  </si>
  <si>
    <t>Pennington County</t>
  </si>
  <si>
    <t>Brown County</t>
  </si>
  <si>
    <t>Lincoln County</t>
  </si>
  <si>
    <t>Minnehaha County</t>
  </si>
  <si>
    <t>TN</t>
  </si>
  <si>
    <t>McMinn County</t>
  </si>
  <si>
    <t>Dickson County</t>
  </si>
  <si>
    <t>Williamson County</t>
  </si>
  <si>
    <t>Sumner County</t>
  </si>
  <si>
    <t>Davidson County</t>
  </si>
  <si>
    <t>Hamblen County</t>
  </si>
  <si>
    <t>Blount County</t>
  </si>
  <si>
    <t>Maury County</t>
  </si>
  <si>
    <t>Sevier County</t>
  </si>
  <si>
    <t>Sullivan County</t>
  </si>
  <si>
    <t>Bradley County</t>
  </si>
  <si>
    <t>TX</t>
  </si>
  <si>
    <t>Cameron County</t>
  </si>
  <si>
    <t>Hunt County</t>
  </si>
  <si>
    <t>Lubbock County</t>
  </si>
  <si>
    <t>Navarro County</t>
  </si>
  <si>
    <t>Tarrant County</t>
  </si>
  <si>
    <t>Potter County</t>
  </si>
  <si>
    <t>Burnet County</t>
  </si>
  <si>
    <t>Wichita County</t>
  </si>
  <si>
    <t>Titus County</t>
  </si>
  <si>
    <t>Parker County</t>
  </si>
  <si>
    <t>Erath County</t>
  </si>
  <si>
    <t>Hidalgo County</t>
  </si>
  <si>
    <t>Guadalupe County</t>
  </si>
  <si>
    <t>Travis County</t>
  </si>
  <si>
    <t>Brazoria County</t>
  </si>
  <si>
    <t>Bastrop County</t>
  </si>
  <si>
    <t>Harris County</t>
  </si>
  <si>
    <t>Gregg County</t>
  </si>
  <si>
    <t>McLennan County</t>
  </si>
  <si>
    <t>Collin County</t>
  </si>
  <si>
    <t>Fort Bend County</t>
  </si>
  <si>
    <t>Nueces County</t>
  </si>
  <si>
    <t>Brazos County</t>
  </si>
  <si>
    <t>Denton County</t>
  </si>
  <si>
    <t>Kerr County</t>
  </si>
  <si>
    <t>Nacogdoches County</t>
  </si>
  <si>
    <t>Galveston County</t>
  </si>
  <si>
    <t>Ellis County</t>
  </si>
  <si>
    <t>Randall County</t>
  </si>
  <si>
    <t>Angelina County</t>
  </si>
  <si>
    <t>Walker County</t>
  </si>
  <si>
    <t>Hood County</t>
  </si>
  <si>
    <t>Ector County</t>
  </si>
  <si>
    <t>Bexar County</t>
  </si>
  <si>
    <t>Bell County</t>
  </si>
  <si>
    <t>Comal County</t>
  </si>
  <si>
    <t>Rockwall County</t>
  </si>
  <si>
    <t>Smith County</t>
  </si>
  <si>
    <t>Taylor County</t>
  </si>
  <si>
    <t>Webb County</t>
  </si>
  <si>
    <t>Bowie County</t>
  </si>
  <si>
    <t>Tom Green County</t>
  </si>
  <si>
    <t>Hays County</t>
  </si>
  <si>
    <t>Victoria County</t>
  </si>
  <si>
    <t>Grayson County</t>
  </si>
  <si>
    <t>UT</t>
  </si>
  <si>
    <t>Salt Lake County</t>
  </si>
  <si>
    <t>Cache County</t>
  </si>
  <si>
    <t>Utah County</t>
  </si>
  <si>
    <t>Weber County</t>
  </si>
  <si>
    <t>Davis County</t>
  </si>
  <si>
    <t>VA</t>
  </si>
  <si>
    <t>Fairfax city</t>
  </si>
  <si>
    <t>Stafford County</t>
  </si>
  <si>
    <t>Suffolk city</t>
  </si>
  <si>
    <t>Norfolk city</t>
  </si>
  <si>
    <t>Staunton city</t>
  </si>
  <si>
    <t>Henrico County</t>
  </si>
  <si>
    <t>Martinsville city</t>
  </si>
  <si>
    <t>Loudoun County</t>
  </si>
  <si>
    <t>Alexandria city</t>
  </si>
  <si>
    <t>Manassas city</t>
  </si>
  <si>
    <t>Newport News city</t>
  </si>
  <si>
    <t>Falls Church city</t>
  </si>
  <si>
    <t>Bristol city</t>
  </si>
  <si>
    <t>Fauquier County</t>
  </si>
  <si>
    <t>James City County</t>
  </si>
  <si>
    <t>Fairfax County</t>
  </si>
  <si>
    <t>Colonial Heights city</t>
  </si>
  <si>
    <t>Albemarle County</t>
  </si>
  <si>
    <t>Arlington County</t>
  </si>
  <si>
    <t>Richmond city</t>
  </si>
  <si>
    <t>Lynchburg city</t>
  </si>
  <si>
    <t>Chesterfield County</t>
  </si>
  <si>
    <t>Hanover County</t>
  </si>
  <si>
    <t>Danville city</t>
  </si>
  <si>
    <t>Roanoke city</t>
  </si>
  <si>
    <t>Winchester city</t>
  </si>
  <si>
    <t>Harrisonburg city</t>
  </si>
  <si>
    <t>Virginia Beach city</t>
  </si>
  <si>
    <t>Prince William County</t>
  </si>
  <si>
    <t>Norton city</t>
  </si>
  <si>
    <t>Fredericksburg city</t>
  </si>
  <si>
    <t>Charlottesville city</t>
  </si>
  <si>
    <t>Chesapeake city</t>
  </si>
  <si>
    <t>Williamsburg city</t>
  </si>
  <si>
    <t>St. Croix Island</t>
  </si>
  <si>
    <t>Hampton city</t>
  </si>
  <si>
    <t>VT</t>
  </si>
  <si>
    <t>Chittenden County</t>
  </si>
  <si>
    <t>Bennington County</t>
  </si>
  <si>
    <t>Rutland County</t>
  </si>
  <si>
    <t>WA</t>
  </si>
  <si>
    <t>King County</t>
  </si>
  <si>
    <t>Pierce County</t>
  </si>
  <si>
    <t>Snohomish County</t>
  </si>
  <si>
    <t>Kitsap County</t>
  </si>
  <si>
    <t>Walla Walla County</t>
  </si>
  <si>
    <t>Cowlitz County</t>
  </si>
  <si>
    <t>Grant County</t>
  </si>
  <si>
    <t>Chelan County</t>
  </si>
  <si>
    <t>Yakima County</t>
  </si>
  <si>
    <t>Lewis County</t>
  </si>
  <si>
    <t>Thurston County</t>
  </si>
  <si>
    <t>Skagit County</t>
  </si>
  <si>
    <t>Spokane County</t>
  </si>
  <si>
    <t>Whatcom County</t>
  </si>
  <si>
    <t>Island County</t>
  </si>
  <si>
    <t>Grays Harbor County</t>
  </si>
  <si>
    <t>Clallam County</t>
  </si>
  <si>
    <t>WI</t>
  </si>
  <si>
    <t>Eau Claire County</t>
  </si>
  <si>
    <t>Outagamie County</t>
  </si>
  <si>
    <t>Dane County</t>
  </si>
  <si>
    <t>Rock County</t>
  </si>
  <si>
    <t>Waukesha County</t>
  </si>
  <si>
    <t>Calumet County</t>
  </si>
  <si>
    <t>Milwaukee County</t>
  </si>
  <si>
    <t>Manitowoc County</t>
  </si>
  <si>
    <t>Ozaukee County</t>
  </si>
  <si>
    <t>Kenosha County</t>
  </si>
  <si>
    <t>Barron County</t>
  </si>
  <si>
    <t>Fond du Lac County</t>
  </si>
  <si>
    <t>Racine County</t>
  </si>
  <si>
    <t>La Crosse County</t>
  </si>
  <si>
    <t>Marathon County</t>
  </si>
  <si>
    <t>Sheboygan County</t>
  </si>
  <si>
    <t>WV</t>
  </si>
  <si>
    <t>Monongalia County</t>
  </si>
  <si>
    <t>Kanawha County</t>
  </si>
  <si>
    <t>Cabell County</t>
  </si>
  <si>
    <t>Raleigh County</t>
  </si>
  <si>
    <t>WY</t>
  </si>
  <si>
    <t>Natrona County</t>
  </si>
  <si>
    <t>Teton County</t>
  </si>
  <si>
    <t>Sweetwater County</t>
  </si>
  <si>
    <t>total_k12_population</t>
  </si>
  <si>
    <t>total_working_age_population</t>
  </si>
  <si>
    <t>total_weekly_visits</t>
  </si>
  <si>
    <t>total_high_school</t>
  </si>
  <si>
    <t>total_associates</t>
  </si>
  <si>
    <t>total_bachelor</t>
  </si>
  <si>
    <t>total_masters</t>
  </si>
  <si>
    <t>Andrews County</t>
  </si>
  <si>
    <t>Aransas County</t>
  </si>
  <si>
    <t>Refugio County</t>
  </si>
  <si>
    <t>Archer County</t>
  </si>
  <si>
    <t>Fannin County</t>
  </si>
  <si>
    <t>Armstrong County</t>
  </si>
  <si>
    <t>Atascosa County</t>
  </si>
  <si>
    <t>Austin County</t>
  </si>
  <si>
    <t>Bailey County</t>
  </si>
  <si>
    <t>Bandera County</t>
  </si>
  <si>
    <t>Baylor County</t>
  </si>
  <si>
    <t>Bee County</t>
  </si>
  <si>
    <t>Milam County</t>
  </si>
  <si>
    <t>Blanco County</t>
  </si>
  <si>
    <t>Borden County</t>
  </si>
  <si>
    <t>Bosque County</t>
  </si>
  <si>
    <t>Red River County</t>
  </si>
  <si>
    <t>Brewster County</t>
  </si>
  <si>
    <t>Presidio County</t>
  </si>
  <si>
    <t>Briscoe County</t>
  </si>
  <si>
    <t>Brooks County</t>
  </si>
  <si>
    <t>Starr County</t>
  </si>
  <si>
    <t>Burleson County</t>
  </si>
  <si>
    <t>Caldwell County</t>
  </si>
  <si>
    <t>Callahan County</t>
  </si>
  <si>
    <t>Camp County</t>
  </si>
  <si>
    <t>Upshur County</t>
  </si>
  <si>
    <t>Carson County</t>
  </si>
  <si>
    <t>Castro County</t>
  </si>
  <si>
    <t>Chambers County</t>
  </si>
  <si>
    <t>Childress County</t>
  </si>
  <si>
    <t>Cooke County</t>
  </si>
  <si>
    <t>Cochran County</t>
  </si>
  <si>
    <t>Coke County</t>
  </si>
  <si>
    <t>Coleman County</t>
  </si>
  <si>
    <t>Collingsworth County</t>
  </si>
  <si>
    <t>Colorado County</t>
  </si>
  <si>
    <t>Concho County</t>
  </si>
  <si>
    <t>Coryell County</t>
  </si>
  <si>
    <t>Cottle County</t>
  </si>
  <si>
    <t>Crane County</t>
  </si>
  <si>
    <t>Crockett County</t>
  </si>
  <si>
    <t>Crosby County</t>
  </si>
  <si>
    <t>Culberson County</t>
  </si>
  <si>
    <t>Dallam County</t>
  </si>
  <si>
    <t>(Disputed)</t>
  </si>
  <si>
    <t>Dawson County</t>
  </si>
  <si>
    <t>Deaf Smith County</t>
  </si>
  <si>
    <t>Delta County</t>
  </si>
  <si>
    <t>DeWitt County</t>
  </si>
  <si>
    <t>Dickens County</t>
  </si>
  <si>
    <t>Dimmit County</t>
  </si>
  <si>
    <t>Donley County</t>
  </si>
  <si>
    <t>Eastland County</t>
  </si>
  <si>
    <t>Edwards County</t>
  </si>
  <si>
    <t>Falls County</t>
  </si>
  <si>
    <t>Fisher County</t>
  </si>
  <si>
    <t>Foard County</t>
  </si>
  <si>
    <t>Freestone County</t>
  </si>
  <si>
    <t>Frio County</t>
  </si>
  <si>
    <t>Gaines County</t>
  </si>
  <si>
    <t>Garza County</t>
  </si>
  <si>
    <t>Gillespie County</t>
  </si>
  <si>
    <t>Glasscock County</t>
  </si>
  <si>
    <t>Goliad County</t>
  </si>
  <si>
    <t>Gonzales County</t>
  </si>
  <si>
    <t>Gray County</t>
  </si>
  <si>
    <t>Grimes County</t>
  </si>
  <si>
    <t>Hale County</t>
  </si>
  <si>
    <t>Hansford County</t>
  </si>
  <si>
    <t>Hardeman County</t>
  </si>
  <si>
    <t>Hartley County</t>
  </si>
  <si>
    <t>Haskell County</t>
  </si>
  <si>
    <t>Hemphill County</t>
  </si>
  <si>
    <t>Hill County</t>
  </si>
  <si>
    <t>Hockley County</t>
  </si>
  <si>
    <t>Hopkins County</t>
  </si>
  <si>
    <t>Hudspeth County</t>
  </si>
  <si>
    <t>Hutchinson County</t>
  </si>
  <si>
    <t>Irion County</t>
  </si>
  <si>
    <t>Jack County</t>
  </si>
  <si>
    <t>Jeff Davis County</t>
  </si>
  <si>
    <t>Jim Hogg County</t>
  </si>
  <si>
    <t>Jim Wells County</t>
  </si>
  <si>
    <t>Karnes County</t>
  </si>
  <si>
    <t>Kaufman County</t>
  </si>
  <si>
    <t>Kenedy County</t>
  </si>
  <si>
    <t>Kimble County</t>
  </si>
  <si>
    <t>Kinney County</t>
  </si>
  <si>
    <t>Kleberg County</t>
  </si>
  <si>
    <t>Lamb County</t>
  </si>
  <si>
    <t>Lampasas County</t>
  </si>
  <si>
    <t>La Salle County</t>
  </si>
  <si>
    <t>Lavaca County</t>
  </si>
  <si>
    <t>Named La Baca County until 1846</t>
  </si>
  <si>
    <t>Robertson County</t>
  </si>
  <si>
    <t>Liberty County</t>
  </si>
  <si>
    <t>Lipscomb County</t>
  </si>
  <si>
    <t>Live Oak County</t>
  </si>
  <si>
    <t>Llano County</t>
  </si>
  <si>
    <t>Loving County</t>
  </si>
  <si>
    <t>Lynn County</t>
  </si>
  <si>
    <t>McCulloch County</t>
  </si>
  <si>
    <t>McMullen County</t>
  </si>
  <si>
    <t>Mason County</t>
  </si>
  <si>
    <t>Matagorda County</t>
  </si>
  <si>
    <t>Maverick County</t>
  </si>
  <si>
    <t>Menard County</t>
  </si>
  <si>
    <t>Mills County</t>
  </si>
  <si>
    <t>Mitchell County</t>
  </si>
  <si>
    <t>Montague County</t>
  </si>
  <si>
    <t>Motley County</t>
  </si>
  <si>
    <t>Newton County</t>
  </si>
  <si>
    <t>Nolan County</t>
  </si>
  <si>
    <t>San Patricio County</t>
  </si>
  <si>
    <t>Ochiltree County</t>
  </si>
  <si>
    <t>Oldham County</t>
  </si>
  <si>
    <t>Palo Pinto County</t>
  </si>
  <si>
    <t>Panola County</t>
  </si>
  <si>
    <t>Parmer County</t>
  </si>
  <si>
    <t>Pecos County</t>
  </si>
  <si>
    <t>Rains County</t>
  </si>
  <si>
    <t>Reagan County</t>
  </si>
  <si>
    <t>Real County</t>
  </si>
  <si>
    <t>Reeves County</t>
  </si>
  <si>
    <t>Roberts County</t>
  </si>
  <si>
    <t>Runnels County</t>
  </si>
  <si>
    <t>Rusk County</t>
  </si>
  <si>
    <t>Sabine County</t>
  </si>
  <si>
    <t>San Augustine County</t>
  </si>
  <si>
    <t>San Jacinto County</t>
  </si>
  <si>
    <t>San Saba County</t>
  </si>
  <si>
    <t>Schleicher County</t>
  </si>
  <si>
    <t>Scurry County</t>
  </si>
  <si>
    <t>Shackelford County</t>
  </si>
  <si>
    <t>Sherman County</t>
  </si>
  <si>
    <t>Somervell County</t>
  </si>
  <si>
    <t>Stephens County</t>
  </si>
  <si>
    <t>Named Buchanan County until 1861</t>
  </si>
  <si>
    <t>Sterling County</t>
  </si>
  <si>
    <t>Stonewall County</t>
  </si>
  <si>
    <t>Sutton County</t>
  </si>
  <si>
    <t>Swisher County</t>
  </si>
  <si>
    <t>Terrell County</t>
  </si>
  <si>
    <t>Terry County</t>
  </si>
  <si>
    <t>Throckmorton County</t>
  </si>
  <si>
    <t>Trinity County</t>
  </si>
  <si>
    <t>Tyler County</t>
  </si>
  <si>
    <t>Upton County</t>
  </si>
  <si>
    <t>Uvalde County</t>
  </si>
  <si>
    <t>Val Verde County</t>
  </si>
  <si>
    <t>Van Zandt County</t>
  </si>
  <si>
    <t>Waller County</t>
  </si>
  <si>
    <t>Wharton County</t>
  </si>
  <si>
    <t>Wheeler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</si>
  <si>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</si>
  <si>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</si>
  <si>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</si>
  <si>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</si>
  <si>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</si>
  <si>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</si>
  <si>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</si>
  <si>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</si>
  <si>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(2,774 km2)</t>
  </si>
  <si>
    <t>(3,888 km2)</t>
  </si>
  <si>
    <t>(2,077 km2)</t>
  </si>
  <si>
    <t>(653 km2)</t>
  </si>
  <si>
    <t>(2,357 km2)</t>
  </si>
  <si>
    <t>(2,367 km2)</t>
  </si>
  <si>
    <t>(3,191 km2)</t>
  </si>
  <si>
    <t>(1,691 km2)</t>
  </si>
  <si>
    <t>(2,142 km2)</t>
  </si>
  <si>
    <t>(2,051 km2)</t>
  </si>
  <si>
    <t>(2,300 km2)</t>
  </si>
  <si>
    <t>(2,256 km2)</t>
  </si>
  <si>
    <t>(2,279 km2)</t>
  </si>
  <si>
    <t>(2,743 km2)</t>
  </si>
  <si>
    <t>(3,230 km2)</t>
  </si>
  <si>
    <t>(1,841 km2)</t>
  </si>
  <si>
    <t>(2,328 km2)</t>
  </si>
  <si>
    <t>(2,561 km2)</t>
  </si>
  <si>
    <t>(3,592 km2)</t>
  </si>
  <si>
    <t>(1,518 km2)</t>
  </si>
  <si>
    <t>(16,040 km2)</t>
  </si>
  <si>
    <t>(2,331 km2)</t>
  </si>
  <si>
    <t>(2,442 km2)</t>
  </si>
  <si>
    <t>(2,445 km2)</t>
  </si>
  <si>
    <t>(1,725 km2)</t>
  </si>
  <si>
    <t>(2,577 km2)</t>
  </si>
  <si>
    <t>(1,414 km2)</t>
  </si>
  <si>
    <t>(1,326 km2)</t>
  </si>
  <si>
    <t>(2,347 km2)</t>
  </si>
  <si>
    <t>(513 km2)</t>
  </si>
  <si>
    <t>(2,391 km2)</t>
  </si>
  <si>
    <t>Named Davis County 1861-1871</t>
  </si>
  <si>
    <t>(2,429 km2)</t>
  </si>
  <si>
    <t>(2,326 km2)</t>
  </si>
  <si>
    <t>(1,551 km2)</t>
  </si>
  <si>
    <t>(2,725 km2)</t>
  </si>
  <si>
    <t>(1,839 km2)</t>
  </si>
  <si>
    <t>(2,844 km2)</t>
  </si>
  <si>
    <t>(2,007 km2)</t>
  </si>
  <si>
    <t>(3,297 km2)</t>
  </si>
  <si>
    <t>(2,196 km2)</t>
  </si>
  <si>
    <t>(2,380 km2)</t>
  </si>
  <si>
    <t>(Colorado is Spanish for "colored")</t>
  </si>
  <si>
    <t>(2,494 km2)</t>
  </si>
  <si>
    <t>(1,456 km2)</t>
  </si>
  <si>
    <t>(2,569 km2)</t>
  </si>
  <si>
    <t>(2,264 km2)</t>
  </si>
  <si>
    <t>(2,334 km2)</t>
  </si>
  <si>
    <t>(2,036 km2)</t>
  </si>
  <si>
    <t>(7,273 km2)</t>
  </si>
  <si>
    <t>(9,876 km2)</t>
  </si>
  <si>
    <t>(3,898 km2)</t>
  </si>
  <si>
    <t>(2,336 km2)</t>
  </si>
  <si>
    <t>(3,877 km2)</t>
  </si>
  <si>
    <t>(717 km2)</t>
  </si>
  <si>
    <t>(2,354 km2)</t>
  </si>
  <si>
    <t>(2,341 km2)</t>
  </si>
  <si>
    <t>(3,447 km2)</t>
  </si>
  <si>
    <t>(2,409 km2)</t>
  </si>
  <si>
    <t>(4,644 km2)</t>
  </si>
  <si>
    <t>(2,398 km2)</t>
  </si>
  <si>
    <t>(5,491 km2)</t>
  </si>
  <si>
    <t>(2,435 km2)</t>
  </si>
  <si>
    <t>(2,624 km2)</t>
  </si>
  <si>
    <t>(2,813 km2)</t>
  </si>
  <si>
    <t>(1,992 km2)</t>
  </si>
  <si>
    <t>(2,310 km2)</t>
  </si>
  <si>
    <t>(2,460 km2)</t>
  </si>
  <si>
    <t>(1,831 km2)</t>
  </si>
  <si>
    <t>(2,266 km2)</t>
  </si>
  <si>
    <t>(741 km2)</t>
  </si>
  <si>
    <t>(2,292 km2)</t>
  </si>
  <si>
    <t>(Frío is Spanish for "cold")</t>
  </si>
  <si>
    <t>(2,934 km2)</t>
  </si>
  <si>
    <t>(3,890 km2)</t>
  </si>
  <si>
    <t>(1,033 km2)</t>
  </si>
  <si>
    <t>(2,321 km2)</t>
  </si>
  <si>
    <t>(2,748 km2)</t>
  </si>
  <si>
    <t>(2,212 km2)</t>
  </si>
  <si>
    <t>(2,766 km2)</t>
  </si>
  <si>
    <t>(2,404 km2)</t>
  </si>
  <si>
    <t>(2,419 km2)</t>
  </si>
  <si>
    <t>(710 km2)</t>
  </si>
  <si>
    <t>(2,056 km2)</t>
  </si>
  <si>
    <t>(2,603 km2)</t>
  </si>
  <si>
    <t>(2,339 km2)</t>
  </si>
  <si>
    <t>(2,165 km2)</t>
  </si>
  <si>
    <t>(2,383 km2)</t>
  </si>
  <si>
    <t>(1,800 km2)</t>
  </si>
  <si>
    <t>(2,315 km2)</t>
  </si>
  <si>
    <t>(4,478 km2)</t>
  </si>
  <si>
    <t>(3,787 km2)</t>
  </si>
  <si>
    <t>(1,756 km2)</t>
  </si>
  <si>
    <t>(4,064 km2)</t>
  </si>
  <si>
    <t>(2,492 km2)</t>
  </si>
  <si>
    <t>(2,352 km2)</t>
  </si>
  <si>
    <t>(1,093 km2)</t>
  </si>
  <si>
    <t>(2,033 km2)</t>
  </si>
  <si>
    <t>(3,188 km2)</t>
  </si>
  <si>
    <t>(11,839 km2)</t>
  </si>
  <si>
    <t>(2,178 km2)</t>
  </si>
  <si>
    <t>(2,297 km2)</t>
  </si>
  <si>
    <t>(2,375 km2)</t>
  </si>
  <si>
    <t>(2,150 km2)</t>
  </si>
  <si>
    <t>(5,866 km2)</t>
  </si>
  <si>
    <t>(2,942 km2)</t>
  </si>
  <si>
    <t>(2,240 km2)</t>
  </si>
  <si>
    <t>(1,888 km2)</t>
  </si>
  <si>
    <t>(2,411 km2)</t>
  </si>
  <si>
    <t>(1,942 km2)</t>
  </si>
  <si>
    <t>(1,715 km2)</t>
  </si>
  <si>
    <t>(3,774 km2)</t>
  </si>
  <si>
    <t>(2,865 km2)</t>
  </si>
  <si>
    <t>(3,240 km2)</t>
  </si>
  <si>
    <t>(2,362 km2)</t>
  </si>
  <si>
    <t>(3,533 km2)</t>
  </si>
  <si>
    <t>(2,631 km2)</t>
  </si>
  <si>
    <t>(Lampasas is Spanish for "lilies")</t>
  </si>
  <si>
    <t>(1,844 km2)</t>
  </si>
  <si>
    <t>(3,856 km2)</t>
  </si>
  <si>
    <t>(La vaca is Spanish for "the cow")</t>
  </si>
  <si>
    <t>(2,512 km2)</t>
  </si>
  <si>
    <t>(1,629 km2)</t>
  </si>
  <si>
    <t>or the león, a local variety of yellow wolf</t>
  </si>
  <si>
    <t>(2,776 km2)</t>
  </si>
  <si>
    <t>(3,004 km2)</t>
  </si>
  <si>
    <t>(2,414 km2)</t>
  </si>
  <si>
    <t>(2,683 km2)</t>
  </si>
  <si>
    <t>(Llano is Spanish for "plains")</t>
  </si>
  <si>
    <t>(2,422 km2)</t>
  </si>
  <si>
    <t>Reeves County (1931)</t>
  </si>
  <si>
    <t>(1,743 km2)</t>
  </si>
  <si>
    <t>(2,769 km2)</t>
  </si>
  <si>
    <t>(2,699 km2)</t>
  </si>
  <si>
    <t>(2,883 km2)</t>
  </si>
  <si>
    <t>(1,217 km2)</t>
  </si>
  <si>
    <t>(987 km2)</t>
  </si>
  <si>
    <t>(2,370 km2)</t>
  </si>
  <si>
    <t>(Mata gorda is Spanish for "fat bush")</t>
  </si>
  <si>
    <t>(2,885 km2)</t>
  </si>
  <si>
    <t>(3,315 km2)</t>
  </si>
  <si>
    <t>(3,440 km2)</t>
  </si>
  <si>
    <t>(2,634 km2)</t>
  </si>
  <si>
    <t>(1,937 km2)</t>
  </si>
  <si>
    <t>(2,704 km2)</t>
  </si>
  <si>
    <t>(658 km2)</t>
  </si>
  <si>
    <t>(2,453 km2)</t>
  </si>
  <si>
    <t>(2,416 km2)</t>
  </si>
  <si>
    <t>(Nueces is Spanish for "nuts")</t>
  </si>
  <si>
    <t>(2,378 km2)</t>
  </si>
  <si>
    <t>(922 km2)</t>
  </si>
  <si>
    <t>(Palo Pinto is Spanish for "painted stick")</t>
  </si>
  <si>
    <t>(2,468 km2)</t>
  </si>
  <si>
    <t>(2,075 km2)</t>
  </si>
  <si>
    <t>(2,284 km2)</t>
  </si>
  <si>
    <t>(12,339 km2)</t>
  </si>
  <si>
    <t>(2,738 km2)</t>
  </si>
  <si>
    <t>(9,987 km2)</t>
  </si>
  <si>
    <t>(671 km2)</t>
  </si>
  <si>
    <t>(3,043 km2)</t>
  </si>
  <si>
    <t>(1,813 km2)</t>
  </si>
  <si>
    <t>(2,719 km2)</t>
  </si>
  <si>
    <t>(6,827 km2)</t>
  </si>
  <si>
    <t>(1,994 km2)</t>
  </si>
  <si>
    <t>(2,393 km2)</t>
  </si>
  <si>
    <t>(2,214 km2)</t>
  </si>
  <si>
    <t>(386 km2)</t>
  </si>
  <si>
    <t>(2,730 km2)</t>
  </si>
  <si>
    <t>(Sabina is Spanish for "cypress")</t>
  </si>
  <si>
    <t>(1,269 km2)</t>
  </si>
  <si>
    <t>(1,368 km2)</t>
  </si>
  <si>
    <t>(1,479 km2)</t>
  </si>
  <si>
    <t>(1,792 km2)</t>
  </si>
  <si>
    <t>(2,937 km2)</t>
  </si>
  <si>
    <t>(3,395 km2)</t>
  </si>
  <si>
    <t>(484 km2)</t>
  </si>
  <si>
    <t>(3,168 km2)</t>
  </si>
  <si>
    <t>(2,318 km2)</t>
  </si>
  <si>
    <t>(3,766 km2)</t>
  </si>
  <si>
    <t>(2,238 km2)</t>
  </si>
  <si>
    <t>(2,372 km2)</t>
  </si>
  <si>
    <t>(6,107 km2)</t>
  </si>
  <si>
    <t>(2,305 km2)</t>
  </si>
  <si>
    <t>(1,064 km2)</t>
  </si>
  <si>
    <t>(3,942 km2)</t>
  </si>
  <si>
    <t>(1,795 km2)</t>
  </si>
  <si>
    <t>(1,523 km2)</t>
  </si>
  <si>
    <t>(3,217 km2)</t>
  </si>
  <si>
    <t>(4,033 km2)</t>
  </si>
  <si>
    <t>(Val Verde is Spanish for "green valley")</t>
  </si>
  <si>
    <t>(8,213 km2)</t>
  </si>
  <si>
    <t>(2,199 km2)</t>
  </si>
  <si>
    <t>(2,287 km2)</t>
  </si>
  <si>
    <t>(2,041 km2)</t>
  </si>
  <si>
    <t>(1,331 km2)</t>
  </si>
  <si>
    <t>(1,577 km2)</t>
  </si>
  <si>
    <t>(8,695 km2)</t>
  </si>
  <si>
    <t>(2,823 km2)</t>
  </si>
  <si>
    <t>(1,627 km2)</t>
  </si>
  <si>
    <t>(2,515 km2)</t>
  </si>
  <si>
    <t>(1,546 km2)</t>
  </si>
  <si>
    <t>(2,911 km2)</t>
  </si>
  <si>
    <t>(2,090 km2)</t>
  </si>
  <si>
    <t>(2,344 km2)</t>
  </si>
  <si>
    <t>(1,683 km2)</t>
  </si>
  <si>
    <t>(2,072 km2)</t>
  </si>
  <si>
    <t>(2,388 km2)</t>
  </si>
  <si>
    <t>(2,582 km2)</t>
  </si>
  <si>
    <t>(3,364 km2)</t>
  </si>
  <si>
    <t>Baker County</t>
  </si>
  <si>
    <t>Bradford County</t>
  </si>
  <si>
    <t>Dixie County</t>
  </si>
  <si>
    <t>Gadsden County</t>
  </si>
  <si>
    <t>Gilchrist County</t>
  </si>
  <si>
    <t>Glades County</t>
  </si>
  <si>
    <t>Gulf County</t>
  </si>
  <si>
    <t>Hardee County</t>
  </si>
  <si>
    <t>Hendry County</t>
  </si>
  <si>
    <t>Holmes County</t>
  </si>
  <si>
    <t>Levy County</t>
  </si>
  <si>
    <t>Okeechobee County</t>
  </si>
  <si>
    <t>Suwannee County</t>
  </si>
  <si>
    <t>Wakulla County</t>
  </si>
  <si>
    <t>Walton County</t>
  </si>
  <si>
    <t>Brand</t>
  </si>
  <si>
    <t>K–12 Population</t>
  </si>
  <si>
    <t>Visits</t>
  </si>
  <si>
    <t>Observation</t>
  </si>
  <si>
    <t>1.76M</t>
  </si>
  <si>
    <t>Strong presence in family-dense areas.</t>
  </si>
  <si>
    <t>1.62M</t>
  </si>
  <si>
    <t>Similar correlation—more students → more visits.</t>
  </si>
  <si>
    <t>130K</t>
  </si>
  <si>
    <t>Smaller K–12 population → fewer school-supply driven visits.</t>
  </si>
  <si>
    <t>Visits vs. K–12 Population</t>
  </si>
  <si>
    <t>Dwell Time vs. Working-Age Population</t>
  </si>
  <si>
    <t>Working-Age Pop.</t>
  </si>
  <si>
    <t>Avg. Dwell Time</t>
  </si>
  <si>
    <t>10.65M</t>
  </si>
  <si>
    <t>Large workforce → fast purchases.</t>
  </si>
  <si>
    <t>0.74M</t>
  </si>
  <si>
    <t>Smaller workforce → more leisurely shopping.</t>
  </si>
  <si>
    <t>2.05M</t>
  </si>
  <si>
    <t>Moderate engagement; specialty product line encourages longer visits.</t>
  </si>
  <si>
    <t>Education vs. Engagement</t>
  </si>
  <si>
    <t>Bachelor’s</t>
  </si>
  <si>
    <t>Master’s</t>
  </si>
  <si>
    <t>Dwell Time</t>
  </si>
  <si>
    <t>Operates in highly educated areas, consistent with creative, boutique-style shopping.</t>
  </si>
  <si>
    <t>Serves mixed-education, efficiency-oriented consumers.</t>
  </si>
  <si>
    <t>Highly educated consumer base with longer in-store exploration.</t>
  </si>
  <si>
    <t>Approx. Stabilization Week</t>
  </si>
  <si>
    <t>Recovery Pattern</t>
  </si>
  <si>
    <t>Key Interpretation</t>
  </si>
  <si>
    <t>Week 16–17</t>
  </si>
  <si>
    <t>Rapid rebound after steep mid-March dip</t>
  </si>
  <si>
    <r>
      <t>Strong </t>
    </r>
    <r>
      <rPr>
        <b/>
        <sz val="12"/>
        <color rgb="FF000000"/>
        <rFont val="Aptos Narrow"/>
        <family val="2"/>
        <scheme val="minor"/>
      </rPr>
      <t>brand loyalty</t>
    </r>
    <r>
      <rPr>
        <sz val="12"/>
        <color rgb="FF000000"/>
        <rFont val="Aptos Narrow"/>
        <family val="2"/>
        <scheme val="minor"/>
      </rPr>
      <t> and essential status drove early recovery; demand tied to home-office setup.</t>
    </r>
  </si>
  <si>
    <t>Week 17–18</t>
  </si>
  <si>
    <t>Gradual recovery and steady visits</t>
  </si>
  <si>
    <r>
      <t>Maintained </t>
    </r>
    <r>
      <rPr>
        <b/>
        <sz val="12"/>
        <color rgb="FF000000"/>
        <rFont val="Aptos Narrow"/>
        <family val="2"/>
        <scheme val="minor"/>
      </rPr>
      <t>consistent customer base</t>
    </r>
    <r>
      <rPr>
        <sz val="12"/>
        <color rgb="FF000000"/>
        <rFont val="Aptos Narrow"/>
        <family val="2"/>
        <scheme val="minor"/>
      </rPr>
      <t>; reflects reliability and convenience as essential retailer.</t>
    </r>
  </si>
  <si>
    <t>Week 18</t>
  </si>
  <si>
    <t>Slower, moderate rebound</t>
  </si>
  <si>
    <r>
      <t>Some </t>
    </r>
    <r>
      <rPr>
        <b/>
        <sz val="12"/>
        <color rgb="FF000000"/>
        <rFont val="Aptos Narrow"/>
        <family val="2"/>
        <scheme val="minor"/>
      </rPr>
      <t>brand overlap</t>
    </r>
    <r>
      <rPr>
        <sz val="12"/>
        <color rgb="FF000000"/>
        <rFont val="Aptos Narrow"/>
        <family val="2"/>
        <scheme val="minor"/>
      </rPr>
      <t> with Office Depot may have diluted traffic; secondary player in essential category.</t>
    </r>
  </si>
  <si>
    <t>Week 17</t>
  </si>
  <si>
    <t>Partial stabilization</t>
  </si>
  <si>
    <r>
      <t>Specialized product line</t>
    </r>
    <r>
      <rPr>
        <sz val="12"/>
        <color rgb="FF000000"/>
        <rFont val="Aptos Narrow"/>
        <family val="2"/>
        <scheme val="minor"/>
      </rPr>
      <t> led to moderate rebound; supported by printer and cartridge needs for remote work.</t>
    </r>
  </si>
  <si>
    <t>No clear stabilization</t>
  </si>
  <si>
    <t>Visits remained low through April</t>
  </si>
  <si>
    <r>
      <t>Non-essential, creative products</t>
    </r>
    <r>
      <rPr>
        <sz val="12"/>
        <color rgb="FF000000"/>
        <rFont val="Aptos Narrow"/>
        <family val="2"/>
        <scheme val="minor"/>
      </rPr>
      <t> saw sustained decline; recovery delayed by reduced in-store browsing.</t>
    </r>
  </si>
  <si>
    <t>Continued decline post-March</t>
  </si>
  <si>
    <r>
      <t>Discretionary gifting</t>
    </r>
    <r>
      <rPr>
        <sz val="12"/>
        <color rgb="FF000000"/>
        <rFont val="Aptos Narrow"/>
        <family val="2"/>
        <scheme val="minor"/>
      </rPr>
      <t> and stationery purchases collapsed; slow adaptation to online demand.</t>
    </r>
  </si>
  <si>
    <t>Minimal activity</t>
  </si>
  <si>
    <t>Stable at very low volume</t>
  </si>
  <si>
    <r>
      <t>Niche audience with </t>
    </r>
    <r>
      <rPr>
        <b/>
        <sz val="12"/>
        <color rgb="FF000000"/>
        <rFont val="Aptos Narrow"/>
        <family val="2"/>
        <scheme val="minor"/>
      </rPr>
      <t>deep but narrow engagement</t>
    </r>
    <r>
      <rPr>
        <sz val="12"/>
        <color rgb="FF000000"/>
        <rFont val="Aptos Narrow"/>
        <family val="2"/>
        <scheme val="minor"/>
      </rPr>
      <t>; limited market reach and low recovery potential.</t>
    </r>
  </si>
  <si>
    <t>Market Share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</si>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</sst>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0" fontId="0" fillId="2" borderId="0" xfId="0" applyFill="1" applyAlignment="1">
      <alignment horizontal="center"/>
    </xf>
    <xf numFmtId="0" fontId="4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1" xfId="0" applyFont="1" applyBorder="1"/>
    <xf numFmtId="3" fontId="6" fillId="0" borderId="1" xfId="0" applyNumberFormat="1" applyFont="1" applyBorder="1"/>
    <xf numFmtId="9" fontId="0" fillId="0" borderId="0" xfId="1" applyFont="1"/>
  </cellXfs>
  <cellStyles count="2">
    <cellStyle name="Normal" xfId="0" builtinId="0"/>
    <cellStyle name="Per cent" xfId="1" builtinId="5"/>
  </cellStyles>
  <dxfs count="4">
    <dxf>
      <numFmt numFmtId="164" formatCode="_(* #,##0_);_(* \(#,##0\);_(* &quot;-&quot;??_);_(@_)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Brand Wise Market Share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D3D-BE41-8457-E5EFE849619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D3D-BE41-8457-E5EFE849619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D3D-BE41-8457-E5EFE849619D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D3D-BE41-8457-E5EFE849619D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D3D-BE41-8457-E5EFE849619D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D3D-BE41-8457-E5EFE849619D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D3D-BE41-8457-E5EFE849619D}"/>
              </c:ext>
            </c:extLst>
          </c:dPt>
          <c:dLbls>
            <c:dLbl>
              <c:idx val="3"/>
              <c:layout>
                <c:manualLayout>
                  <c:x val="0.11351382288667661"/>
                  <c:y val="0.1304075335177697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D3D-BE41-8457-E5EFE849619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3D-BE41-8457-E5EFE84961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D3D-BE41-8457-E5EFE849619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3D-BE41-8457-E5EFE84961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 Total Visits By Brand'!$G$2:$G$8</c:f>
              <c:strCache>
                <c:ptCount val="7"/>
                <c:pt idx="0">
                  <c:v>Staples</c:v>
                </c:pt>
                <c:pt idx="1">
                  <c:v>Office Depot</c:v>
                </c:pt>
                <c:pt idx="2">
                  <c:v>OfficeMax</c:v>
                </c:pt>
                <c:pt idx="3">
                  <c:v>Cartridge World</c:v>
                </c:pt>
                <c:pt idx="4">
                  <c:v>Papyrus</c:v>
                </c:pt>
                <c:pt idx="5">
                  <c:v>Paper Source</c:v>
                </c:pt>
                <c:pt idx="6">
                  <c:v>Rapid Refill</c:v>
                </c:pt>
              </c:strCache>
            </c:strRef>
          </c:cat>
          <c:val>
            <c:numRef>
              <c:f>'Q1 Total Visits By Brand'!$H$2:$H$8</c:f>
              <c:numCache>
                <c:formatCode>0%</c:formatCode>
                <c:ptCount val="7"/>
                <c:pt idx="0">
                  <c:v>0.37850712317407542</c:v>
                </c:pt>
                <c:pt idx="1">
                  <c:v>0.34819950266558253</c:v>
                </c:pt>
                <c:pt idx="2">
                  <c:v>0.17122728682063793</c:v>
                </c:pt>
                <c:pt idx="3">
                  <c:v>4.6808691926997659E-2</c:v>
                </c:pt>
                <c:pt idx="4">
                  <c:v>2.8009218567008141E-2</c:v>
                </c:pt>
                <c:pt idx="5">
                  <c:v>2.6787937026110594E-2</c:v>
                </c:pt>
                <c:pt idx="6">
                  <c:v>4.6023981958771202E-4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D-BE41-8457-E5EFE849619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Visits by Office Supply Brands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 Total Visits By Brand'!$C$1</c:f>
              <c:strCache>
                <c:ptCount val="1"/>
                <c:pt idx="0">
                  <c:v>total_visits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 Total Visits By Brand'!$B$2:$B$8</c:f>
              <c:strCache>
                <c:ptCount val="7"/>
                <c:pt idx="0">
                  <c:v>Staples</c:v>
                </c:pt>
                <c:pt idx="1">
                  <c:v>Office Depot</c:v>
                </c:pt>
                <c:pt idx="2">
                  <c:v>OfficeMax</c:v>
                </c:pt>
                <c:pt idx="3">
                  <c:v>Cartridge World</c:v>
                </c:pt>
                <c:pt idx="4">
                  <c:v>Papyrus</c:v>
                </c:pt>
                <c:pt idx="5">
                  <c:v>Paper Source</c:v>
                </c:pt>
                <c:pt idx="6">
                  <c:v>Rapid Refill</c:v>
                </c:pt>
              </c:strCache>
            </c:strRef>
          </c:cat>
          <c:val>
            <c:numRef>
              <c:f>'Q1 Total Visits By Brand'!$C$2:$C$8</c:f>
              <c:numCache>
                <c:formatCode>General</c:formatCode>
                <c:ptCount val="7"/>
                <c:pt idx="0">
                  <c:v>1759141</c:v>
                </c:pt>
                <c:pt idx="1">
                  <c:v>1618284</c:v>
                </c:pt>
                <c:pt idx="2">
                  <c:v>795792</c:v>
                </c:pt>
                <c:pt idx="3">
                  <c:v>217547</c:v>
                </c:pt>
                <c:pt idx="4">
                  <c:v>130175</c:v>
                </c:pt>
                <c:pt idx="5">
                  <c:v>124499</c:v>
                </c:pt>
                <c:pt idx="6">
                  <c:v>2139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E-E14D-8607-B905F15DCA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876178816"/>
        <c:axId val="546674816"/>
      </c:barChart>
      <c:catAx>
        <c:axId val="876178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674816"/>
        <c:crosses val="autoZero"/>
        <c:auto val="1"/>
        <c:lblAlgn val="ctr"/>
        <c:lblOffset val="100"/>
        <c:noMultiLvlLbl val="0"/>
      </c:catAx>
      <c:valAx>
        <c:axId val="5466748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17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[Group 7_Org Data Insights.v2_final.xlsx]Weekly visits!PivotTable3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/>
                </a:solidFill>
              </a:rPr>
              <a:t>Weekly visit by Office Supply Brand (Jan 2020 - Apr 2020)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shade val="65000"/>
              </a:schemeClr>
            </a:solidFill>
            <a:ln w="9525">
              <a:solidFill>
                <a:schemeClr val="accent4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shade val="82000"/>
              </a:schemeClr>
            </a:solidFill>
            <a:ln w="9525">
              <a:solidFill>
                <a:schemeClr val="accent4">
                  <a:shade val="82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tint val="83000"/>
              </a:schemeClr>
            </a:solidFill>
            <a:ln w="9525">
              <a:solidFill>
                <a:schemeClr val="accent4">
                  <a:tint val="83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tint val="65000"/>
              </a:schemeClr>
            </a:solidFill>
            <a:ln w="9525">
              <a:solidFill>
                <a:schemeClr val="accent4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tint val="48000"/>
              </a:schemeClr>
            </a:solidFill>
            <a:ln w="9525">
              <a:solidFill>
                <a:schemeClr val="accent4">
                  <a:tint val="4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'Weekly visits'!$B$3:$B$4</c:f>
              <c:strCache>
                <c:ptCount val="1"/>
                <c:pt idx="0">
                  <c:v>Cartridge World</c:v>
                </c:pt>
              </c:strCache>
            </c:strRef>
          </c:tx>
          <c:spPr>
            <a:solidFill>
              <a:schemeClr val="accent4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'Weekly visits'!$A$5:$A$23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'Weekly visits'!$B$5:$B$23</c:f>
              <c:numCache>
                <c:formatCode>General</c:formatCode>
                <c:ptCount val="18"/>
                <c:pt idx="0">
                  <c:v>10045</c:v>
                </c:pt>
                <c:pt idx="1">
                  <c:v>15829</c:v>
                </c:pt>
                <c:pt idx="2">
                  <c:v>16923</c:v>
                </c:pt>
                <c:pt idx="3">
                  <c:v>16715</c:v>
                </c:pt>
                <c:pt idx="4">
                  <c:v>17319</c:v>
                </c:pt>
                <c:pt idx="5">
                  <c:v>16348</c:v>
                </c:pt>
                <c:pt idx="6">
                  <c:v>17267</c:v>
                </c:pt>
                <c:pt idx="7">
                  <c:v>15339</c:v>
                </c:pt>
                <c:pt idx="8">
                  <c:v>14285</c:v>
                </c:pt>
                <c:pt idx="9">
                  <c:v>18981</c:v>
                </c:pt>
                <c:pt idx="10">
                  <c:v>14159</c:v>
                </c:pt>
                <c:pt idx="11">
                  <c:v>9376</c:v>
                </c:pt>
                <c:pt idx="12">
                  <c:v>6902</c:v>
                </c:pt>
                <c:pt idx="13">
                  <c:v>6307</c:v>
                </c:pt>
                <c:pt idx="14">
                  <c:v>5381</c:v>
                </c:pt>
                <c:pt idx="15">
                  <c:v>5727</c:v>
                </c:pt>
                <c:pt idx="16">
                  <c:v>6507</c:v>
                </c:pt>
                <c:pt idx="17">
                  <c:v>4137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A-F347-ACFC-C77DB9C80A82}"/>
            </c:ext>
          </c:extLst>
        </c:ser>
        <c:ser>
          <c:idx val="1"/>
          <c:order val="1"/>
          <c:tx>
            <c:strRef>
              <c:f>'Weekly visits'!$C$3:$C$4</c:f>
              <c:strCache>
                <c:ptCount val="1"/>
                <c:pt idx="0">
                  <c:v>Office Depot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'Weekly visits'!$A$5:$A$23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'Weekly visits'!$C$5:$C$23</c:f>
              <c:numCache>
                <c:formatCode>General</c:formatCode>
                <c:ptCount val="18"/>
                <c:pt idx="0">
                  <c:v>88525</c:v>
                </c:pt>
                <c:pt idx="1">
                  <c:v>137625</c:v>
                </c:pt>
                <c:pt idx="2">
                  <c:v>127302</c:v>
                </c:pt>
                <c:pt idx="3">
                  <c:v>122799</c:v>
                </c:pt>
                <c:pt idx="4">
                  <c:v>120393</c:v>
                </c:pt>
                <c:pt idx="5">
                  <c:v>108226</c:v>
                </c:pt>
                <c:pt idx="6">
                  <c:v>107635</c:v>
                </c:pt>
                <c:pt idx="7">
                  <c:v>106101</c:v>
                </c:pt>
                <c:pt idx="8">
                  <c:v>111638</c:v>
                </c:pt>
                <c:pt idx="9">
                  <c:v>106349</c:v>
                </c:pt>
                <c:pt idx="10">
                  <c:v>104167</c:v>
                </c:pt>
                <c:pt idx="11">
                  <c:v>74510</c:v>
                </c:pt>
                <c:pt idx="12">
                  <c:v>54469</c:v>
                </c:pt>
                <c:pt idx="13">
                  <c:v>54841</c:v>
                </c:pt>
                <c:pt idx="14">
                  <c:v>47126</c:v>
                </c:pt>
                <c:pt idx="15">
                  <c:v>53865</c:v>
                </c:pt>
                <c:pt idx="16">
                  <c:v>57328</c:v>
                </c:pt>
                <c:pt idx="17">
                  <c:v>35374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84A-F347-ACFC-C77DB9C80A82}"/>
            </c:ext>
          </c:extLst>
        </c:ser>
        <c:ser>
          <c:idx val="2"/>
          <c:order val="2"/>
          <c:tx>
            <c:strRef>
              <c:f>'Weekly visits'!$D$3:$D$4</c:f>
              <c:strCache>
                <c:ptCount val="1"/>
                <c:pt idx="0">
                  <c:v>OfficeMax</c:v>
                </c:pt>
              </c:strCache>
            </c:strRef>
          </c:tx>
          <c:spPr>
            <a:solidFill>
              <a:schemeClr val="accent4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'Weekly visits'!$A$5:$A$23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'Weekly visits'!$D$5:$D$23</c:f>
              <c:numCache>
                <c:formatCode>General</c:formatCode>
                <c:ptCount val="18"/>
                <c:pt idx="0">
                  <c:v>45223</c:v>
                </c:pt>
                <c:pt idx="1">
                  <c:v>64867</c:v>
                </c:pt>
                <c:pt idx="2">
                  <c:v>60438</c:v>
                </c:pt>
                <c:pt idx="3">
                  <c:v>59669</c:v>
                </c:pt>
                <c:pt idx="4">
                  <c:v>58903</c:v>
                </c:pt>
                <c:pt idx="5">
                  <c:v>52893</c:v>
                </c:pt>
                <c:pt idx="6">
                  <c:v>52919</c:v>
                </c:pt>
                <c:pt idx="7">
                  <c:v>52508</c:v>
                </c:pt>
                <c:pt idx="8">
                  <c:v>55379</c:v>
                </c:pt>
                <c:pt idx="9">
                  <c:v>59389</c:v>
                </c:pt>
                <c:pt idx="10">
                  <c:v>52653</c:v>
                </c:pt>
                <c:pt idx="11">
                  <c:v>36008</c:v>
                </c:pt>
                <c:pt idx="12">
                  <c:v>25589</c:v>
                </c:pt>
                <c:pt idx="13">
                  <c:v>26915</c:v>
                </c:pt>
                <c:pt idx="14">
                  <c:v>22614</c:v>
                </c:pt>
                <c:pt idx="15">
                  <c:v>25876</c:v>
                </c:pt>
                <c:pt idx="16">
                  <c:v>27311</c:v>
                </c:pt>
                <c:pt idx="17">
                  <c:v>16599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84A-F347-ACFC-C77DB9C80A82}"/>
            </c:ext>
          </c:extLst>
        </c:ser>
        <c:ser>
          <c:idx val="3"/>
          <c:order val="3"/>
          <c:tx>
            <c:strRef>
              <c:f>'Weekly visits'!$E$3:$E$4</c:f>
              <c:strCache>
                <c:ptCount val="1"/>
                <c:pt idx="0">
                  <c:v>Paper Source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'Weekly visits'!$A$5:$A$23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'Weekly visits'!$E$5:$E$23</c:f>
              <c:numCache>
                <c:formatCode>General</c:formatCode>
                <c:ptCount val="18"/>
                <c:pt idx="0">
                  <c:v>10386</c:v>
                </c:pt>
                <c:pt idx="1">
                  <c:v>12489</c:v>
                </c:pt>
                <c:pt idx="2">
                  <c:v>11264</c:v>
                </c:pt>
                <c:pt idx="3">
                  <c:v>10938</c:v>
                </c:pt>
                <c:pt idx="4">
                  <c:v>10243</c:v>
                </c:pt>
                <c:pt idx="5">
                  <c:v>10244</c:v>
                </c:pt>
                <c:pt idx="6">
                  <c:v>11349</c:v>
                </c:pt>
                <c:pt idx="7">
                  <c:v>10546</c:v>
                </c:pt>
                <c:pt idx="8">
                  <c:v>10260</c:v>
                </c:pt>
                <c:pt idx="9">
                  <c:v>9872</c:v>
                </c:pt>
                <c:pt idx="10">
                  <c:v>8069</c:v>
                </c:pt>
                <c:pt idx="11">
                  <c:v>2044</c:v>
                </c:pt>
                <c:pt idx="12">
                  <c:v>1307</c:v>
                </c:pt>
                <c:pt idx="13">
                  <c:v>1216</c:v>
                </c:pt>
                <c:pt idx="14">
                  <c:v>1175</c:v>
                </c:pt>
                <c:pt idx="15">
                  <c:v>1140</c:v>
                </c:pt>
                <c:pt idx="16">
                  <c:v>1218</c:v>
                </c:pt>
                <c:pt idx="17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84A-F347-ACFC-C77DB9C80A82}"/>
            </c:ext>
          </c:extLst>
        </c:ser>
        <c:ser>
          <c:idx val="4"/>
          <c:order val="4"/>
          <c:tx>
            <c:strRef>
              <c:f>'Weekly visits'!$F$3:$F$4</c:f>
              <c:strCache>
                <c:ptCount val="1"/>
                <c:pt idx="0">
                  <c:v>Papyrus</c:v>
                </c:pt>
              </c:strCache>
            </c:strRef>
          </c:tx>
          <c:spPr>
            <a:solidFill>
              <a:schemeClr val="accent4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'Weekly visits'!$A$5:$A$23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'Weekly visits'!$F$5:$F$23</c:f>
              <c:numCache>
                <c:formatCode>General</c:formatCode>
                <c:ptCount val="18"/>
                <c:pt idx="0">
                  <c:v>9145</c:v>
                </c:pt>
                <c:pt idx="1">
                  <c:v>14187</c:v>
                </c:pt>
                <c:pt idx="2">
                  <c:v>15126</c:v>
                </c:pt>
                <c:pt idx="3">
                  <c:v>11680</c:v>
                </c:pt>
                <c:pt idx="4">
                  <c:v>10608</c:v>
                </c:pt>
                <c:pt idx="5">
                  <c:v>10223</c:v>
                </c:pt>
                <c:pt idx="6">
                  <c:v>10789</c:v>
                </c:pt>
                <c:pt idx="7">
                  <c:v>10423</c:v>
                </c:pt>
                <c:pt idx="8">
                  <c:v>9703</c:v>
                </c:pt>
                <c:pt idx="9">
                  <c:v>10471</c:v>
                </c:pt>
                <c:pt idx="10">
                  <c:v>8029</c:v>
                </c:pt>
                <c:pt idx="11">
                  <c:v>2655</c:v>
                </c:pt>
                <c:pt idx="12">
                  <c:v>1397</c:v>
                </c:pt>
                <c:pt idx="13">
                  <c:v>1338</c:v>
                </c:pt>
                <c:pt idx="14">
                  <c:v>1185</c:v>
                </c:pt>
                <c:pt idx="15">
                  <c:v>1120</c:v>
                </c:pt>
                <c:pt idx="16">
                  <c:v>1302</c:v>
                </c:pt>
                <c:pt idx="17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84A-F347-ACFC-C77DB9C80A82}"/>
            </c:ext>
          </c:extLst>
        </c:ser>
        <c:ser>
          <c:idx val="5"/>
          <c:order val="5"/>
          <c:tx>
            <c:strRef>
              <c:f>'Weekly visits'!$G$3:$G$4</c:f>
              <c:strCache>
                <c:ptCount val="1"/>
                <c:pt idx="0">
                  <c:v>Rapid Refill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'Weekly visits'!$A$5:$A$23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'Weekly visits'!$G$5:$G$23</c:f>
              <c:numCache>
                <c:formatCode>General</c:formatCode>
                <c:ptCount val="18"/>
                <c:pt idx="0">
                  <c:v>159</c:v>
                </c:pt>
                <c:pt idx="1">
                  <c:v>219</c:v>
                </c:pt>
                <c:pt idx="2">
                  <c:v>186</c:v>
                </c:pt>
                <c:pt idx="3">
                  <c:v>193</c:v>
                </c:pt>
                <c:pt idx="4">
                  <c:v>165</c:v>
                </c:pt>
                <c:pt idx="5">
                  <c:v>165</c:v>
                </c:pt>
                <c:pt idx="6">
                  <c:v>179</c:v>
                </c:pt>
                <c:pt idx="7">
                  <c:v>162</c:v>
                </c:pt>
                <c:pt idx="8">
                  <c:v>169</c:v>
                </c:pt>
                <c:pt idx="9">
                  <c:v>162</c:v>
                </c:pt>
                <c:pt idx="10">
                  <c:v>128</c:v>
                </c:pt>
                <c:pt idx="11">
                  <c:v>61</c:v>
                </c:pt>
                <c:pt idx="12">
                  <c:v>28</c:v>
                </c:pt>
                <c:pt idx="13">
                  <c:v>35</c:v>
                </c:pt>
                <c:pt idx="14">
                  <c:v>25</c:v>
                </c:pt>
                <c:pt idx="15">
                  <c:v>43</c:v>
                </c:pt>
                <c:pt idx="16">
                  <c:v>41</c:v>
                </c:pt>
                <c:pt idx="1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84A-F347-ACFC-C77DB9C80A82}"/>
            </c:ext>
          </c:extLst>
        </c:ser>
        <c:ser>
          <c:idx val="6"/>
          <c:order val="6"/>
          <c:tx>
            <c:strRef>
              <c:f>'Weekly visits'!$H$3:$H$4</c:f>
              <c:strCache>
                <c:ptCount val="1"/>
                <c:pt idx="0">
                  <c:v>Staples</c:v>
                </c:pt>
              </c:strCache>
            </c:strRef>
          </c:tx>
          <c:spPr>
            <a:solidFill>
              <a:schemeClr val="accent4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'Weekly visits'!$A$5:$A$23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'Weekly visits'!$H$5:$H$23</c:f>
              <c:numCache>
                <c:formatCode>General</c:formatCode>
                <c:ptCount val="18"/>
                <c:pt idx="0">
                  <c:v>98639</c:v>
                </c:pt>
                <c:pt idx="1">
                  <c:v>145277</c:v>
                </c:pt>
                <c:pt idx="2">
                  <c:v>133421</c:v>
                </c:pt>
                <c:pt idx="3">
                  <c:v>133421</c:v>
                </c:pt>
                <c:pt idx="4">
                  <c:v>130879</c:v>
                </c:pt>
                <c:pt idx="5">
                  <c:v>116420</c:v>
                </c:pt>
                <c:pt idx="6">
                  <c:v>113362</c:v>
                </c:pt>
                <c:pt idx="7">
                  <c:v>114201</c:v>
                </c:pt>
                <c:pt idx="8">
                  <c:v>118652</c:v>
                </c:pt>
                <c:pt idx="9">
                  <c:v>123411</c:v>
                </c:pt>
                <c:pt idx="10">
                  <c:v>115674</c:v>
                </c:pt>
                <c:pt idx="11">
                  <c:v>76755</c:v>
                </c:pt>
                <c:pt idx="12">
                  <c:v>50221</c:v>
                </c:pt>
                <c:pt idx="13">
                  <c:v>53861</c:v>
                </c:pt>
                <c:pt idx="14">
                  <c:v>46907</c:v>
                </c:pt>
                <c:pt idx="15">
                  <c:v>52387</c:v>
                </c:pt>
                <c:pt idx="16">
                  <c:v>98370</c:v>
                </c:pt>
                <c:pt idx="17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84A-F347-ACFC-C77DB9C80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68808448"/>
        <c:axId val="546930688"/>
      </c:barChart>
      <c:catAx>
        <c:axId val="26880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Weeks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30688"/>
        <c:crosses val="autoZero"/>
        <c:auto val="1"/>
        <c:lblAlgn val="ctr"/>
        <c:lblOffset val="100"/>
        <c:noMultiLvlLbl val="0"/>
      </c:catAx>
      <c:valAx>
        <c:axId val="54693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Total Visits</a:t>
                </a:r>
                <a:r>
                  <a:rPr lang="en-GB" sz="1050" baseline="0"/>
                  <a:t> (Actuals)</a:t>
                </a:r>
                <a:endParaRPr lang="en-GB" sz="105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80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7_Org Data Insights.v2_final.xlsx]Q1 Weekly Visits!PivotTable2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Weekly visit by Office Supply Brand (Jan 2020 - Apr 2020)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 Weekly Visits'!$H$2:$H$3</c:f>
              <c:strCache>
                <c:ptCount val="1"/>
                <c:pt idx="0">
                  <c:v>Cartridge World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'Q1 Weekly Visits'!$G$4:$G$22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'Q1 Weekly Visits'!$H$4:$H$22</c:f>
              <c:numCache>
                <c:formatCode>General</c:formatCode>
                <c:ptCount val="18"/>
                <c:pt idx="0">
                  <c:v>10045</c:v>
                </c:pt>
                <c:pt idx="1">
                  <c:v>15829</c:v>
                </c:pt>
                <c:pt idx="2">
                  <c:v>16923</c:v>
                </c:pt>
                <c:pt idx="3">
                  <c:v>16715</c:v>
                </c:pt>
                <c:pt idx="4">
                  <c:v>17319</c:v>
                </c:pt>
                <c:pt idx="5">
                  <c:v>16348</c:v>
                </c:pt>
                <c:pt idx="6">
                  <c:v>17267</c:v>
                </c:pt>
                <c:pt idx="7">
                  <c:v>15339</c:v>
                </c:pt>
                <c:pt idx="8">
                  <c:v>14285</c:v>
                </c:pt>
                <c:pt idx="9">
                  <c:v>18981</c:v>
                </c:pt>
                <c:pt idx="10">
                  <c:v>14159</c:v>
                </c:pt>
                <c:pt idx="11">
                  <c:v>9376</c:v>
                </c:pt>
                <c:pt idx="12">
                  <c:v>6902</c:v>
                </c:pt>
                <c:pt idx="13">
                  <c:v>6307</c:v>
                </c:pt>
                <c:pt idx="14">
                  <c:v>5381</c:v>
                </c:pt>
                <c:pt idx="15">
                  <c:v>5727</c:v>
                </c:pt>
                <c:pt idx="16">
                  <c:v>6507</c:v>
                </c:pt>
                <c:pt idx="17">
                  <c:v>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A-534E-BDBA-A41044439105}"/>
            </c:ext>
          </c:extLst>
        </c:ser>
        <c:ser>
          <c:idx val="1"/>
          <c:order val="1"/>
          <c:tx>
            <c:strRef>
              <c:f>'Q1 Weekly Visits'!$I$2:$I$3</c:f>
              <c:strCache>
                <c:ptCount val="1"/>
                <c:pt idx="0">
                  <c:v>Office Depot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'Q1 Weekly Visits'!$G$4:$G$22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'Q1 Weekly Visits'!$I$4:$I$22</c:f>
              <c:numCache>
                <c:formatCode>General</c:formatCode>
                <c:ptCount val="18"/>
                <c:pt idx="0">
                  <c:v>88525</c:v>
                </c:pt>
                <c:pt idx="1">
                  <c:v>137625</c:v>
                </c:pt>
                <c:pt idx="2">
                  <c:v>127302</c:v>
                </c:pt>
                <c:pt idx="3">
                  <c:v>122799</c:v>
                </c:pt>
                <c:pt idx="4">
                  <c:v>120393</c:v>
                </c:pt>
                <c:pt idx="5">
                  <c:v>108226</c:v>
                </c:pt>
                <c:pt idx="6">
                  <c:v>107635</c:v>
                </c:pt>
                <c:pt idx="7">
                  <c:v>106101</c:v>
                </c:pt>
                <c:pt idx="8">
                  <c:v>111638</c:v>
                </c:pt>
                <c:pt idx="9">
                  <c:v>106349</c:v>
                </c:pt>
                <c:pt idx="10">
                  <c:v>104167</c:v>
                </c:pt>
                <c:pt idx="11">
                  <c:v>74510</c:v>
                </c:pt>
                <c:pt idx="12">
                  <c:v>54469</c:v>
                </c:pt>
                <c:pt idx="13">
                  <c:v>54841</c:v>
                </c:pt>
                <c:pt idx="14">
                  <c:v>47126</c:v>
                </c:pt>
                <c:pt idx="15">
                  <c:v>53865</c:v>
                </c:pt>
                <c:pt idx="16">
                  <c:v>57328</c:v>
                </c:pt>
                <c:pt idx="17">
                  <c:v>35374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0A-534E-BDBA-A41044439105}"/>
            </c:ext>
          </c:extLst>
        </c:ser>
        <c:ser>
          <c:idx val="2"/>
          <c:order val="2"/>
          <c:tx>
            <c:strRef>
              <c:f>'Q1 Weekly Visits'!$J$2:$J$3</c:f>
              <c:strCache>
                <c:ptCount val="1"/>
                <c:pt idx="0">
                  <c:v>OfficeMax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'Q1 Weekly Visits'!$G$4:$G$22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'Q1 Weekly Visits'!$J$4:$J$22</c:f>
              <c:numCache>
                <c:formatCode>General</c:formatCode>
                <c:ptCount val="18"/>
                <c:pt idx="0">
                  <c:v>45223</c:v>
                </c:pt>
                <c:pt idx="1">
                  <c:v>64867</c:v>
                </c:pt>
                <c:pt idx="2">
                  <c:v>60438</c:v>
                </c:pt>
                <c:pt idx="3">
                  <c:v>59669</c:v>
                </c:pt>
                <c:pt idx="4">
                  <c:v>58903</c:v>
                </c:pt>
                <c:pt idx="5">
                  <c:v>52893</c:v>
                </c:pt>
                <c:pt idx="6">
                  <c:v>52919</c:v>
                </c:pt>
                <c:pt idx="7">
                  <c:v>52508</c:v>
                </c:pt>
                <c:pt idx="8">
                  <c:v>55379</c:v>
                </c:pt>
                <c:pt idx="9">
                  <c:v>59389</c:v>
                </c:pt>
                <c:pt idx="10">
                  <c:v>52653</c:v>
                </c:pt>
                <c:pt idx="11">
                  <c:v>36008</c:v>
                </c:pt>
                <c:pt idx="12">
                  <c:v>25589</c:v>
                </c:pt>
                <c:pt idx="13">
                  <c:v>26915</c:v>
                </c:pt>
                <c:pt idx="14">
                  <c:v>22614</c:v>
                </c:pt>
                <c:pt idx="15">
                  <c:v>25876</c:v>
                </c:pt>
                <c:pt idx="16">
                  <c:v>27311</c:v>
                </c:pt>
                <c:pt idx="17">
                  <c:v>16599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0A-534E-BDBA-A41044439105}"/>
            </c:ext>
          </c:extLst>
        </c:ser>
        <c:ser>
          <c:idx val="3"/>
          <c:order val="3"/>
          <c:tx>
            <c:strRef>
              <c:f>'Q1 Weekly Visits'!$K$2:$K$3</c:f>
              <c:strCache>
                <c:ptCount val="1"/>
                <c:pt idx="0">
                  <c:v>Paper Source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'Q1 Weekly Visits'!$G$4:$G$22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'Q1 Weekly Visits'!$K$4:$K$22</c:f>
              <c:numCache>
                <c:formatCode>General</c:formatCode>
                <c:ptCount val="18"/>
                <c:pt idx="0">
                  <c:v>10386</c:v>
                </c:pt>
                <c:pt idx="1">
                  <c:v>12489</c:v>
                </c:pt>
                <c:pt idx="2">
                  <c:v>11264</c:v>
                </c:pt>
                <c:pt idx="3">
                  <c:v>10938</c:v>
                </c:pt>
                <c:pt idx="4">
                  <c:v>10243</c:v>
                </c:pt>
                <c:pt idx="5">
                  <c:v>10244</c:v>
                </c:pt>
                <c:pt idx="6">
                  <c:v>11349</c:v>
                </c:pt>
                <c:pt idx="7">
                  <c:v>10546</c:v>
                </c:pt>
                <c:pt idx="8">
                  <c:v>10260</c:v>
                </c:pt>
                <c:pt idx="9">
                  <c:v>9872</c:v>
                </c:pt>
                <c:pt idx="10">
                  <c:v>8069</c:v>
                </c:pt>
                <c:pt idx="11">
                  <c:v>2044</c:v>
                </c:pt>
                <c:pt idx="12">
                  <c:v>1307</c:v>
                </c:pt>
                <c:pt idx="13">
                  <c:v>1216</c:v>
                </c:pt>
                <c:pt idx="14">
                  <c:v>1175</c:v>
                </c:pt>
                <c:pt idx="15">
                  <c:v>1140</c:v>
                </c:pt>
                <c:pt idx="16">
                  <c:v>1218</c:v>
                </c:pt>
                <c:pt idx="17">
                  <c:v>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0A-534E-BDBA-A41044439105}"/>
            </c:ext>
          </c:extLst>
        </c:ser>
        <c:ser>
          <c:idx val="4"/>
          <c:order val="4"/>
          <c:tx>
            <c:strRef>
              <c:f>'Q1 Weekly Visits'!$L$2:$L$3</c:f>
              <c:strCache>
                <c:ptCount val="1"/>
                <c:pt idx="0">
                  <c:v>Papyrus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'Q1 Weekly Visits'!$G$4:$G$22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'Q1 Weekly Visits'!$L$4:$L$22</c:f>
              <c:numCache>
                <c:formatCode>General</c:formatCode>
                <c:ptCount val="18"/>
                <c:pt idx="0">
                  <c:v>9145</c:v>
                </c:pt>
                <c:pt idx="1">
                  <c:v>14187</c:v>
                </c:pt>
                <c:pt idx="2">
                  <c:v>15126</c:v>
                </c:pt>
                <c:pt idx="3">
                  <c:v>11680</c:v>
                </c:pt>
                <c:pt idx="4">
                  <c:v>10608</c:v>
                </c:pt>
                <c:pt idx="5">
                  <c:v>10223</c:v>
                </c:pt>
                <c:pt idx="6">
                  <c:v>10789</c:v>
                </c:pt>
                <c:pt idx="7">
                  <c:v>10423</c:v>
                </c:pt>
                <c:pt idx="8">
                  <c:v>9703</c:v>
                </c:pt>
                <c:pt idx="9">
                  <c:v>10471</c:v>
                </c:pt>
                <c:pt idx="10">
                  <c:v>8029</c:v>
                </c:pt>
                <c:pt idx="11">
                  <c:v>2655</c:v>
                </c:pt>
                <c:pt idx="12">
                  <c:v>1397</c:v>
                </c:pt>
                <c:pt idx="13">
                  <c:v>1338</c:v>
                </c:pt>
                <c:pt idx="14">
                  <c:v>1185</c:v>
                </c:pt>
                <c:pt idx="15">
                  <c:v>1120</c:v>
                </c:pt>
                <c:pt idx="16">
                  <c:v>1302</c:v>
                </c:pt>
                <c:pt idx="17">
                  <c:v>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0A-534E-BDBA-A41044439105}"/>
            </c:ext>
          </c:extLst>
        </c:ser>
        <c:ser>
          <c:idx val="5"/>
          <c:order val="5"/>
          <c:tx>
            <c:strRef>
              <c:f>'Q1 Weekly Visits'!$M$2:$M$3</c:f>
              <c:strCache>
                <c:ptCount val="1"/>
                <c:pt idx="0">
                  <c:v>Rapid Refill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'Q1 Weekly Visits'!$G$4:$G$22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'Q1 Weekly Visits'!$M$4:$M$22</c:f>
              <c:numCache>
                <c:formatCode>General</c:formatCode>
                <c:ptCount val="18"/>
                <c:pt idx="0">
                  <c:v>159</c:v>
                </c:pt>
                <c:pt idx="1">
                  <c:v>219</c:v>
                </c:pt>
                <c:pt idx="2">
                  <c:v>186</c:v>
                </c:pt>
                <c:pt idx="3">
                  <c:v>193</c:v>
                </c:pt>
                <c:pt idx="4">
                  <c:v>165</c:v>
                </c:pt>
                <c:pt idx="5">
                  <c:v>165</c:v>
                </c:pt>
                <c:pt idx="6">
                  <c:v>179</c:v>
                </c:pt>
                <c:pt idx="7">
                  <c:v>162</c:v>
                </c:pt>
                <c:pt idx="8">
                  <c:v>169</c:v>
                </c:pt>
                <c:pt idx="9">
                  <c:v>162</c:v>
                </c:pt>
                <c:pt idx="10">
                  <c:v>128</c:v>
                </c:pt>
                <c:pt idx="11">
                  <c:v>61</c:v>
                </c:pt>
                <c:pt idx="12">
                  <c:v>28</c:v>
                </c:pt>
                <c:pt idx="13">
                  <c:v>35</c:v>
                </c:pt>
                <c:pt idx="14">
                  <c:v>25</c:v>
                </c:pt>
                <c:pt idx="15">
                  <c:v>43</c:v>
                </c:pt>
                <c:pt idx="16">
                  <c:v>41</c:v>
                </c:pt>
                <c:pt idx="17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0A-534E-BDBA-A41044439105}"/>
            </c:ext>
          </c:extLst>
        </c:ser>
        <c:ser>
          <c:idx val="6"/>
          <c:order val="6"/>
          <c:tx>
            <c:strRef>
              <c:f>'Q1 Weekly Visits'!$N$2:$N$3</c:f>
              <c:strCache>
                <c:ptCount val="1"/>
                <c:pt idx="0">
                  <c:v>Staples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'Q1 Weekly Visits'!$G$4:$G$22</c:f>
              <c:strCache>
                <c:ptCount val="18"/>
                <c:pt idx="0">
                  <c:v>W-01</c:v>
                </c:pt>
                <c:pt idx="1">
                  <c:v>W-02</c:v>
                </c:pt>
                <c:pt idx="2">
                  <c:v>W-03</c:v>
                </c:pt>
                <c:pt idx="3">
                  <c:v>W-04</c:v>
                </c:pt>
                <c:pt idx="4">
                  <c:v>W-05</c:v>
                </c:pt>
                <c:pt idx="5">
                  <c:v>W-06</c:v>
                </c:pt>
                <c:pt idx="6">
                  <c:v>W-07</c:v>
                </c:pt>
                <c:pt idx="7">
                  <c:v>W-08</c:v>
                </c:pt>
                <c:pt idx="8">
                  <c:v>W-09</c:v>
                </c:pt>
                <c:pt idx="9">
                  <c:v>W-10</c:v>
                </c:pt>
                <c:pt idx="10">
                  <c:v>W-11</c:v>
                </c:pt>
                <c:pt idx="11">
                  <c:v>W-12</c:v>
                </c:pt>
                <c:pt idx="12">
                  <c:v>W-13</c:v>
                </c:pt>
                <c:pt idx="13">
                  <c:v>W-14</c:v>
                </c:pt>
                <c:pt idx="14">
                  <c:v>W-15</c:v>
                </c:pt>
                <c:pt idx="15">
                  <c:v>W-16</c:v>
                </c:pt>
                <c:pt idx="16">
                  <c:v>W-17</c:v>
                </c:pt>
                <c:pt idx="17">
                  <c:v>W-18</c:v>
                </c:pt>
              </c:strCache>
            </c:strRef>
          </c:cat>
          <c:val>
            <c:numRef>
              <c:f>'Q1 Weekly Visits'!$N$4:$N$22</c:f>
              <c:numCache>
                <c:formatCode>General</c:formatCode>
                <c:ptCount val="18"/>
                <c:pt idx="0">
                  <c:v>98639</c:v>
                </c:pt>
                <c:pt idx="1">
                  <c:v>145277</c:v>
                </c:pt>
                <c:pt idx="2">
                  <c:v>133421</c:v>
                </c:pt>
                <c:pt idx="3">
                  <c:v>133421</c:v>
                </c:pt>
                <c:pt idx="4">
                  <c:v>130879</c:v>
                </c:pt>
                <c:pt idx="5">
                  <c:v>116420</c:v>
                </c:pt>
                <c:pt idx="6">
                  <c:v>113362</c:v>
                </c:pt>
                <c:pt idx="7">
                  <c:v>114201</c:v>
                </c:pt>
                <c:pt idx="8">
                  <c:v>118652</c:v>
                </c:pt>
                <c:pt idx="9">
                  <c:v>123411</c:v>
                </c:pt>
                <c:pt idx="10">
                  <c:v>115674</c:v>
                </c:pt>
                <c:pt idx="11">
                  <c:v>76755</c:v>
                </c:pt>
                <c:pt idx="12">
                  <c:v>50221</c:v>
                </c:pt>
                <c:pt idx="13">
                  <c:v>53861</c:v>
                </c:pt>
                <c:pt idx="14">
                  <c:v>46907</c:v>
                </c:pt>
                <c:pt idx="15">
                  <c:v>52387</c:v>
                </c:pt>
                <c:pt idx="16">
                  <c:v>98370</c:v>
                </c:pt>
                <c:pt idx="17">
                  <c:v>37283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0A-534E-BDBA-A41044439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837375"/>
        <c:axId val="1220848127"/>
      </c:lineChart>
      <c:catAx>
        <c:axId val="122083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48127"/>
        <c:crosses val="autoZero"/>
        <c:auto val="1"/>
        <c:lblAlgn val="ctr"/>
        <c:lblOffset val="100"/>
        <c:noMultiLvlLbl val="0"/>
      </c:catAx>
      <c:valAx>
        <c:axId val="12208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Visits (Actuals)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3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bg2">
          <a:lumMod val="90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'Q1 demographic factor'!$E$3</c:f>
              <c:strCache>
                <c:ptCount val="1"/>
                <c:pt idx="0">
                  <c:v>total_k12_population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'Q1 demographic factor'!$A$4:$B$10</c:f>
              <c:multiLvlStrCache>
                <c:ptCount val="7"/>
                <c:lvl>
                  <c:pt idx="0">
                    <c:v>Staples</c:v>
                  </c:pt>
                  <c:pt idx="1">
                    <c:v>Office Depot</c:v>
                  </c:pt>
                  <c:pt idx="2">
                    <c:v>OfficeMax</c:v>
                  </c:pt>
                  <c:pt idx="3">
                    <c:v>Cartridge World</c:v>
                  </c:pt>
                  <c:pt idx="4">
                    <c:v>Papyrus</c:v>
                  </c:pt>
                  <c:pt idx="5">
                    <c:v>Paper Source</c:v>
                  </c:pt>
                  <c:pt idx="6">
                    <c:v>Rapid Refill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'Q1 demographic factor'!$E$4:$E$10</c:f>
              <c:numCache>
                <c:formatCode>General</c:formatCode>
                <c:ptCount val="7"/>
                <c:pt idx="0">
                  <c:v>2448787</c:v>
                </c:pt>
                <c:pt idx="1">
                  <c:v>2011878</c:v>
                </c:pt>
                <c:pt idx="2">
                  <c:v>1082790</c:v>
                </c:pt>
                <c:pt idx="3">
                  <c:v>467984</c:v>
                </c:pt>
                <c:pt idx="4">
                  <c:v>91578</c:v>
                </c:pt>
                <c:pt idx="5">
                  <c:v>207014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4-4948-9C78-940C8EC3F43E}"/>
            </c:ext>
          </c:extLst>
        </c:ser>
        <c:ser>
          <c:idx val="1"/>
          <c:order val="1"/>
          <c:tx>
            <c:strRef>
              <c:f>'Q1 demographic factor'!$F$3</c:f>
              <c:strCache>
                <c:ptCount val="1"/>
                <c:pt idx="0">
                  <c:v>total_working_age_population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'Q1 demographic factor'!$A$4:$B$10</c:f>
              <c:multiLvlStrCache>
                <c:ptCount val="7"/>
                <c:lvl>
                  <c:pt idx="0">
                    <c:v>Staples</c:v>
                  </c:pt>
                  <c:pt idx="1">
                    <c:v>Office Depot</c:v>
                  </c:pt>
                  <c:pt idx="2">
                    <c:v>OfficeMax</c:v>
                  </c:pt>
                  <c:pt idx="3">
                    <c:v>Cartridge World</c:v>
                  </c:pt>
                  <c:pt idx="4">
                    <c:v>Papyrus</c:v>
                  </c:pt>
                  <c:pt idx="5">
                    <c:v>Paper Source</c:v>
                  </c:pt>
                  <c:pt idx="6">
                    <c:v>Rapid Refill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'Q1 demographic factor'!$F$4:$F$10</c:f>
              <c:numCache>
                <c:formatCode>General</c:formatCode>
                <c:ptCount val="7"/>
                <c:pt idx="0">
                  <c:v>10653170</c:v>
                </c:pt>
                <c:pt idx="1">
                  <c:v>8416986</c:v>
                </c:pt>
                <c:pt idx="2">
                  <c:v>4333446</c:v>
                </c:pt>
                <c:pt idx="3">
                  <c:v>2050170</c:v>
                </c:pt>
                <c:pt idx="4">
                  <c:v>742382</c:v>
                </c:pt>
                <c:pt idx="5">
                  <c:v>1250900</c:v>
                </c:pt>
                <c:pt idx="6">
                  <c:v>18306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4-4948-9C78-940C8EC3F43E}"/>
            </c:ext>
          </c:extLst>
        </c:ser>
        <c:ser>
          <c:idx val="2"/>
          <c:order val="2"/>
          <c:tx>
            <c:strRef>
              <c:f>'Q1 demographic factor'!$G$3</c:f>
              <c:strCache>
                <c:ptCount val="1"/>
                <c:pt idx="0">
                  <c:v>total_high_school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'Q1 demographic factor'!$A$4:$B$10</c:f>
              <c:multiLvlStrCache>
                <c:ptCount val="7"/>
                <c:lvl>
                  <c:pt idx="0">
                    <c:v>Staples</c:v>
                  </c:pt>
                  <c:pt idx="1">
                    <c:v>Office Depot</c:v>
                  </c:pt>
                  <c:pt idx="2">
                    <c:v>OfficeMax</c:v>
                  </c:pt>
                  <c:pt idx="3">
                    <c:v>Cartridge World</c:v>
                  </c:pt>
                  <c:pt idx="4">
                    <c:v>Papyrus</c:v>
                  </c:pt>
                  <c:pt idx="5">
                    <c:v>Paper Source</c:v>
                  </c:pt>
                  <c:pt idx="6">
                    <c:v>Rapid Refill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'Q1 demographic factor'!$G$4:$G$10</c:f>
              <c:numCache>
                <c:formatCode>General</c:formatCode>
                <c:ptCount val="7"/>
                <c:pt idx="0">
                  <c:v>2589978</c:v>
                </c:pt>
                <c:pt idx="1">
                  <c:v>1949932</c:v>
                </c:pt>
                <c:pt idx="2">
                  <c:v>1075194</c:v>
                </c:pt>
                <c:pt idx="3">
                  <c:v>484698</c:v>
                </c:pt>
                <c:pt idx="4">
                  <c:v>55494</c:v>
                </c:pt>
                <c:pt idx="5">
                  <c:v>126764</c:v>
                </c:pt>
                <c:pt idx="6">
                  <c:v>2232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4-4948-9C78-940C8EC3F43E}"/>
            </c:ext>
          </c:extLst>
        </c:ser>
        <c:ser>
          <c:idx val="3"/>
          <c:order val="3"/>
          <c:tx>
            <c:strRef>
              <c:f>'Q1 demographic factor'!$H$3</c:f>
              <c:strCache>
                <c:ptCount val="1"/>
                <c:pt idx="0">
                  <c:v>total_associates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'Q1 demographic factor'!$A$4:$B$10</c:f>
              <c:multiLvlStrCache>
                <c:ptCount val="7"/>
                <c:lvl>
                  <c:pt idx="0">
                    <c:v>Staples</c:v>
                  </c:pt>
                  <c:pt idx="1">
                    <c:v>Office Depot</c:v>
                  </c:pt>
                  <c:pt idx="2">
                    <c:v>OfficeMax</c:v>
                  </c:pt>
                  <c:pt idx="3">
                    <c:v>Cartridge World</c:v>
                  </c:pt>
                  <c:pt idx="4">
                    <c:v>Papyrus</c:v>
                  </c:pt>
                  <c:pt idx="5">
                    <c:v>Paper Source</c:v>
                  </c:pt>
                  <c:pt idx="6">
                    <c:v>Rapid Refill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'Q1 demographic factor'!$H$4:$H$10</c:f>
              <c:numCache>
                <c:formatCode>General</c:formatCode>
                <c:ptCount val="7"/>
                <c:pt idx="0">
                  <c:v>1016973</c:v>
                </c:pt>
                <c:pt idx="1">
                  <c:v>816246</c:v>
                </c:pt>
                <c:pt idx="2">
                  <c:v>444546</c:v>
                </c:pt>
                <c:pt idx="3">
                  <c:v>203656</c:v>
                </c:pt>
                <c:pt idx="4">
                  <c:v>32466</c:v>
                </c:pt>
                <c:pt idx="5">
                  <c:v>58686</c:v>
                </c:pt>
                <c:pt idx="6">
                  <c:v>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C4-4948-9C78-940C8EC3F43E}"/>
            </c:ext>
          </c:extLst>
        </c:ser>
        <c:ser>
          <c:idx val="4"/>
          <c:order val="4"/>
          <c:tx>
            <c:strRef>
              <c:f>'Q1 demographic factor'!$I$3</c:f>
              <c:strCache>
                <c:ptCount val="1"/>
                <c:pt idx="0">
                  <c:v>total_bachelor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'Q1 demographic factor'!$A$4:$B$10</c:f>
              <c:multiLvlStrCache>
                <c:ptCount val="7"/>
                <c:lvl>
                  <c:pt idx="0">
                    <c:v>Staples</c:v>
                  </c:pt>
                  <c:pt idx="1">
                    <c:v>Office Depot</c:v>
                  </c:pt>
                  <c:pt idx="2">
                    <c:v>OfficeMax</c:v>
                  </c:pt>
                  <c:pt idx="3">
                    <c:v>Cartridge World</c:v>
                  </c:pt>
                  <c:pt idx="4">
                    <c:v>Papyrus</c:v>
                  </c:pt>
                  <c:pt idx="5">
                    <c:v>Paper Source</c:v>
                  </c:pt>
                  <c:pt idx="6">
                    <c:v>Rapid Refill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'Q1 demographic factor'!$I$4:$I$10</c:f>
              <c:numCache>
                <c:formatCode>General</c:formatCode>
                <c:ptCount val="7"/>
                <c:pt idx="0">
                  <c:v>2852879</c:v>
                </c:pt>
                <c:pt idx="1">
                  <c:v>2093918</c:v>
                </c:pt>
                <c:pt idx="2">
                  <c:v>1108638</c:v>
                </c:pt>
                <c:pt idx="3">
                  <c:v>570000</c:v>
                </c:pt>
                <c:pt idx="4">
                  <c:v>313082</c:v>
                </c:pt>
                <c:pt idx="5">
                  <c:v>500716</c:v>
                </c:pt>
                <c:pt idx="6">
                  <c:v>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C4-4948-9C78-940C8EC3F43E}"/>
            </c:ext>
          </c:extLst>
        </c:ser>
        <c:ser>
          <c:idx val="5"/>
          <c:order val="5"/>
          <c:tx>
            <c:strRef>
              <c:f>'Q1 demographic factor'!$J$3</c:f>
              <c:strCache>
                <c:ptCount val="1"/>
                <c:pt idx="0">
                  <c:v>total_masters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'Q1 demographic factor'!$A$4:$B$10</c:f>
              <c:multiLvlStrCache>
                <c:ptCount val="7"/>
                <c:lvl>
                  <c:pt idx="0">
                    <c:v>Staples</c:v>
                  </c:pt>
                  <c:pt idx="1">
                    <c:v>Office Depot</c:v>
                  </c:pt>
                  <c:pt idx="2">
                    <c:v>OfficeMax</c:v>
                  </c:pt>
                  <c:pt idx="3">
                    <c:v>Cartridge World</c:v>
                  </c:pt>
                  <c:pt idx="4">
                    <c:v>Papyrus</c:v>
                  </c:pt>
                  <c:pt idx="5">
                    <c:v>Paper Source</c:v>
                  </c:pt>
                  <c:pt idx="6">
                    <c:v>Rapid Refill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'Q1 demographic factor'!$J$4:$J$10</c:f>
              <c:numCache>
                <c:formatCode>General</c:formatCode>
                <c:ptCount val="7"/>
                <c:pt idx="0">
                  <c:v>1308031</c:v>
                </c:pt>
                <c:pt idx="1">
                  <c:v>912642</c:v>
                </c:pt>
                <c:pt idx="2">
                  <c:v>472500</c:v>
                </c:pt>
                <c:pt idx="3">
                  <c:v>229176</c:v>
                </c:pt>
                <c:pt idx="4">
                  <c:v>201086</c:v>
                </c:pt>
                <c:pt idx="5">
                  <c:v>302610</c:v>
                </c:pt>
                <c:pt idx="6">
                  <c:v>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C4-4948-9C78-940C8EC3F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2858591"/>
        <c:axId val="69226240"/>
      </c:barChart>
      <c:catAx>
        <c:axId val="56285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6240"/>
        <c:crosses val="autoZero"/>
        <c:auto val="1"/>
        <c:lblAlgn val="ctr"/>
        <c:lblOffset val="100"/>
        <c:noMultiLvlLbl val="0"/>
      </c:catAx>
      <c:valAx>
        <c:axId val="692262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85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[Group 7_Org Data Insights.v2_final.xlsx]Q2 Urban Rural Classification!PivotTable4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Distribution of Store Visits by Urbanization Level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Urban Rural Classification'!$G$3:$G$4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'Q2 Urban Rural Classification'!$F$5:$F$12</c:f>
              <c:strCache>
                <c:ptCount val="7"/>
                <c:pt idx="0">
                  <c:v>Staples</c:v>
                </c:pt>
                <c:pt idx="1">
                  <c:v>Office Depot</c:v>
                </c:pt>
                <c:pt idx="2">
                  <c:v>OfficeMax</c:v>
                </c:pt>
                <c:pt idx="3">
                  <c:v>Cartridge World</c:v>
                </c:pt>
                <c:pt idx="4">
                  <c:v>Papyrus</c:v>
                </c:pt>
                <c:pt idx="5">
                  <c:v>Paper Source</c:v>
                </c:pt>
                <c:pt idx="6">
                  <c:v>Rapid Refill</c:v>
                </c:pt>
              </c:strCache>
            </c:strRef>
          </c:cat>
          <c:val>
            <c:numRef>
              <c:f>'Q2 Urban Rural Classification'!$G$5:$G$12</c:f>
              <c:numCache>
                <c:formatCode>_(* #,##0_);_(* \(#,##0\);_(* "-"??_);_(@_)</c:formatCode>
                <c:ptCount val="7"/>
                <c:pt idx="0">
                  <c:v>466615</c:v>
                </c:pt>
                <c:pt idx="1">
                  <c:v>421492</c:v>
                </c:pt>
                <c:pt idx="2">
                  <c:v>236063</c:v>
                </c:pt>
                <c:pt idx="3">
                  <c:v>45837</c:v>
                </c:pt>
                <c:pt idx="4">
                  <c:v>68543</c:v>
                </c:pt>
                <c:pt idx="5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6-464D-B4BB-91FAB7EEEC92}"/>
            </c:ext>
          </c:extLst>
        </c:ser>
        <c:ser>
          <c:idx val="1"/>
          <c:order val="1"/>
          <c:tx>
            <c:strRef>
              <c:f>'Q2 Urban Rural Classification'!$H$3:$H$4</c:f>
              <c:strCache>
                <c:ptCount val="1"/>
                <c:pt idx="0">
                  <c:v>Suburban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 Urban Rural Classification'!$F$5:$F$12</c:f>
              <c:strCache>
                <c:ptCount val="7"/>
                <c:pt idx="0">
                  <c:v>Staples</c:v>
                </c:pt>
                <c:pt idx="1">
                  <c:v>Office Depot</c:v>
                </c:pt>
                <c:pt idx="2">
                  <c:v>OfficeMax</c:v>
                </c:pt>
                <c:pt idx="3">
                  <c:v>Cartridge World</c:v>
                </c:pt>
                <c:pt idx="4">
                  <c:v>Papyrus</c:v>
                </c:pt>
                <c:pt idx="5">
                  <c:v>Paper Source</c:v>
                </c:pt>
                <c:pt idx="6">
                  <c:v>Rapid Refill</c:v>
                </c:pt>
              </c:strCache>
            </c:strRef>
          </c:cat>
          <c:val>
            <c:numRef>
              <c:f>'Q2 Urban Rural Classification'!$H$5:$H$12</c:f>
              <c:numCache>
                <c:formatCode>_(* #,##0_);_(* \(#,##0\);_(* "-"??_);_(@_)</c:formatCode>
                <c:ptCount val="7"/>
                <c:pt idx="0">
                  <c:v>705025</c:v>
                </c:pt>
                <c:pt idx="1">
                  <c:v>607977</c:v>
                </c:pt>
                <c:pt idx="2">
                  <c:v>313402</c:v>
                </c:pt>
                <c:pt idx="3">
                  <c:v>61082</c:v>
                </c:pt>
                <c:pt idx="4">
                  <c:v>30913</c:v>
                </c:pt>
                <c:pt idx="5">
                  <c:v>58222</c:v>
                </c:pt>
                <c:pt idx="6">
                  <c:v>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F6-464D-B4BB-91FAB7EEEC92}"/>
            </c:ext>
          </c:extLst>
        </c:ser>
        <c:ser>
          <c:idx val="2"/>
          <c:order val="2"/>
          <c:tx>
            <c:strRef>
              <c:f>'Q2 Urban Rural Classification'!$I$3:$I$4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'Q2 Urban Rural Classification'!$F$5:$F$12</c:f>
              <c:strCache>
                <c:ptCount val="7"/>
                <c:pt idx="0">
                  <c:v>Staples</c:v>
                </c:pt>
                <c:pt idx="1">
                  <c:v>Office Depot</c:v>
                </c:pt>
                <c:pt idx="2">
                  <c:v>OfficeMax</c:v>
                </c:pt>
                <c:pt idx="3">
                  <c:v>Cartridge World</c:v>
                </c:pt>
                <c:pt idx="4">
                  <c:v>Papyrus</c:v>
                </c:pt>
                <c:pt idx="5">
                  <c:v>Paper Source</c:v>
                </c:pt>
                <c:pt idx="6">
                  <c:v>Rapid Refill</c:v>
                </c:pt>
              </c:strCache>
            </c:strRef>
          </c:cat>
          <c:val>
            <c:numRef>
              <c:f>'Q2 Urban Rural Classification'!$I$5:$I$12</c:f>
              <c:numCache>
                <c:formatCode>_(* #,##0_);_(* \(#,##0\);_(* "-"??_);_(@_)</c:formatCode>
                <c:ptCount val="7"/>
                <c:pt idx="0">
                  <c:v>593020</c:v>
                </c:pt>
                <c:pt idx="1">
                  <c:v>593120</c:v>
                </c:pt>
                <c:pt idx="2">
                  <c:v>253732</c:v>
                </c:pt>
                <c:pt idx="3">
                  <c:v>111591</c:v>
                </c:pt>
                <c:pt idx="4">
                  <c:v>30867</c:v>
                </c:pt>
                <c:pt idx="5">
                  <c:v>28936</c:v>
                </c:pt>
                <c:pt idx="6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F6-464D-B4BB-91FAB7EEE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220853055"/>
        <c:axId val="1555907903"/>
      </c:barChart>
      <c:catAx>
        <c:axId val="1220853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Office Supply Retailers</a:t>
                </a:r>
              </a:p>
            </c:rich>
          </c:tx>
          <c:layout>
            <c:manualLayout>
              <c:xMode val="edge"/>
              <c:yMode val="edge"/>
              <c:x val="0.41273943849802286"/>
              <c:y val="0.945751488381025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07903"/>
        <c:crosses val="autoZero"/>
        <c:auto val="1"/>
        <c:lblAlgn val="ctr"/>
        <c:lblOffset val="100"/>
        <c:noMultiLvlLbl val="0"/>
      </c:catAx>
      <c:valAx>
        <c:axId val="155590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/>
                  <a:t>Total Visits (Actuals)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530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3175" cap="flat" cmpd="sng" algn="ctr">
      <a:solidFill>
        <a:schemeClr val="bg2">
          <a:lumMod val="90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Distribution of Office Supply Store Visits Across U.S. Counties (Jan–Apr 2020)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regionMap" uniqueId="{DE7A541D-B155-FB42-AF10-647C03DBAEEE}">
          <cx:dataPt idx="35"/>
          <cx:dataId val="0"/>
          <cx:layoutPr>
            <cx:geography cultureLanguage="en-GB" cultureRegion="IN" attribution="Powered by Bing">
              <cx:geoCache provider="{E9337A44-BEBE-4D9F-B70C-5C5E7DAFC167}">
                <cx:binary>1H1Zc9vIku5fcfh5oEbtVSdOT0QDpLhI1GLJ8vKCoGUa+1YorL9+Elp6JFhSnwnxxg2yu9Vhg6pi
5le5Zxb/fdv96zbZbfWHLk2y6l+33Z8fA2OKf/3xR3Ub7NJtdZSGtzqv8l/m6DZP/8h//Qpvd3/8
1Ns2zPw/sI3oH7fBVptd9/G//w2r+bv8NL/dmjDPLuud7j/tqjox1RvPXnz04TavMzP+ug8r/fnx
cxaa3c8PV2ZrdtXHD7vMhKa/7ovdnx+fvfPjhz+m6/2294cEPp6pf8LvEnXEbMIEJcK+e5GPH5I8
8x8eW0od2UgSThRVdy/6uPfZNoXf/48/1t2H2v78qXdV9eHh/7/9+jNKfnsaVrl7zxQ3Hz/756s7
Yv94zvT//vfkL4D8yd88wWXKq396BB89DbNZWBkd3hr058eb60eG3IPx7Pn/EQxKj2zBMPwzQUHg
I84xV1ySexTY46b3KNzsdJpn5r8+vAHH8w/2MhyvrfPsd+9pPkCovnx75NoeoMJHgARggtg9IvK5
3CBbHDGGKGW2ff+Gx73vEfvS53CO/Hcj9to6E8RG0g8Qsb9OHrn2fsQ4PQI4qLDxAyCgyZ5qOsTw
ERZKUo7U4673WP2VbKt4+26oXllmgtRI8gEi9Wn1yLP3I0XREccSKybvJUdNZEugI4aktDl9kD3Q
lvf28B6vTwGYhw+rKtlmP9+N2puLTbAbmXCA2J3NHvm3B+zEEaWc2BI9WCqQpWdSZttHlCuCMXoA
93Hve+zOcm2CD7NtnJv3S9ybi02wG5lwgNhtzh/5937siDwiXDBpU3TvC+Ln2Cl8RIUgAj1iN/FC
NmFV5bUO3y1zry40wWwk/gAxW+5RVyJ1xJEthU34c7AQY0cMC4ptm96hiR4Pyr2gLbftNnw/VK8s
MwFqpPgAgTpzH3m2B+ECOIgigpEH90M8x0uoIyQZkZzze+EDPJ8atXtd5m51noTZvlTjq8tN8BsZ
cYj4LR95+H78KDnikoFvSMCjH1/TEA2cEiE4Vra6fw7K8xl+u/bDcpsWVRDq3bs15Nmbq03RAzYc
InrzRw7uAT1ABwtEAKG/0XnqlkCaQ0LIhpWS988npu1s90PvJQh4daEpZkD8AWJ2/mmPmJEjBfpQ
csL/dhWfYoawDSE2wMYo6NKnsnaud36evVvIXllmgtRI8gEitdqn00+PiFQgPvTBqZ8EbAjRI87A
+El7Ilern9sgfzdQL68ywWkk+ABxmu3TB5FHyqYCYjM6cT4EZHnBdnGA8e4Fz58K1GO+80P+64Ob
J3X6I3y/C/IfLToBceTGAYL41x7VIqFHAJK0ySuZxzFKIwrcfwjk7l4TkftLx9us2lbvlrpXF5pg
NhJ/gJhdnz3KwPvdD8KOJAXnwoas1d0LP5c/yY8IJZBMFhCuja9JsHa9yzKom+ze7zi+vtIEtZH8
A0Tt7GaPqKkjwjik8B9Dtt/MGgezBjGbeIB1gtrZrtn+fL+efGWZCV4j4QeIl/vXHvESR5hRzhV6
CMEAj2cO412yREAc8OinPO59nxJxt0n4K9fZHmzbG0tNcBsZcIC4fdmnnMkjTjEDvwRU5PiapEak
DTkuIoiyH/KSEHo/9U6+7Crz4SbUfrgP6N5ebYLeyIYDRO/k2yMH92DboNCJBZacPaA30ZKSHWEp
IG+MyL1tm/gjJwBlfRv37/ZHXl1ogtlI/AFittmjP0JHf0Mh8BMf/JGJplRQK1WS2FCmeTwo9ypy
E46OyD5qM6+vNIFrpPsA4fp8/ci5PYgYOCJ4zF3hh9zjxH1ECCqmQmKMOX/c9R6vz2YbvFuwXlxk
gtJI7gGidP31kV97QAlBZZNIKtGDmZoKFaBICFZiTDOOL1CUT83Y9a7bQ1T28ioTtEayDxCtBfhK
9xzbA1rQUkUllqAG783SBC1JoJANXXHUflCRE6djscvB4Xi/d//aOhPERtIPELHVHo0WtCqCZ6+o
fExsACJP3XsIorFEQkFzwYuOxir7GW73UDp7bZ0JYiPpB4jYZo92i0JakRCGFEjR3WuCGLKhek0Z
wnxMSD7VhRvoZtwHVq+tM8FqJPoAsTrdpz60jxTUUmwOJc7713PpUgjSjgh8DPm/7XNPETvN67Da
i3y9vtIEtZH8A0Ttr9PHs74XKyY4BM8YT2NmDhlHED5sPzgb6nHTe8cQmhF/bNP3m6/X1plANdJ8
gFBtZo9c2wNUUHyBQJkwQOKp2RL8SNiQ+fi7w37iaGy2ut9LJ+OrC02wGok+RKyu9ogVPoJMPOR1
HxpM1QQzCXaLcWyD4N0btknYNTawjf8Wxfs7rN5aa4ocsOAAkXP328MIgRVjAM09MhO3HroFjqBf
YJxoeTwuD8nfPMn19uf7i9FQH315oQlYI9UHCNYMGlP2FoPBcBFIGcegFF/yOQSDiFpyStBDWXqS
OpztEuhi3EM71asLTTAbiT9AzP76vkfM6BHYKnAD0cNA2MTxuMtFjZ35oCDvJBAE8Kmf+JcOh3wP
Udhr60wQG0k/QMQ2q0euvd/xgKkyKahQUF+5F7LfE/QCKpwQOD88/82Y3Qahv31/P9UmfGWhCWYj
8QeI2ZW7P8wI9L7Z4BHix1wiWKunTiOUxKSC1BRI2z2mE8yu8hrGKF5t731dgb88F/gPy03wGxlx
gPgd7zEuw/KIqXH+76HmNTZ0PMMPmnSkIBRDkeXuNfFGjsGHCPfQO/DaOhPERtIPELGTqz1KnARE
KKTmxcMg9AQxBcMxEkahYVj6XuImPacn+2mqemWZCV4j4QeI1+Yffcf/h4Paqz2KN7WPEDS7QhTx
4AT9Hh8iCo3L7O8A8vGg3gcbqwSGOPLw/T14ry40OTAj8Qd4YC7+euTbHtyg0WRCc9BDOeeux+6p
ShbiSBIpR/n/20166rheQA9e1SfNdh9NJm8uNsFuZMIBYnf2bY/YwbQ9UZiO+cxHc/kMOwYTw7YN
4zkP8jhxh8ZxmW+5jt9dCn91oQlmI/EHiNnVHvOdEHZQAoDAVNTfBvMpZlBrOMLEhvorp48n5V47
Xt05r3uaAX5zsQlqI/kHiJp7/ci/PWjJcYyNIQZlu3tJm7hBcBOJIFA2R3iSi3Fz6Ay6NeFt/f5r
SN5aawLZSPsBQna23iNk4IxAb6Ri5KGTYdIdJGD4BjLZcFPRvRyqibiNOm2909Xu/S14byw1wW1k
wCHittkfbjDIAfE9jNPTh5lEiAGfK0h+BKPdAK0EIXzqioxs3uy68Pb92eo3lpoiBqQfIGLne7xC
BsY4mCRwv8WDbpxG9QpaYQEw2340eRAWPMXtPE5g3G0PVddXF5pgNhJ/gJht9un24yOYqoE+Lshx
3r2mBg1aJ224Ag2mOJ6DtdlW1fY2qKudMe8P1N5ebQLbSP8BwvZln7DBPTIIwcV08hXv8W74Fzr4
Hi8rAVifitqXLQzaZ77ZwxjwG0tNcBsZcIC4rfaJG4Yr7EBBCvpyy5cioCKhywg93EpiTyK1Vd6+
vynlxUUmWI1EHyBWX1aP53wPvj44hnBLEyP8IeMB5uqpAwJdDgL6lRlMbt+rzkmS+ktY3eZZFb6/
MvT6ShPURvIPELXz5R5Rgwu0YLoXmir/N0/1DDWI0GyYtSdw1d3da4LaeRC+3218cZEJViPR/z+w
ej2H/PdFqLOt2c7vblB9ct/n208fLwqd/OqD0XlRGO/t0ernnx9hmIbaTy4DHRd5Zq422zDbPZ6R
J7+x21bmz48W55D/4jDbSDCDO0DZGMK1MPUGj+AyPOhQF1QxhASSAsLybLxD7c+P0H1LmYTJLKFs
qDPh8caaakytwCNyZENehtnQeQY3AkDR4++7ay/ypIfLM/5mxsOfP2R1epGHman+/AhbFPfvGj8p
g0KWAA0B68DIkOJ36ZzidvsJzC+8Gf1Xr2C22fTWsMy9ea/mrN/ICJpf/r6n9j/aQiIYtR0r2PCR
oa4GH+HJFl5bJ5aP1bBsPOLEg3SsPnMkB5a+Z5eR0Ce7aE91HQtgF5F9r6zvebczzH3fFmD+nm4h
wpxmeQNb1MOlsC/7cFYOP97eYlziGRxwdSJcI8uhU35s2BWTLXiX4KyxpF62VJZOYynfDYv8Mk3L
BQtounh7t9/Av9tNwXAfTABCK+oEGdGxzrBc6GWf+8yxK/gRpqKbJ36RzP7vWyFw5aG/CzMGtdPn
vLMrXnS4Q0BYIP3rLqKl40cN2timiZ23twLf/zceIphqhGAP5gmEmvAQxczuEwJbZTqrT+PExEuu
o971uqFzSr9LF3nj9//XswGshIQAgliEjsOUk01Z6CFsQdVo2cfARUzhB9eSOp4FP96mDyz7b/TB
tNg4l0nhHk0+YWVMrGIoCksv0z4gnpN4VrS0ShmtYmx3TpLo8qLoUefEyRBs6qTr/mH/8VRMzygm
EJXBlcajapqcmt6nRWDHfrWUqdXNeQYE8rL9/DaRIxHTTWBuzpbgcYKKFBiePxHnDuWmNwrrpTEl
Wog2aEPHF8Q7S7A9LIced05Tq26e61Qfv731S+cH7nOApBs01cOgJSj/p1srRjvkY6KXURv384Iw
4zuR1QtXWHZSOsQPmNMHxpu/vS26u/ZvQjRCUMcW0JkqIILCE85WiVVEflPqJbMyfZvDfVjtPLRb
PBctaB3mxcknYqfe2k5qb00quz7uKgIQRB1a9F3TLsJC6xscDAS54VBFM23EJWZpw2ZB07WnSvPw
OPe0PSOma45R43lXoY3rwBFpHV33sewcEYnopOKNcGVefE9lMYukrOZJjpplHWmXqTKwHQsqA7PY
EsEmKYreics6d3io8xOu62gV2Ik4seXAv1mpyJATsD7Y2KXFTxI/6d3Btqp5YLHmxPhpDQe1M8ls
qOP6tFbp8Dk08MegCLAbifKW41SsvTAlc2mVzawSQ7qguDqlMTafu6ynl61Xo4VVi2SeEx2taGrH
TlIjelzFoENFV6CNtON0HhHaOaCEmk9EGFgkluZUDFE/zweJe6fpK7TxPAKmMAK16+d1cOlFTXur
TNpfNgOpK5d7HRyDJoL9wmHXZtz7GhS1jmapSobPvOWMzNoB7bTurMRlFTW/rJJ2gdtFiblROJTB
cccNvWwaGxYaGcwo2uQ9w8ZJTVq4vGd8lhaeOU24R4wTUj+deywThQufL3YVM8Ktk8g6i3y6M5VF
nbaH6+KjoftMB7xTmWLfOsx8l9ZW+NXEXbSy+xJYogMQpKylu8HkWjlBWw7LqASNESUFgMC8wdzU
NqyXdvA5ok7E61Sx6iYcj37SleIklXWwKdLWmxOm0aKu2uCyTXC08jPSzJQu9HELIyiLHOMhdsDg
+K7yem8uu96O3CGR/pr1FC8HxGEDPHC3LCOzaFMZLyMWNVdxPtRXpvDgzVpVcDBkyC4Tv88dO/Hi
NZSAqUOtvJ43MGp2LhWw0ykJ8mapLvAMg9t0ZloVRasI8/S4SMqwdLoyRJ5baw99orXnX/Z+aF9F
WR13TtGG7BwnKFoEvm8vENXeDw8ugVRwSizvDLcq99w4EKJ2KMpqJ/I8et4HGs96v+duN/h03Re6
PC3B0/uE0qFZcVXwC88i1qIqAnIhUOqftpTdeGk5XBoRVK3bscZe1kHJ8arUJnHquks6Nw4D74fp
6sRRRZsbh1i1tcj7QP6iUSx/Wb5n3Mqq2hMtkPoRwHULc78uKXIU3G8ytyqjHC9XIz88O+YzNHQ/
k7ICTlZNl8wDv7CXqEL9MpUKnya+T6/tLh7mXi9RA5sxtJAi0wvW0varxF7zPfNYcGmnpb1sQpzw
Ga270A1F2BAnhe6KWxRXZl2mdXpWkw4afQnJNlntq/MODeQ6UaaPnaqS1rwrETtpsd9fkCYejv1C
y4so1Nm2D1h7qfu+u+iiwJx1VclPUSf6TVUqdhIXJFugkjVu0Rt+VfREzszQD8uytWTjMhvDBiUa
lVeCPXOpB1tkzmB7sXAyztkslCQ/brzW/kVDblInSPLgqtRN9JMNvFqiBpRQbKXVAo4Gm3VcseOi
L6qFyVs/nVVFWM3AoaTz2qblSdLyIXKCvAyuB5x6vuM3CazJvIDPIiU8F4tsWMOn9a8xyod1H/fl
CYtw7ybMC0s34pkdOSyN1AoaU9hxHkV8JqivVqxS+bHhXT4vbN9a6CAOUyCAwJmQJBqOIUAwc7vX
emVpOwEyStkfe4FnzYVXe3qO7US5jWeAD10ODg7OZHeRgRPwoy2NATXWxJdJTuUiiOzeNaAFvoeh
GuZ5I8TS4KjZCTsbjrEv2QnOULZo8zCRjrSiAi5VzNEPI6C1wklU6P2qVJ3c9FXXnsNgbry+ezvO
OLtKA6pXfeen2BmYaM/bIerOK9mbeSPjvJ/DGR6Au0bOKPJT7dxtGQ5FDK5DRRu37rGqHJIY+0cc
m+qL6Ew1a1gAb6WaWPMw5P0mK/zIxZWPP9Gs875FNMhvmjBNF0bV2YKxwZuHA7LBVtup25a2cu2u
jtc8r7dSEbOCZnYZO34dsZn0Yns07zEoT92cKWMD+7KAWXONVLjhcddskGV85fQo75a5pXrsyAKR
lcak8R1bNuk6qlAXOyLnpp7RaBiWJivgA9sdH5YqjPkV6ir7q6ma4TKkFUBXpDJ0WSEz8Ge4FTpD
UcO2Ydx6626QlYN03bi5KK3rIuRt61gdQC/JgE5zQfSqTkjwUyF4d5xE/CrVnJ14KFcLn1fVDJd+
M0q/JRcQiOoVKaz4plWhWmRZya9Uya05o1q50phs4ccqdPVo7CqFKseKRHfRcmHNCWqUm6uKOIHH
uwuie7pFaZnMswIOOPdovB7gRLvCpmaeUjvbRWDDV7iyq+sq5sMNHCT/ggeWf26iWl1lUdq4nFZq
EeoiW0hN+FcDsahx6hB7p0mbgStepZlaYM/qLoyJh8vBsptdk3nW51QUnjsYE6GZtPgDTrHpvF+9
DR+2o6Q9tmmBzliYWNe+F4OSIXG/jhJczy3Whd+yupKXKm+6Y8uu2RdS9/RLoy36JWJFfwaWih8H
ZWDN+jC0ZlZBg6XwvHwz+Jb+lAdpNsc6S+dWTLqzO64blgazvJLyHMf2sZ1lORi+KjphOkdOmQe5
m9VD6+ZwEI87ltsnogyyeaYis0p7Q+ZFmSK30zYFIRaqX9e4T849ifwVSoM+du/O8iDRcKksKsGv
kPRkkGF3JqrMm6eJ8F1ETVM6jGXxuV1G6Yr3Hf+qPK9ZGM+mzJEhGEN7oAD/UA6buMqHDSor5fqt
Iqlr93EAKhChT4EV/tBx352BUuhXuPCyc6GHYRbmrPadvir6G7vLGXOyoY3mQ91XxwLF6jRRfeTU
sYjOSRxYxzXB8ZrWKTuJ2qG7QKK15p4uuvNSVGC6RZCZhShzizjdkIp4hpH2QkeiQM3BNjUrpf2h
dTxaFZvWJBlyM5Hl13XeZcc1KBzwgTJRnSCKzXnpD42ra964fpAMm75Fxbr0eHtMMLJ6p4wz67qy
7Vy7Mm3AY6akcpIG1IbtVyCahhWRM1Qhi2ayKYlTFk22MChLbuwajlNaDOBWqxD9sH3ab2haVjPa
tvaPXklcO12YE8eilbcOKhDMEL6UYj107XCpYyHWvKX9XJper2SPm8IhfVOUTqp40zmmyUHTZRUZ
Lm3egcxbJMkhIIU/XFOr9I2jvKA5rY0VuR689SIiKIudfCi9ZYUiughtMqwi6fFFW4aLkaJzEXTY
HRQLztAQ4sqtw/QKd7Ge5zLK5kMRWAuI7Y12COvx9z7rZQS2obwiDekTJw6tE99rLuqiF05Oy8Bt
I2snSyOOEc2+kjpBThL13imQEc8SOwfNyfxKH0up23me+HjheWHjZOCXnFCP6dpNSlvMwUMM1sXA
UtcE/QUuwtyNK57eisy6rQZ23uGKHOOuTUe/rVzJQGBHDOF1mweDq6XlL0FbLYARjQtViGzmexDe
qVh+tTKiXRORPHfCqvRmsvV9JybazGxprFXGCjpPRAH0ZgWj4FVhTkFjZ5uu8DZFFvhu3PjZnIdJ
Hjo5aerFMETBd79u2DLuUDI4fd01804O+VVBOR6cxLfLyklxcBJEvLjIsrj4avlx5oBVT79VVlHf
Fo3gVwJp2s0SWcSruumHNQ5VvKBJUC+tIGbdLPdLekGlHi4in+urwg/jeZPWone7TqczPnA+74T2
XE8HwSJRQ3TclDFk4+wkXPsR6msHmfKH0kN6gpRFlkOcMKVnbe6TtjiWdRfHJ1X2A9x79K2DcHyD
VG1sV2OWXzZlpC0H53V74Q19vjJ9oBaRFVTHRtYgimlqF06srMB3tAYUZ53HftCAlq3bBEN/TpGJ
LjNm8uM67PU3rsG/cjoU4LNeKvMtTgKxjmmYffF6YXtOmdXkxh4tJEdp4diBDJZdltUnQSjpJkgr
8yUzhC07U7brhPnNSWv18a2hkRc4AQJwIQfqXTSiSH+mlbDdBprUoNYb5RhEpBBrFGN6ChlUyK5Y
EGA7fZNRiHUrWs97y9DPJBPpPPYYip2waYKz3Op3cSPkV5yLbG6rQbq+nwzHrEoiN2rS3gEfbwBT
GKRB7dRW1854r0GTRUm0jIomcQoubIAXrO26h6hilgdkcFokZ35VDLMqTK+tJPzaZQYSWqDlHcjZ
ylmmegiKUfFFk4jMYp5A9gIudy3rGQPPeJErnl7ncZqfmiHBK609cKXmftp7PnFpXMjaWpKqtdIl
hEvc2vUmqQun1WyFai5vjFVmDsSdcgFRTOtgK/Q+J8Qyp2AUkwtwFaNth0j+OSrj8mtRF51YFBbr
kRN6ZRgvmpx5zIljcGmoZbJLGOFrM7fKw+57rDlunFq30brB9c5vZevUkNk97ZTMTgh4trdZYXO3
90Q141Z8NuRNkjsVsZKFiUXptgDVadwUbeCosjBnkAj0zyJwhpyIJlE1l5KVG+1zz610hD+B/P80
mR04Ndg05dQCxw7xzLBWeVVfxHDv7Yz6SXDT6YqA4RJojrLUu6wKkv+ANNh3GlXtd9p3V0ONK3os
eNDMrKxFi6gcQLMXFnFB1JIr6BxujRsEpf7E7KRKXY9Xxzyo7eOhaWqHwYlfWjKniyDg4hTHvAfl
omuxClIFsWmE/R+sZ5WTgSZ0GLH8Y+l34hpCHbAnvkq/e6mwZ4WvvtCOtid2gfACVsGzsivNFQ3p
T5FIfd5AUuuHP3jNcRO3MgS+9dFGqaFdNFoAx3IpF6UfdRryK8AU4okvognoddjk+jiqQxBYrQKn
zcCn6gOujpnFFoYE+AJikBtQyPF5Vwx8XZa8ckxr+LxIMm+bq3hwE91KSBOS6Ix33pA5zIIoBmvw
bruKla7ftNmnbKh88HAtyDenZmVkn156ocUvRGn7Mx5xfIaChvxCfpa5edQWc12H/trLgvo8Y11w
mrCYXdEiUpnv9oNn1d+izHK8IK4WKajbeVOQYjaYzr70vJovk7ao3dzE+aJvSHJlQOM6dZcVc6Ua
e6GT+tqvB8/phM3XxM/7hWn190BlYhn5AVgscATXoEitZUpUcwqunFi3NPXPKr+Mwf/Ns1+1iZpw
lpjiBymj4lslTV1CCFAG8Y/cjiL7BBW1dyJbL5pBtqSFw1bh6xpbXe9aCjN1Fibax9DyWJadQ3Re
sOMygzSyKwOtzrJeJ9dZqjInZb1aBGHlzwpIYV1zXO26ztSOPYCrokui1/bQ3goGUQNLcOqCUwVB
Utn0zoDiaJWGCs0hnFhaGEdrkH/2VaT8JvXBN6Ze7i/BK0xmkO64rXBYz3K791w7Avvat+2y7vhW
QAjSRcMp0/Yl+FAcMmeQJrJqiW6pStoTmjMy5yWBREqc6XPfQ8tGWd6vAMYgLpht4cuqU7/Kjlo3
PojeZ7iyQgczVuVl6CjdebMKLu9xrIzlC1t19RyHZTbjxm8cCbUnuEznrUrOmCr/LfVLbTDQkOKG
e3Wh9PU0/0oqxXMRQv5VlFGyRmnzmSuI+30O0a0SkMh/e7uXiiBw5zI0o8AMEVyvPck0+7q0kSV7
2K4y7LrE5QIigG5eesL+h3ILGjPHv1EGF0lQcMOh4mJPM8vD8JDU5kPd3lZ3Sfreq392BpL0VpWg
DeSV7AWXg70NvDGibCEf9za5L2Xv4epALmA0G8Ocy7R6IIgZWt/WSyJ8esnqHFJ6PuRJ397lJaYC
hGMO24bC5/gFN08xpJ1Ha5pCDeauHNJEHuQjVd85iEbFP+D3EkEwTQmBEIHUnBqLqE+3irs6a/qk
hcpSWyYz3ObfucxhsvitI/lPe0zICZnBHKRVLxE2m4HrBZXp5dtbvHg4xvvnxnsdofH+t8OhItlq
bPSyAAO28Wsbr3GeQba8acOvgQWlljJr7HNfQ661IL69kh75p9LO76IH3SLQJgmNkjZcQz4tQFBW
1MTKVbn0kU4ckxvutiguTxMrKldxobLZ20T/zlfYT4wXBMAXZyIxlb0SfCvZF6RcplkHWor3lyJA
4h/0ye9nkUANHfriIb+DCXS/Pz8gykdm0HFSLkPj125V5KGbF82piCCh+TY5L+wEREhooIKvloQe
jskxUVUYDn0v8yWotgyqt9UJ6cV1oaObt/d5ASY0fjsUXIgxlonHr9B4euR5kcZEaZEvh9Ce62Rr
ycSN4swNSw9at986+Pj3YiN5ttVEXUCgyr2Uw1Z1oyB7l1HfSVthjNOppp6XTTZ87hkUphkkQfWs
pJDis3XpfYNv37TmZsBmHkEJaIEriKVTTSALltIhXjMZFWtDOmvlt8Gw8RJwBmmZEaf2IWUMzpWZ
J9hEZi2apDtr8xrSWH3NExdi7chpeTj8A6EUAc+e62YoZY7f8AQCAL2L06pfkgwWUVkNPK0C80Wl
mX2GGvmp5zzcpkMt1nWSQBEl8b7pLvaPRdxD4NTxFefpPGRQnkFlEbu4/px64B0ZHrhZnn4qWrkZ
PIgu0zwu51XcQtIhJMLxdESw47d54+gGi7UVWbXb0ZwuocDVzoyR2IV9ohnE8eI0ptDLEMXKczvQ
1zPlt+4g/G5GgUIF3MIWOI9DZf8QXpv9g9F64axhBcVI6GBhcIOYmJw1L21KKMP2wJfIqk4b+I6l
FaDeLf1IR7nTeaRdvn3kfq/8wqQYtCAyqqDtRU0rv2VOm6Yt0nyppKErSLqk89LX5pSTwiw86ZvT
APIv1zRUPnRQv3XYXxBfKGvDLWoYenF+b77Qft9YQc2zJcS6/deGt+h7CUnfa4Z4tHt7qxeIhCov
aCMIeOC/aQ0diiPgdPZ1tkwbDanRBkEmH9LB1cyKMr3iVRxKt4IqW++0GDJ3b2/+Ap3gVxGYumPQ
IgHF5ufqQ8R+DbFnli0rLw8XZZtd+53/P+x9WXPcuNbkL+INkuAaMTERQ7I2lfbV8gtD7QUgARIg
AK6/fpJu3x6rrCuN7/MX0Q8tq1QgQCzn5MlMoN5bz/qPw4Bg3aQ8kNrcGGTEkw0RiaCh0qvF3k+S
p3lux8JPph6riJA/nqYIN0CYAjEKNAw3OumTMlL2dOgFiov9WCwR0BdSX41jGG2RfX790wGEPRs6
5sOMHqWk02OLVkK1gejQrbAhe0fNrUQhAcCuEYSbD8bw9wW4esHhpgIPzEE0eXJ8dSgQs6hv0DMn
uGfEeeqW5Gs9kXs6Rh/EIOtafr0Hoinwc8Dw9XG8hCdNNYRVc+ugGkuU2BAAJqkMRRaLYcmWdjgD
VvFRNPp2iylC0XQlwCWnx0ug4kSuLXbecMZT9SJn755o3mU9i0TGeh/i6D9b4wEUA3h7a9SBFk9m
ZGiQd9gy5nun78+gGN4HAb+qIveDZn4PbNZmwJGBNAHRxymzakjcqarw1fvB8Z17J26Dg5pwIr7f
md93EbTigZCNndld1dGvF/Lk+FNb1x7fa4K0FuleLur+e9xGN3VnUVVLlpzM8oNd0v/9pESr2Dhi
XFOTYrc8abVsFpuC/8L3aTgDChMpcvFW8eViSlGqW1pUssycCj9zZMBZHi+pAvbtxjs7dfQgUEza
jgiLljnsbtOe84IqheBgDQs66YfHlaP+kPpjtKfWhB88/ZsvBlpyzDgYU8El+PWQoS7JBOBNsQdE
1W7qOa3PnAlgx/sv5vcdFkMEXmUMWx5/vRvhdStN0OEYoVLsWxuLTMph73LvPontR1HLGwt2dWsC
qxJ3TyKHfd1OGAvSqq7FRjQpgmp2yQ5T5E7b93vz1g4UIQSAdBRJOcbudStL7foT7R0OBoGpsyHG
MTWFvd0YI/4a6uDPo2jkjKCJ4siARMQ9zVATW0UDWBccuWP5dR07XUU3jS6f3u/VW4snwWpfXR2R
GJxO48nw1lskFo+owuSazx5w9jL8CsRVbjUNky+jUPUBLBbzwVH11p4HRmyAuBqUwd+SHuAnLiPB
wPeU+le2dV6Wmm5V/ajq5Q7b9QetvTXhkfb4mOzILH9jCwr0MY6U4XtFFd81UH/cjH7tFO8PpvfW
HMEgxrjExSOgOZ/sq2nvT30I3G2f9KP7WDFXbh0wjrOyJoMAQB+PD7WXyLyXdrjq5pZfhiImO5aA
2LXMKkJ1qVaF15X9RowJirJ9X3+U3XpvjjxuklxXJm4HOg18dGnccGwanDZTAKzQdi+eTWUOaok5
VHHy1E9AJ2LFgGS2pHrk42AOZSo/M5R1l0jZMzU2wQEoUppFs6OylKEf7w/kG+OIwhZCUFy6ka7x
4eu1JmI8QzUh3B7b5ataPLt1FRhVpUARe355v603hgP3ZmJhhytjFVH367Z8b8b9w4lFaF96X10A
DkUTui/w0Wj3cdrWG3CG7QcRxhuLDq5YXoSIBifWb/zmQYt50lSie3X4Cc5lTu6jdA8wUy8Z8efu
odNjV6AkO+z/vK+r4daKSCFAPN0pAycF5ygxco9c7bKLRg16rrgBLZlmjNPHOQlp9n6Lb71JDC1g
AB+3vWErOxndCCUHE3Ry77i0y2dvQGmyJfZm7NJm30RIpN9v740zBx1EDLU6LiJYPFmBTakDqEcw
tNNAQeEO9Fi4newKAlrcf9MUVOu44RMBY3J6iKo4qGzTIkXzUtleh6JbMh3b6Fj1nvfB9vXWHCVY
UKsOYaU8n8zRAbyYdgEysDdNf98z+S0Mu3th8P4q2t0kfWv/ODnCBgbRhQ9rcx8R4slr8yYA7r5Z
2v3iLyD6xOOt7nWhgAN80NAbGzO4xS7cGoA8Q8axvs9fGM5qGUEDKZECCho+0WnaJUt3/8GUIPiO
k4D+VRsncyJ1al4HAdoAq9fLgqpSZyY04a3fR2VWitFgFN0xC0etChPV9EGOOgZjAAWbPtEc4F8P
SlRbodwTTKDBEM/bjMks9hWx+mwJAnbjp3TK23kon0vltrvGgKGB7HbOwYUrDyxMwNZ2p+k69DQI
ezVqeLdL2oBx0XqGb2Vj9M4dujJFAjXRq1q4iA5lVWUtr/QVm2K287SZDyIET2sgrLkYHD3sE57e
V5KbHCPMtw2wIp0xsIX2YCg1mRwXtSl7FoIxyMdzGZAqH6u6374/vG/NTZzisYd5AreU0/0z6kxn
5whzE1zBl26yLwlTVwFxtqSRm9IZ5X+x7BBzI9gDfA9m/MlaCNncdoTO7d52bMWcLkefH0bbfhC8
/g75QaMG+QSAP2AEUXrSTDBxRvSUtnswSW/gkqxBHEq+dPwBlagLVKXzPvQ/U91+kDKRt9sFSosR
RXJ9GpClqukaNYbAROS8fGKTC5WQDpwbsN1dsUHhHDlOFzblxvKhK0QLppDTt9jIO384hKD6hvXo
HIjbO1vPBm1egh2GCad2EH6gjJXWf4XegER9Ah+IxwstUutFwF7ipaBeeefzwOTJEnYZt3XAM7so
uqnxPIUV6huI3951nYhlp6ax20LRhX9vljBnxtab2In9x46EH72Kt/Z03K+AizGgR8ALWYfslz2i
ck3YtHxo9659mZPEz+bR3XHPDh/MrLf2ol/aOQ2MBjU0QqZju09C4eYt8Ia8YWzz/nJ560CMSIxs
1Ue9LUrWh/ilM27nK9kFut2j6JTkc9hmSMafJGcg1pr5A9HZm42tNx4g8IW67TSJiDQ2o1ZgrTgs
apCJLrshUFvQwECotNUHw/fWRoAL5oFgrJK934JfMc8kqkGl2Ota3/gmjnKvnJ+k0N9sBfEWiz4Y
Se+teREjS0ICCy0V7m5+PZSLUQLjizitngSD1MP3zpJFjwcfWHwhicP2gepsPqmU3FZuyfYzBbOZ
QiN4kdCEb1MZzA8xdAHgaJc0WD4YjzcfDxsiYCTgt3Acfv1441QahzOEOWOnvpGUPjJ/uBMExeT3
Z9Sb7cS4BggRZbTqZl63YwZnZgqknD0yUQU0B9eSzM5YyF5/cJC+FbYCnIJ6DZbXKf573RAZU9C4
QcDaWxDHmQHPbWxvtAzP6sS7ErK7b0T6AVDx1gT+pcnTgLVeAgGijtvsnXHa0V5+SwMBhmt0puXw
Qc5B3pq/yEhRJEP4iFz4BEawYxKoZYobbDP+/Nky9X2s0igfhJfkgG9p7iinyhvsyJuqWwnHjrfS
szSYP+lgngKAKk9ll5h974O2DGkLxAbM6ju6pLJIWiHypjTJdorH5DEJsWtmUWvAmnDMVCx8hTal
/90dfXDaZVJMyv1cy/4SmkS1sQj5qmQYs2Ym1aZvZv9OgXmJw94PP5hNb41Cuip1AXFg3p4WYIVQ
xrQgKe8XtRwWu3iZdYOnUIVHYKZPtprHDxp86xWv8gwoBmOArafDrmqPzh2CoX3VpQ7IMb1W2wXZ
b0FoKcrMrMTU9xfMG13Eub6qjVMIcX7LLtNoThrrE7HnKQ02TM/RRcsQoc21NE+19pY9eEh/vd/m
D77GSRAK7g0uKPexRJHanswu6swClVnR7KNmSXM29tFdwLwhb8kcHpkU4lH5TVLUAShbP3jKCbPi
sekXu7HgEu2ccQRl9oOHegPEBCsBqM+6a8e/5b50ChdVDljRZinBZyM02IKVRram1GaXxhHJMFNA
nwrFJqWa5TNqMqBfB17x/oOQN/awVRcOOgZcR1Fo819vLS6oEVFjqwa65ZqgNLKSmysilhsQLNvw
iNcVH2wNSiJ0FiajAiCy5zSoo1aaDdcjGd3tPJfuJxYg8Pbt4n5CWNzu2IgpBdkE34LZE+7Ay/02
g5GJLXvYBFHNNiAMBoV2WrtnURdvJtbHRUKPvuTkjpN2usKyhRJlxkJ4Ykmfngk3fnb7mX+QmL/V
f1TAoEGP1wr9KXAEuK0WxhL0X/DpjkGfu5+iqXqqPIdt3x/rt5oC+xJcA6jRcWycnJooOnVdsx5L
qSSsUF2ySnomxc9SJujT+239eG+ns35FfwmyVxyDp+l/60SiH5sKycEQlklmUTCG4mMJvF2p5FC0
sfCOnnTLazv546XvO/TGt06aB0SonWpdffjxQD8NE67/bvpv5f8XqWZdUWZPfvzf9xK00uZ/rX/z
z2d+eCP8v5/g866lkd/tu5/CxXer3aM5/dCrb0brP59utUx49cNv/g3/waHh9psBwf8//PL/z74B
lbMVsP6nRvSbfcO/Lx/+1cHh5x/9dHDAVRY+bHGwXcAvAQHl+q5/OjjgpkGkKwGQXFRDYBhMEDn8
tHDAlXcBlO6rrx9ZS8ougoafFg4k+he+DSAUcp2fN3/+u4+vXiT9Jn/+/KuFAwBM7BGv5hqaxxWj
+Eo8BfTSJxM7GSLgPjP19kkytwInMOJrDdPBfGnn7rwayWZqS2gAEN1nfULZg9srELJcIo8Vo/0l
kdHK8xvINoxLr9zoGIg4Q8x41FEr7sFCaktQt5JDV9r7cignhO999+ISxXVVaNzu/GCwlTz60LFd
rwJRkQ2+o7+GZSuPktH0HBzd8KV1O7HkkACEL0RF+NBabXi0kXS+8SmeHjiRzfRtvewgrs/A6R4v
mYw3ukFaRqf66NZgRu6ioWzvRxJQW2fU6YPL3oKGVvhMos4GApPNFtYOG5XUNIs7jQC3qbqgQL47
XXp6EoXmLPksuEj8o7FDgmGBCmjvTSM9r5XX5z2POpa5PkEOn6CAvPU6Fzp+w/8KmqU90rFSGVCN
oAh1wD/p2rSb0CuDwomjMBfgQzyCxDnfNjKEqCcwfbWTqlHXZQqB4m4qWXBwp8F5tkZURW+m6YG5
hhW8qkWQdcvQxY/KVIPN42hy0s2iF6ayqS7dblumVEB5tQTWvwKLZOm2Dkq597pLgpce0qUlA9Fc
PQc0SM5x0bp3P41kHWWOEA7axdS7T+GNgCTSH717WlkJcYwK8fWWCBdEFGm9S4Ojss9jaxT0eKoV
zSYJBw/iN5a2Te7oruXbETSZIwhiPsl//C8UtHivpYp0lHV9i8/NrMHfhGTm8blqJ/UM+4+myUPb
lI91kHDI4EBkP7dDABmcYHTxCpzI6WOC06fPW1umj0CeoLvXyQCKTKoD7x4oK7rR9EO1G2PZL7vJ
gotCmA1f1ASt6w7cI11lejLLMW1ntI+KvDz61AP7GcEFOoRyHb6n00F9hM5MsDPwPvEAo9dNdBPT
GqPbDKV6FigSlBn0Mbwpwhkc/iKZYhEUCcR+/mU5iLHcGoit6MGqoVoyKmv7ta6lk1d8wc/BtH4t
1KJa7ERd2y6XTjuYIYscF78AOQxfP0Vr55PF1qiu+zBryPU44V+WLiaHIEKhYZoYXstirHqOUH/L
AweF0qzsffc6qYbo/EeLUQwRwHZwInIYhYe52Q0+xrceafk4am6TnAQhjSFk8odlpzX0FO48myQP
6AS5vqvVc+d7ywBoZdJ7WtVhcEOh3Ntw0jF5qEilzaaMekLyzgeAmFEi0K25SZJzVoroKbD17Dz+
eErAIz3dixmCkJx4IR42VBFmmeMT7zLVApomwQ1B4h+NeM8c3KLlzo5cAggU6yuFT/Q6JvXsmks7
p/KYRkYeZy3xczpXtM6SlJpozeerHZcOJkTaQBEVj+C5w7oA1gmQ/3vztuqU+L4sIWZkHTnrnPJ8
CBVo6CSw/+iHUR6hzZ76nCk+5dC6W5CuUh9yyCUab90RGtoB0NEzwUyD8kD2XoJ52jbQWwepOod4
BhzCMJmz0IcrQWZA0kFy0kK+MWsTX0ZuXB7rdE4f8TIjVoB25N3WbLaQFWmjnm3Qm3Ib1/50N2AW
7+oxabZwbfBzd6DhTV9Z86UG2koygUPnUaRiuksip8ljX2Ni+3pE7kUxAOeRG4A51jYc2rRFhq3J
QZIXpAjT1qDqUFHI4BAAxvsRplRfOlXHBBoKmZBNUI4ONgfDgwOldXAg7Tq+88TKRx3H2EH6Tg5o
sAFT3QuDTTBQn24cC1DN70ovzRodqAOZKrKTIgEHQOPEuGk91d4ic43Af4RgEvI/zvyHVC7x1hn1
/C2IG3JWalvt6yHxvoowXh4T2k/x1sUWeN7BoeIb6abxvg/D+aBQZdjMtShzWTkPunY0oITAFG3H
rYQmOal2s+dA2Aa7BWjH2xH/BtmgmzTzpqXu8q2aKccKGIU5JuEI6uBQxzMsDpaSPM+8Nkc7lpCt
oIjvHXqwRC8a0GOKcBw1zcoJrN+8Kpf4HJXNSx3p5hsYEZCEL4mGMmiau/mstVNyKUbn1mvAxtiA
rgGdGk8G450Ljt38ZgkIOwxuurNDNEFuAvau6Tikjj1IQ9zpy+t20NhNoMNrK4jKbr0W+js6ehRa
ULPQ3dBX5Fzx1vUfSuheHkcm9J0Yg2sWDt3t7HOajdR4tyWyvrs2ttDD95NNrjrEpfsqFmrjUuZ+
ov44QamX3C/Uj556M/s7CYHqKvlvZYr1oYTaD8B9sfDHPZCjJu+Vf21A4MqiRrFwI1zmno9yEZD/
dNa9MUzKzeTH7kYgdcxMDdQ4YwPgA5Rw3dYtWMnGz6WaGgHNah/WW7fpe2iaOiH63PECsRlIJ/Nk
cu293/LkuYI5ksFRSNyrvg76rHEddRgiglk9kvrzhOP9OIq+v7S++3nUSXehzDJDczVOKsrjFq4Z
Bjr9YkDh/W6GgPY4T7V3w73Ifh+CSX+eUyq7l8m6YripIl3So9ULP1AB8qzq9CcfqpUbxuAowSNe
ZggFp/PBeiQXBiFNHOmzHlqnK60hrTE+sPhsjptvwo7TebdUNYw6Zv+mruzwnFRRWVBAf9epSqF7
7EcaZ7xlTZchJVWXsVPyC7fs/LaADMm5CbgMYQjQjxsMV5wNQTSdKeiiP1e9DfJQqoeyV+4Zd/Uj
1KTDhtWYp6Z2nz2fHuqxNucOsL9P40hJgzU3a0CQxkMVgrGjoQG9IonsL3p4PaFAbzMew3CEuV6P
XVOqKTgfmQ3Qw8TLfYYUBJwcv7c4/JzLKMBUcSt23oxgNsMu46msg3jNRJtM+zLI29HyAs5VovDU
gHngQ4rJ4KeAkyItga0HXZS1EY7wLSgK8BvxfUVuEhpE10mq7Z3UAdTGuh0k+sNszhdotWM7XOBO
gDBTPX2I3M47ttqpCo9MKqftHG5hytLcVbUcoMdE+LGFgK4qJn/VmCl3crLeRkDyZ8PYdTNpsuXE
ne9drYfjbIj7hBoSNqiIygvsQMO+mnAlJPD89IZYd0D61TP86AfqSJqlu2VhI1DVas246WVbQao4
Su+sD+r+Bim2W+gyOiS2Ts4lp/ODa0QJPkPTP7KefarLpsxR1EkQUKAy+zCoFKY0ZgKG3xlyBi43
El6XQouXsmQb9XCHyayuxyiDNjNd8iTuI72FZjvESmgsz9UUdtug6nE6CpbSrIsbsVNjkDyqFB0f
1KTvylrGSPy7st7gOBz3SW1gViZSniVlCYcCDfF3CQwu0zULimWm5ghEOCBQbM79cdKBhJOLP5Et
/ma6iJuJJXmM/eZrDWLT90Qw+BLxKFz2LLXii4rjbp/qtNyINbRSqOlBdT13GbLdRuaiqaNN5XRq
U7dDlSd90l+MUMgVJRDbfB7g6gMBtX/ksAq4XEyiyAPON35hWxgeDHmTTs11bSuSGx7K276ZaHQr
IIRd8tBJdTbYGmEBjG3+4p7v0m0atS0WkItYkEcev6I4ZOHWMZ233JjN3PN0ymuTQEWIMODCh38R
dl4AQJBcDVDzL6RGjBWkz7T35O1SjrXKGsq2He/nc9ROw8uuhY4Q8sbOKXoo5c+IFPY4ed28S9oK
+vfQmns2Nmfd2B1VskwFCNTdVWOk+QJGhLsbbKfPPKACO02TRwRq4zY2uhhiHdzUkLKILBw459t6
aqg4M2wZvS0cOxZwgQOtatxh2coawuRoue2Jq/6agKBSTB9fDJlqG5EReNUkLSmXc95rp/kyD5O5
hoXFcuWwRVcbqqqw/yux6l71YOLEma76oPR3wGOJcyinaNcxEt9KTzwp+JCwYyu6GFLw1n2BvY66
mGA9kFUJ5sKBj9CUZjBR4puE1yy+xUUgofsEF7nbVI+Z5m15LZXptmB5ZHr1RFLj08ICCZxDJzS+
pr7qrnH6HWyDE/QjLvkpwpq6uMYHxSay0q3g/X1SzKfp2M8+RVwbax0cRoJMNKyYD+5hbL6m2qt2
vyAHb6Ti4SnEhFIT6BcQzoBHDh+40xKtYMMM3RdoJm2j03PLELobbMwv3LHwjYAO+wsToANc0iHp
YSaiI1LC/gJQV3MBBySBnQ8Le4OacqCvGj14l40TLepM+176ODALxwRYsmCvWNoSYVsTma8udUmK
hD6wyx00F+CRd3AB2Fd9jzBT1eGLDIfR3hkvDc12sZ43mhz+OCT4vCCf4HmZTEjYaBkSxPoUuQjH
jnHfxEQ9j2I2XzFl2u/JMrR3KOQgoredwefBrVLPbhNM0zlFbuSse6eLBMtzSth3mN5sV76N2SVU
QgOGD+qrQCqUWzXzomljQAV7/pELN1HnfVDOWNGOX9EQ8AZDeBmu1PrABThz8tI5IuQyMq7ch/Oa
L4dVjdyg9wTStfff9vpFvzUEOiTCgABGeKezK9HI4DoogveCCbxilTTNxrYd3g/WHmTrsKdCuiQn
JCELTtnnP219RfDhNAh7Ulywc8qtV84M2v08SRQdlX8Pv5ikqLpqRvwo9F5ODlqNbIwkwAEMqf4U
PweOul7TCzDVW4lqp30Hfcsp4SQn4U+h8O3DSPvgIuadf9/WBmkziPPo/BDMEiZvCjGqCzNGJH4t
jcWewmHv/sdo/A+8+YE7La568QFHvgNvftPQctjX6OaPv/k3uun9C/76MH+FogFsD9xE8g+6GRNc
AxTEgCnxulwPjMl/0M0g/Bf+Ya2vx5j82O6wE/7boHa9gBvQN8pasAYAVfyPDGpPVvNqYb0ax+IJ
0QiMydff/8IaSLyhXyqZhMA2DTzyGEuymsK75ZcxeWPjPl3KCarV6OMPF1wIVt2TPaPshw6AHy1h
cQheCaKHFBZYUyk/t3aYriGAIwexdFwXcsGW/n7b6/t6tY+sjePC3cRNMWwxBvt1FyF0EBPhSYp1
kQIKibUZi2Hy0G7o8tva8+ULPAZUitVTkQIZT/VtAtsAbiY4PwqBsh3MS+oKGSZ0gKRzurOeSwb/
LajvcyTPYQ5bGrUxlC4XvYnL2wY4YfFfdAKaRKhGUyS5v20ILsAA0tgl3XfL5G8gZVu2jQMQq4rH
+aEj7pCXHgf44DTz6u0CTHBM+6QIJZ3xfFU6XUetP12v1kqZOwDeSVO2bGEfJg6QGvItasA4lpAN
becWmFnmNO2Hp/cb7yGJgYzi6IB40z8pVJqA9P0Mq02w29RYaHdBjj/oeRfL+vv7o3Ual6xvHIVf
yAxRcg9RA379xoGomkZ5aGmAkHc/W0BYNkq6M21Jd+OGtPlTriHaw7GYBCui/jshw/cMUFlHoD1a
6RvsDiYDUpd+wOA6DX7QK8i9IMMGBxWU81MJZaqxXQAKSfbaH6tdglFTcFPac5Pcvz98P9yCfz15
0RJkXpAOY+HB5vd0U6gpKHkj5uDeXzxxWGLjb2D9DDBoxoubGwLxMkRTBsoLy2/nIUzOQZjhcGnz
ylvWt8uxCcMO3oOrC1s0oK6qvApQ6+DBEI0KVZ4hxp53Febmw0BjiLDJApwNjsXjAkc6ikYmFfgb
KCaqvfEj8wR7wGr/fif/5iS/6iXUDz/u0YCEJILX/1rN/2XrK/1S9AjYJ5CliYckRI6HmJbm4KCs
sUWV188iIr9PQjtFyIXOMHnrPbKtfjt4ym650vpS8QreM7YlRQcLwicP2PBlmM7B5xgY91PYRRvt
jf6dBxgVAToQ5FyjMnPvuzzdwhgHJLeBoURBW79oaTXvIH316oF+xnYGW2Ubhle090N4REpA7VHK
9vAu9TeERtXegQsOnC6qZgPMztsZIpN7XYZw53Tqpmi9jlnYMZdfGA6evDEc1RK1DFdKeCOsr5c4
OG+STuyGci3ED34AGzn4hSBDliK3HpV7riV/tKaF9VQrsraZnaswVfPXGfh2hiTVbii3ZBeWsIkB
DAxD2YWrCIWaJbgJGXGR/pjmKaaMf1cek/AbdeHbk6eaIWAcpUsy2bLpU5y0vIgbeBHjdllxqOd6
Ol+6NLqKBIcnZVK1aUaaarzqEfz91daIBd3ObJwprXNW8m8Od5ILpxUO7EUqIKixPmuaCE8ded2G
++kB5aD2UpYKgBMgTJtRDc8maMZ2rqrP1/EspIAwAfIOJzMSpF2vIc8hi8YM1rLugfKmOQ9KNT84
glsfv3WXS5RPUPqZB+ZvXJwved2MZOfDIRQwZ0BegFiY6xrj1B7gfZjmsGoj9zzYtkxhRgxQOvcd
IS+oYMgtAFynIGpKQKz1W/3QzgboN5yH8GqmOjMTDErGud8yRm78suk32NuGg4XDWTY7QCLhPOt/
hTNvU+jIUzcwTbmoYC6KuBTWYgMVfdGXfKXv2h5VS/dM+YD14cAWZHU6UTgI0gtwJD4zuMjumbUu
kM5l3tQ6epotf/Gbti1GWPDlTh2hmohi+5agzHEeA3M7a0OeZnKAY0vjEpr1defAjQ1OVTE8r7BF
9WPuNW2dB7Wcjk5C0x03U5vPTlI+O4rNeJip3DJwQ3OG8qTMtNsNmFzDGBc4hvi2oknUFvVYoZhH
I3+njXGO4SJh7eRImHBN4fxSj8YFpm/iBEADpHwoLtbqakHxH9uU8brjPHvBgbWT2HukcvexxHKJ
nFnCtTft4KULw5XRB+oUM+TalkEG7tbtFz0EFPCS13+NYLT3iQx6PENVZjjwIbXZQBWcsgCg7jrL
gUCV7nDoUee5guGWynpwFingnjo23qGt0njpIL6BlL1xaZNNzuomPLjtFtpGdoDZt9oEMBHN6xmA
YUpQ0/SQo55XE4o7rdvYLJT4cXXVVUUVTd1ZqlxggrKfd04EPWBnwNKGmfL8fbB6lJcuMrMCfPEB
7hazi8qjz4sfJKAK5dWdt4Aw4aNGvXEHmF+jx/osjqy/QQEBFkjMnY+Ldc3Tko7BFQw/3Mu5cuGt
xUvI7jMX9IpvXg35QypgFT7Xtf7C4oluI1nFj6yy7XkLUtC94yK+EFKxKw6hT17C3wDnxehmEXy8
8HSwPIYKFRTHzeRG/FYAx/xU14QXHF4+ReUgLnRCNe8Ehy3oGHR8C/+n/lGisHvoqtB8XRzm7kUd
YO/R6GSnEH5FQpZnSxrguWaiLgmD4yDAH5xcI0pEeQTqfVHL1QJJD+g5XIGvUrcZi7An/qaDn8IG
hFB6tcAX02Q8WPA3firME4VMGSbHBE/C+xQY0wD9Z+lEHkVxF1zn3PI63JCUhVdI0QWIAabaKYuC
l1vDVSGNYSiOWCXMVQngFnGkPhvAXcg8wubviIGHx2rQ2Nel353VkM0CZAIxdefBIHhXtk4IHF06
tzMaYIUjcPIuKKvgseHx+3mEPSCqKRGzt26s8H/Qn99q1+8KkM28TyC6Hw1K1Lt46OTOwBd6hDmg
S47h5O5sh03B0z0B978Ltop106HhKMsMomZbSUq2kW1/75WOn48WxN6Qj+EmrtxrXbbpkHFGh51W
w8x2GP6Yf9G4V4Gda9N0A2ZzaDM7tf2c2Qam6Jr4ujxPyyZU2FlnQ7M28QN2OY3+1Cx/gwf/k7B+
kLBC3Ya4+j/nq/9HwFYYQrZfLmD58Rc/s1UEdv8Cpxjx0CqsBqKH0PlvLg5uivsXQkHwbAC7IciN
0n+SVdyzAhYWPg4wKAT9ccVKfiarIX4VuqBnEdRgYSFAgj+5TWXNlX9J5dbH8cBDQCa5+knhOsE1
8P8lZEviYW4aOEZ/Y+6i6u/i/7J3Hst1I1kafpWO2aMCPoHFbK7jpRVJkSxJG4REUfA2gQQSTz9f
kqpokaqWombdizYUzYXJPHnMb8yg0d7NQFv7EVUPpCMfigroxUFqtFC2UuogeFwS9AQunJYg6h46
ywccUPaR1ZabJk5Ab5PLlCRhg11bqF9RaKEZiZbfkipryzyxR0DZqya9ejs4LtJ9R43ZiWGT2p01
32ejUYmGF54a9WUd5y5nyGQHyATLNO8DZE0L5CS3FeCDKDk0qkD6Gq35jG39myrkjcSRHxrKmAvy
n/8gvQr+8vXTaWWIrQMyoE+dnFVckdKKzIiq4B1dXsYpM2truzh5U3/rwyHXdz59Bi7NzaaB+2mc
OV3uf1hbf1P3P9d0/86xuST8b8Adom0SAMiClvD6kswIvm7lkH6lPxiUl52fpygc+1NPfMysMJ/L
TS3yzCkIJegybsoCwKDYFJwy5ed2kZpDQkyBVYCPVNLO9muSrtNurRZexX4c12x9yEipjVPGWvbh
1bqWDj9Wxz6ye6Q5chLxb5oZpl/wwz0Jm4eMegpgdVonAG9Nv+GHRYje3pJbZdU82ahrhu8D5srt
bV0l7Xr966fHjnrzQYCJDVya8RUP7y1GXcPlj1fkBL/Su4F0CVw2KX2bo5sdvnii8N/NEuW5bENT
vLLGbeekQt2WedD8rqB+XXrSouJCKDlpSUUwTH6iqDuMYhGmK8KvStKWveJcLtAoGmoLr60zECNr
EP7mIZuF8fohE0x85G5YhIwY3nIP3LypSuYo7lfMQmTuP6HjLLLsNOkm1gJTZnPblQ4n2vm/fuhv
yB/mXhlo0HoNGTMQ5d7i1IsW0vqs3PqrrPygFsc8Tpp7GHBs5u1IgZh275Z4Tez6okVmP7T3gcrK
9aGQousQ76+IHMwAmUvGN6jQC4/UVjVuhWxnOkT6OM2+Xw+/KWZ/WpLgHY0EF0mMoV6bI+DHJWk5
qSVaCN+P1URJoXe97iyMf1S0Jr+F1f/8WSx8gN2hUf3ipHjTXKH4l0NclPJxsekwrZsC7U11myCT
ypL49bv4aRHQ4MTQC54GOE/nJ/CygzKxu7h289joceDhDlZcFt+Uo63gQ9vWYevtEFBqx+Q3n+v8
fI902YCvR/RsffCNb8JWgvjt0g2B9WUNLMddSeCCHH8SEXXZYG8dr3JldWSblAKbhQqk164fhiHu
tlj2uOour9d5QEM2WtbxS9o4RXzwmtDV50GtfRntfvOUorfbkws0hmW8eJSy6Qm/ef1BOndDPQ3t
lyzKQcNvCqwB1msZLgPvZ9U2yksnMZDD8Mrykpz1IRvf5zBoQq0JlnHpp/qRd1kX35js8GQ4/vyS
RFE5Pm2mlwBMCUx0CRbqsA8yjWMcMxR647x0vBqQjN00wDY4hhs07nkjWZ2YEG0BEeADXb1U0U2S
dePyEWUSUohNv6ywVnYuST9B3l7zsC8Ort8HrNgePyKgrqFf1E/hPDm5s/HGRK7XLOg4+ABjlh03
rG3BNTodgqiISzST8wEx9g557gm4xPqwkpqrOzX0obqVMLn42awBFrVukKFteWduBtcQEXF0eUq9
LZD0J6gksNi5GaNfmqUHnTVhE2zkXLj8ZOjkCT+SUxDW4Umglmy8GWdRc5jpfoGitpVM6FOq5zTm
o5E8jfnx1ZvNp1kpOgxXXlzm/cce5xV1THzV55eV30T6ZHYojM+z3tLT2bRMC2tpiRgA6V2uckef
A3nKOCztZDRnZh8lLkGkQ1Fcop/qow+Dju7LDQTFyEx70yAaFRY7204sHmhgNyw/ic4IAbOqhW0h
+yUTMG/7XHS6xsikKws8mV7+Rt/11rD36CPk2ZYl187os2ZrwDOYvFzz0QvKacWZ9lruKX15qj6F
Hk8uiLqJH5jnMSvPGJZNjKURozef6FmCrE1TBPFYOo1qvd4RusxyaeORU8srKTfkvkjCor5tjHma
OBQeWMdw02H3wZ5STRyzalJ3qHhn3kIP5xsiQU4iDmM6lpF3ZvlLrh/7elE8w3ZRhRmLE+/hoEYV
ejvFbhUTjdRTEBoKKGe64pULP8ZZYBnuNO05cxNF3IXLZe8lqkn3rYWXAy5OriIK7IfVU9xM6yZm
/Q4UTnyVRl7vqbNYAi0qdq1G9H3cTYUX8ZWVjoJoDJpn5JI0d88/zlNhrgVYiueHW1DwbEEd9SUr
xVuh4x0VMiAGaVrnkcnbEgWC70pCcgk+gCfgi22M/CGXVfixeca9otPybVpmJL43K1ha/lJFCugf
ixHWvTiktmFRbk1qre6wyeC/eyeq2MCiGIkNpI4rWYY/5+xzPejVBI8M9OjnovcGs6WZn/BHcVdw
eBOBJG9sNmPneOpO5KXLUwBQ3kl9VIstC6jk8Hn4g/0Aep2amFzMrGovz5GV78p4dVAqjypwsbvC
vqN2zmO1M3KMJjJlVYY7S2hbB1pMaecdxhJnNHvH2q6yXarsbr0OtF5Y/pFEOcXfxzUD9Yajb27D
qzAA5EHTyx7RzcdXqvDyd62T5ZT15OrmDTc5rRHngOYKPMfTXCIHj1r50APb3i4Vbab5vEyk4BoT
S/JuwPth3PC5gTbGzTRJgVXke9q6iU9zUbYxoP3Qzv252hOICTf7kXG/Rvm5m9oY7W3y9kVtEuSx
smPiFai5pJuoJMyGj+scWH5mgq3mnuMC5yBAUEO2ZFl6wahpQrNzXGJpFk9emJAixln33aHUGGrR
kpkWyRpKvLwv0/N2xdigO8Dangbnag08QqXskY3C7qLkfTSbxbacqb+Sc+gScoumn3hLDQ4QnAWt
rmf+VtzbJgpOPHxWrp3jmKUO9tjN/CQlTM/3Rox9iEulrerlJgYlxELKwJoRnjofMa75fMwsooPi
KbIXHHeULCjVD2hmnfL2e+hpkU5Z6VElVy48W+AbhFvfoTXUHQiXHEdKd4JTvk6QToVb7FfmkB2R
mWY5LmGQgwkX0aCJDzrKLP/dYjOKSzeEqMA/wtFF/HwftUM7bNbaNdmKbc2lfqTzTTXyvQ4h6puH
M7cIONOgHIiq8T7Nihm0zoTxzNBtIFilux71x2Tv21PSv0/6hZvPWw5/vVd6FlyxgB/PU2rrTLCx
i2klnT5GAE54gt+XNW1s8z3ttx4Ld80XkzhD0DDhXiIzuj7gs2HzjD0xGIAPWW9qsz+tNGfn+lFC
Z20zo+HaXbk5YXcn43IYLTweHB1+Qpod7KpdL9UdsoRxwRoa8Og6C5uOCV/Yqql77GrOmPMhrS3/
MuFKPdS3uxzTImLueiixBqm++vANBhgWYT18xm6tmt+tsVXZGwDNY3veecHcoR1QYIXWbXsm3HI6
QOSI1NXQZ8li8Kx27Vx4FccqHI9ROduedzQQ5JeoN6QwILn+sk2XUpkkFWY1lhm+0JUbb7rB0uNH
YBGT/z6sRu2n26L3S5B3SJ7ppN10MfefsE6TFA31jJOsgrNRzRirxHm12sMhocXVni9sjgmIRnk5
MwbqDioWKbhtErT1Li3gs3DwAeA4k1pP0caD9OGgIkOE03QoRxnvrNYVOJsAnUOhIajSIxyXcde3
9ryeJ3Fj42g249RwAIHrNDS6RIXRQZZ4gXXdlW3t30+yR8OTKYPQXY/WHzIdd0hRe+MlfmKNdetj
drI+jBg8AkkbwnC4XwUmGgCvx1AM3Um0BCma3DZ2DeEuXtaqPEnysQDljN9U3W5iQOkuAnDDKvvo
i1MXUfM1QwRALcBrR90/xUXAyHU7ia4VG9eTwUjHL2n6INpNpR1U4UlSWyW+P46wSowLwo60NnvK
ALeNsbPFlGRy2x2AO72G+9AbEea/Glxuprj+nn3jBJqEzi2OXi2taoRFzIHa1V7dBfezDrrO33XJ
PCSKfMpOyVG0QqX9ViY21PXDwMiB9d9YsHzyk8FjGsyxgsuD2dw4bpqzlgOc7ZD5oYlwDOxNholl
HjSqA43SOQVi78lujs7XPrVISYOsVxw9eFsVnDJjE6TueqKF4G8epqA12R9UU1M5iMKhAbzVPuIM
8cnU13n4AYC/6dw6nSVKw8Me6TV0Ux8QJgMpyeyj0uIpnfhuQBY82+Ru1jbWc0csK6LcHBoIkyQz
Z3gtA3uvnCZcvWPsuzhcHBsEWYkpmLqB1tmQl8DEALtaI/96CsjQ5YyekY4mNZl1PPKAukaYkzPq
54UrHdJM8NmTAO20vld+0PO9FmNe/phdtNBpNhLEOdcv48LEydIXFT/iFk7MFTVJJ53hM0BSk6/G
0GxWGGXTEH6Z575pD6FbiOYCro3iWBy7zuRSTSdMygIM1TyjsW3C0fk2WVKX8Y5hJoKghkZN32BD
xxxzl01sDwGPnxiuTYr03O4JZW1Oqe8nmO+0PMeytU3HIoxR6WlogycWD7JL/SLGrSCvKTqqCUjl
TJgpzBVMErcX1M++P4m1Zwttpg6SFv2hBv0DiJkjpJ5d6WDFAw3PqsxSzG3ygNugxnblA0AOek8v
r5ED03EeKP+m8S7qk4U79orG4R1NUglnuGrSUs3ZNcZMdhJ/VKUIivLI8C6t51PkXUJ1twrXZLEO
PGeaT8MAcSo7RRXDJBX2WOSk4LOrTU0chT2LpaZf5yzbfLbRctphr0mWkrqJyeZVyyg5ONpdKlV0
zTzGbfOLEIF8rkevwKDl3vOYjDG2LUky0WfyzRbpa4wortYGoCgUIuWbRM2pKI3z3jELzEumvHdP
elcwK4QA9ny6ZkqlHJpTO5Oobj2vIwsMPaB2RwVEwtj4wqgis7Z5AsU3yBkNX/Dv5qfJSrDZmatI
cFw6GdflYvohTGpYhhMOEgDIO3O1L9ujHAPeCzTdlpc6SAJffeEtuNd8UtgL5cx7HVEi5oEJolmm
uSYnKA7+4Ju1WzVu3FzW8DTUuEsrDBJAAgNK90hq51bzbicL7xG5b9aBW7ANUYweDEJCxS6GH6Nu
UxHnw2eFhwaQfVlO3Uhw0bPvXfizM2I0lAQu66y2XVMEFh1A9TvbWcwLkX5MeknhyXsedbDqcw+8
tj4PsRRb1Mniogf6WWWIWZF1vWQ+MrUVuYZso4G7zZcYqPr+e0UcrU1MYrDggkn11QCv4quUmmXA
VQfl+Uf8kvr12raUbW89rFkpR1Q2pNI6RmHnTXfhWnkQ1KzZ4flbWWyKbjj/JgsbMH1m3wnoX/xj
2uG9dJcgOsJbG2sauu1uiSx0AfJBBQ05Shy06wNP3UTc1ekp9057gSS+NPUDyykM+Hhae8lqQmVH
TA6PncDIOts3YmHpH53IyShVyog86mXrNaoyqVVl4dUBpb1vK4nInFJw+OBkzKYtZiWeNksS3aW5
eWcDbG16Hgii4BkRH2sho4QvzBanWk67yzAsfZJXPRfpScLodroJF7HKU+yYnOoYSZeagoPN8skP
vGVUhE7gAi1/JvbHgVhV9I3JRN3GJYrDo3yuGlEWZ+R32hfKIUiR8E/hVtKQc40KgTJV4EthUSWr
uegW+zGdbtllGgzmGK1UvL6KChY6RZLN6kfktOGV5s5kLn1CZR87Wbj+yTgCUGj88lJ0NEf4wVWz
omATmYA18hotTGtLBO0bSIs5IglAA7ym/Oy1i6nQ9UvkiBcksJJN7YAy+Z2N99/0jEBIIfzGQEcg
B/qmZxQtLRLZmJd8WZLR1JkqsyoUvSwf/hBQuGngfn/TVnvbVaNNFVGeAh32HcSk3/Z0ddc0kT2G
45cgnM305mVpVJFlepW/7on9/FHoTpDjGj8CmudvAYcujqyMvrExyn3YcGSeKNYqkkKCNbHr15/1
3A38sVeN7iGNV1RK0CMGmPN27iJtR1ZzVXpfFq+eKGQm1FNYicHoZ2zDbKhRlNivYUvQmBo/kDRR
VNUDJmRCTN1NF8JMNlBJMB0eECgm1n6ffTSY95kUSWAWk1+IsJ/56teX/9OjgnIMrCx2bCCaUDjM
938YZyxDUo/pLILPY+4sXAcHlCkLOVwpoX79UT+tOY9+Nxb1IZOgvzFHIY3KXZQbus9wcbxJH7HH
LeYHZ4UP7VKkp/Nvl9zbEYrDiwFqiCQF/XEXgNzrmxvgAEUps4LP8LdNjBoXNtv1lBPZb1O09djK
SUy+TzKh+fqpgkEyvCPa1cHLQBqth7+XEXj7mJmaArWlScuYFIWYtytyhsmo5jj1PtGToHTUGWLg
j1EjTDn/z56yGyDQziAWHSDge97b5nVJYhh5TuF8ggIp4Pl0lSnN84JK7QhgyWSNv/7A17I3DGhQ
+H0B6QdGeOztCoKZtRJM9PBpwG2UFTSAzyfMERQ17zUZ+mrBpDxPMcfbijLIOBl/fQHP0iI/7kBS
LSTOAXzCnBXcuvv6NVMlZpXTieYT5ukaH0JmWWu5p+uRxcXJS9qihsykxjAbTPz+3hS3AnSIvH0d
jtDOTueXh1MXgWnx0PrXZiP6sUe1gL12w5GAxUQbyV3kjRbebblTjkRrMQfmsFR6amHZZYnNxt94
RCdykVFMNI+ceVjACUJ4R/c1Ipl3R+ggComUXVtaZr9LJU3aZQ2uMFbUeW+O87DLyW3AjpkjvuuG
jssSLw16SWpP1CxL1yRNRTQ+Z3wugrvdNilqzHc3tkxnnn+ElQSdSVctyjRZmpK27K8f/9ttTdwz
PkTgUmOY5j8t7YnKIrPsVX9ss94jZ0270ZRA8TqaDOB7y/rXH2n27asXTqhFeI4ZDVjVSLxlZzBz
AtUro/ljnIamxzjlcVheIkvjltaVLW2uYONX8UQRtTiJSQqtCnvE3w2K3t65h/gJTj4oxXHbPyt7
NaC0Zt5l9rFsaX+e5fUw1vduObvDhSvHf0S8gURAciY8OkUhmrCg/98sclwF0jzrpPyk4JmvD0Eh
zLIois5kVr9+vO6bLc1fB6kNgzlEv5ii1H6THaTzYldVo9z7Ro4YLia0L8f0kNJGpdLNi5nTAUP0
teZ/BA0b1uUSePEDxVowRBvAjCTp55Q8Zn7fzbDc6COsvknUESVGmlgQBB6ztshMW2uxTBsgQqmE
Taii0LSJy5rpyJ2yHI+bs8qAsyhNLTMpclRt4jUFQbn0p5ZFHK0OTQui8fLXD+FNxOYZQLwBgYe6
ECoCPw2CgyAd4zqclvupLszJjD6n2XIIj1I5//qjjI7Nj+vZvFOCF/re8I3o679dz3MLia9z/OQu
8tvnz5qQdrhCiNOk+hOhnhD0MnuvAOnwFJqlMV3S718NCpvSnALB5uEGvjD9TGrBjkjn1hIl2lOr
LCZrvZBsVUB8ORZH84n2JgqmPSRCyuN8Jaipw/fBH9MiM0SyMA5i76yRvfI91dbmha9BwafApScd
BoVmPlg5dEDHnRVk5k0WzrPlMIAz897HITeN5e8jNHYka7dg5sG5lyR0OXAZdeqZFsivH2n0+vUJ
YUSDXNsIAwWchej2vD4Teu5ARXaXPFbKEx+KoQncg8t49BiWUefT48/GA0yp+FxHeZXsOj9BGhWh
kAdA/IDVG8SPGZqC4owtDcYSfF1/jyWYJ6+rRapsm0XKPeZxcVMzantUnS+7TThYmd4yywnfQUBt
zzM7l5ecSNlKtZ6Bx7Wg8f+5MkdWqDTA8tp0FZzHHV3D8sFaLVxORxih81bGw7XPqVQe/MryLoUe
1G7sdL9nJl49ZEATzqrKZUpQdCPtvLacGeGNTvUJHEAALT8FeT+tve2ALB7Encv5/LnLWifAGinM
aGGkUp64kHHuZuFND7nnZeCgbAtPYPiU3UdQjvJrZXXDe8zFJWlRMiGGORUHxgS6Q0KG4fJ2wf8c
KrhfqzM4s3vIq4qGTVYUf05RGNI1T/DAHdHSuFuLiZaYDxGTbp/lb+3QvvFHbX9x9Sg/OSDG77Mp
QC5kCevzUsh87+c6/43k408LgvTLoNMiJhnEtrdp+hRI6D/+UH/tm4Z6DiEwlF1qzwEP9uul9/yX
/n06sfSop1yXeTweKJxTb2urxQVDqYCrfHVAzypSAaLopqUOgEOfVeK2cevkNpcJGvc2ZsPdzlNd
DhQ/D8LdUo2gocCwhe+GcIjPGqsX9xxDkvQBMa+HuuZMd8cGtTl3dPwbWxXNt3ryoouGruWNcrX7
Z1xQvm2c1rGh85fpO68GOArkvQ5papSMqODG0G8aYv21aNORDvs0HJwUdXp7Gb3tSl31j1KE5yfy
/PRJ0xBUFW+hTC2tN9EHafOVvbJcx27SlHvAuhCNwsEO73/9/F8H05cPE4AUTYpF/vw2G4QcSlo9
xM1XdGJq8FmLfec09LY3eBNcKt+bqL3Ttr5hPCvK3+TCb0B4fLhJA0iDWAAo/7hvWU6OhfiAH+n1
K7rgrLIs97ITr8WjCV/Tz40TVx89K152k5sy9OgHKzz6oNZ/5/wXmOj2agkKA9Y0eBCYghzjbxAs
TpnUjA/w/8XjtSpppyHVtaCxG+OpXK0jGh4II4h6xC4KWZSaaU9bH/Eoji9VF6pxU4nUerc6qX/0
Vk3jbEjiTzXg7gCLOOsSHyNxoT190ni1d0cPtHrXWqzOTchgDE/FcWHsguhlshVdbFjrFN+H2c+/
6bDIrzzRIS9Ep/iYp233rg7Gaty1iZy+aHy979HyLG+sJuKACBfHmM+P87TxkOS7M244sD56mxvI
FkRy1IjftFEmKhiEcCa+9wMrusgz7f/p0NVGFKLEJPw3+/s1LIlXzLP16S4IDilwsm/lgSdawrx3
kXztcz+4Mqa/D13uab0re2NrNxsJi1+vaOc18PX5I8kNKHEcTCtA0r6pY4HJV0PN0flUdIV/RtvM
qlGq0tY5jcriwCBiJNIH6fC18+zqIU+X8SLPY/vGUrF3+M21/M3SIhMF0wsky9BT3xysnsusDXpK
+WRk1MUmnpH+BkegmUs1zRNZu/i6yik5DRvri1bF3IBPVF39/3gksMJJzDywkcgPvHkkYHEkavii
ekrqUE+7UGb6GuPXrLrIqxBfj1XFdz2s6IMOs2TfxcnyMYsG1R0zuX6nR//H4v5NC+j5/RiWLiTT
wAUY9xYTutbTrFoMBZ9SYYfv+9CRt25lWTtB6xBj73q6mqp+POv8pj6Fjepcjg1+uHh/jct1LrII
yGszq4vcmrxvYLP7YBPhJf7+12/uWQr2dVCgSCD4PtOKQ+ctE3aY60BGuEs/pRi0VHRc2uRTiwKe
2vW1Dja97Zb0pmrsUDZjQJd3V2RhwPNK8x0drjjeMqpGZ2FoQ/EhH6Ep0LRn+NFYMrssw1weITUt
V+GUpadpgP/tpkUod8auyoFek3boE20G41IToVHcnVgs6ENRjtZlHDqKH5gFglvmNeplJhEpgrw7
4F9p9N2cvLyoGdBTC3i1Sje4wzWAgeaC6Tvj6gfcEPSeLFK+HyF5nWZ15Q2YZgB0IoYw6NuG9Guv
oUtimC2AeC7MopkIjnC3UrzZRXc5d7GE0Zgjs7fl+bXOKbCiGfeEMHX/hH6Rf5ggj33zczenSYfl
7u9als5Px5aAdukFbHHja/VTGa3qRNdx709PdL379J7TLZBbOol6M0lbXbnYNjFTkmsY7aIhaL9l
KB6WMEHcbj5BSE0+BHGVXthiLu9dRH+YkHAKHNBMr9gMaSG2fs+492Ub/pdncae7p//9n89f0ZDd
5ZIi5XH8kTUBRpi49595Fn/9zr/ab/9CMmaqv+SvWBcvv/+XRkD4B9h99jWG0R6dNJc+wwvrwhLi
D4TFohhYMqGOYMth9JcCavRHjBxeHMU0BQyjmm/9pYAa/QHdnZYYTtR4Tbh86x8ooP4ktkvtGxjl
FRDRAI1pB7wupbTTlESDxT6CTtvW6beK3GDRyWkRRbsGW4M6t8+knezjZPrglNam8OTuh4d3/RKj
fhRhjV9vDoCtXAI6rw5KCkzL4ZC/voQ2oKCIItjcLWSvq8T/oNEJlKrcN/UhLV0S6RGKWtylDX2f
5LLrUhhPrt/sZ/ejr8DaZDvy4/TSXq0NegeHEbGmTjhXfYZVix8oAyPdWSo1BLdHzFj4oWwzNWTN
5acC/rP5vxrOJHXJvVyZ8NXY8Fl7HcRHv8UwhEQjvOht1eA5b4/ttLEG6Xk7u5xQv24edAT+jzWB
+HIE4BQ9Idc7T6dZ0JddKYWoHaMqQvXHugyCAjzK6En8bC9QH7xBGHFCYTbduFY83oTxRwcfQJmK
zysotX1dIJoYels/FExSYySmMlS0qp1a6u0wlbeLldwV/TzsS1nv1dh9mvCFPcmr6TqV4rxwmi8r
ts1jUW6xbapOGDVGm3kcjcxR81gvPoYYwIk32p4fcSfepeEkL1DqCjYVxUUXSj5sxQPUe5fWKNk/
v/X/BpffBBfKB1O0/OfocvU0/+vyackf2x9j0vdf+4vKZXt/YDAW0ndjHkCfkvDwPajQE/nDbCeb
ORzeWRiN/TuoCH4JrpYpHEhrYP//O6jA5WLn0Z5Cy5LGChnXPwgqwetyPLCNbwjFeOAzFkEX5W0a
2Rc+iGwwbBeDO+X6M+bMCAU0vhj9vZ3FsNs33kyLRB9zr5W1ddq6WRcMW3qkzbFl/AqFV+qvg5dO
COfaXbBdQCms50sTiieUYQVMWREOa49JZBqWqJqW1az99+Qqa4QinpoQyqPHIRrUDGjR0GTel+ta
ZPE7G7AdlTQ6pnTHuhDqgX7vNQN9+XBWo/2xQvASsCgCT2j5DllrN7R+I2sGsS2sjatqjDvLDYO7
cskuQtX0XfQ+c8XazuDJGFaibFCjJzWQ8yHmdidpVTj7iPlMhbRXLwAdnYDYi1wIbDZG2ec52c+0
X+3+MbPkcBB9p68Dt2rE1gzI+VXc8tZPiJqL/KUF+t8N+JsN6IUAwn+1Af98kuO//lba/OU3/zrY
BVo9WIdyQnN4QtPij37fg5H7BwwjjvyQXI/Nac787we7b/9B39lk6oLITRVFLPjrYCcd4Ew30hxs
n2cW5j/Yg0wFX7UJGMUzkWWiwNzMoVnw06ww1QCWUQDITmUtpvM2agKQ0eyLc08Dpqp8I2JdTp5z
i4gags/U2na+5LvKqB6W2WChyZlM4jCM8fAe1zxQml4VP+TRWJ2wh9ON9yykiBJqf5ie5RVxvwpO
Jbii4TAVU2JEBn3EGBkaV8HGL2mAqRgWemB0G8FWnzWAENHO1imEyzpK751GxslG0Y/YMl77EM/M
j58FIf1E6nu61OuWW0KhWFmAxY2EJC7wzhnQNYryxUhMjgnYsO1qJf1toPsclezV6XaDLRCmbK2b
POkKucuWYja2v+3lOtP+WCSilquRtyw8hC4Rg/AOKBFn124swx5zeHPn6C/LvVuH+S43kplQdhDB
zDCufp9mQXBwjbhmIfm2sBHcjJ38vkWVdJOCkL2MfI0ED3qNFsBrUCgtNQ60t/F9iaTwddI63g1+
W6h7ts9Kny3IFfIckD27eMLcDWKsv3c75EFD4Bs7rrnceRJlU7+Na/IGIZDb9f7EDbg7OmiNCiM6
ynz2XYr03Ag7x/arnWA4vPWD2d80Vbr6KCwMCpsUMH9A2NZxA07giInVeO9LWP+bLl+dvaVAx/qF
BmI1yCbgfQTTxRq5xxHt1NyIqE5GThXpgIcEaNxZPA/3utQ+oEm7+WTC+5mTdQL7mShDZUXvU2cM
dlWRprfSb7wG2ca2uoyKur+qntVd4wrQ8qYDnIwyigyvS89KdlYm1MdkSNwbwEfFHmzmcqHX7gkv
FjRkGwNfTfo8NXA+ebbAjB0KMiawI8sFujXJpnJQk50axPUcb/yQyrYBvCHK0+xZw3Z+1rNdnrVt
hzSVnwCvTt9yQEQ3KPcC/ATQ9b6Eq8T8o5kQsZR9uB0VPs6buauHSwTFP82LP11ZHRY87mw/0QVA
IGaGaVAHTX+qCsR4qxxZXkiODl7Ng44+4iMw3a3W1G4LlVRoFqJWs6XPgMKv7Ru13yRsm4rG3jx/
QuG9tXeOnnJkqKxeIrViJINX3vI+ECMcn0YqmxMNceHSyAx3fQzyGwh7cqNQIZ4D5+Mq44/2QIEO
aAiHArvuILjlHY4ZyGIMJ8ooGqOjGv6JAghGSd2T7U6JNuy/bg/r3z4GlVLRu6zysaNGOXpL78A9
psScW/4CZgGezK5kn5/DPZ9PgUyTQIPKyZbtlMrZvZTPasxRgn/pdhq6j/WzWvNghJsHWx4KI+Ws
jKjzYOSdNcTsnVRIPk9oPyOtmp2Wz3rQ7upG9XFKnDpGClUX5yjTFuU+l4jtQ3xog0sZeMleeG1G
lyBx9n03zptQ0KtxujD6k/kAnZBxPec0tY4AwbOTMkL/MwldqCiJRi3f1vOh8Yscwdmq/MDcU+9q
MuzzKBcHvxnrTZcYt+NI4nJXDkVwk7V1SR5RIlA/Z/U2UsidFKA3z4rSAwCAlOSJor/PFK1OL2cV
zDwBeAd3iB8GpwGy+5eLPVoPc4qWcXU+oReyqys8ynCXbKP9QkfkUHTnoV4+uKiL7oAAu6eQ61ZM
/WR3XgV2e+lUxh4s8K1l2OBa6tpIXgSeOC1DhSquGPobLx68O+S0sq2ptHYZ/Z95C2hNnyRIEYpt
XJXlx7WIp42P0dQ5JH1EwgaF1UMEol9N2bKhuzwc4B86m2VVV9Wa6m8ILCm+C40rC1Jw7iLvJlwa
5KOfhP0uFGAZN1nYOLvWtafTpNYgmtE9pIU3feJgCQ8zbaZjs/YzuzRpLRA83TyDGaUX/eg2nDZ7
4Qt5Aak/PqjUeZ/Snz/SHSVrQg1jOzRRcVIJuqUoPR1lF9kb0FwRWMZWb2HyqCOkMvvUxjdzm8Rl
dhrOPlRyemjn4YhYCSd2dJCd7V5MwolJLkWOJnd1C1mCOR9F2InpG0VM1fJvZLFTi2J1hAB6R+yd
HVXtKNL70z52aib1adnv7MW7Hpx2a7WLC/ibLXqZdWl+ldsQiMqqs7bkjvEucHPnDIhDcpin/nyp
635vr4v8Cr4b4gQ+jvsCQ62L0aOUXCc/Ox3W+EsETJvG2/C1j9NpP5Xzl7r2p73taGc/TRw3zpCd
RoNMISGjYV8n0ZVCsQuJJ+/Kq104HZMKbmjT14fBklepLm4nW1o3c1ZcLzzXs2QJXHZjdZWKej0s
YRlzNObMjVD5kuEhWNHZ9aFrMS9Q07iF5KHv/VKjrDvxXG/7KU/Ds/9j70yW47bSrfsqN/45HOib
wZ0ksiczSSYpkvIEQVES+u6gOzhPfxdouyzRsvV7XjWoUFQUmcxM4OBr9l5bZf08nOZOj+sNuRWG
WJmptNBX6haL0pWNulffuJWv9E0SMd6+Z7oQaM9IWSRmSHZLag3+ZUH555WnVjI3isLeeL1hzPvG
Se8dTywr6xHnE3Kdwj6POWEakLIMa4XZFGa+boCan2tDOiudJemNiXiDwCJCkp+sZpBPJVaNo9dn
xtXQVt2uJfTuzesqCR6c8/EIr2bi6C8qPgOosfsZIhQlPSfmYg94mTMfY049ZEc4hwNeQtMrL74a
0iO+mI6wAggqXjBtZ9OPP7fmoO26fnJuO9x/6P9bpOiiz4hvqzhe89biA8pnNpWJHseP9hw1OBdA
Aokm7yg6SkRdqVD2uNaVM2DBGAxSOV2L5X0NMvBKYMZMNr0pGqPDTjRA4eHJpWNn4Nm28ufEx/rp
DeRi5AR2zKj5Y9b93Tgc3ljVRZJrANFal8Iv0gdERZYd3BiO5vZh3as23eYObqnaD5RYJ9bgrvO4
1T92TpYYa5np2Z2fiPaSBdnUMaaYU0a5gbPrMMlvBXurvTISbHHYHkedLkx4QG7F3D8VQRCsoy4w
rrG1lAwb+PKflZXaW7dzdlYfDe0qVT1oGdDUFj+fRoxxrZGEDbhXKyS18caSWnm22TgtkxOvJSUP
NdHBTm39KYpYIzGQjpIwZnUKW2i2K3Im8l5HKd33zxzeamPxIV2R6/LJ9vKcG5u4wBXfKETmIgcN
uwrIutlM/ZDNKzE4Ztj3rmoYxCTlTYU4Cd5Qngyb3klODZapbTCV/fU0eM7BTfxmDivLd+46DLIo
1Zyq2NlQ3DcBX9rRxzo0EsFqz59l5Ce/BtTcH8zZ9a4iG0MyU/fRu+50SrN1FBtxcCrp9kNz9p77
0uqeZhBAmJgce1tosIlM6egHAXtfhB1Ego+L5h+Fgd+AMYbfwLPEDE4FtLIvphaBMmpT44XzND2m
k2Zs5tZ2n/FpdXOYi9KLtlqbJnDZdGWuYrg+8CJ76wLM29og661W9ezlm9xOgx1g8WHjyHG8wtc0
nQH+TJfOw5XJqgNGuJObqzpvkpcZDUm7Muva3hpp3WP1NRowy+bYh2UtU3wMfbvR3MTdmmQffkbS
La/J8FFnzGTNPZZEzwk5z7OvBOx0DziziufY0IsYPFIWHAluio7kNOhHtCDtFv1he6VjyLizVD+F
k97UB5PWeqOh91sZnt1s2G0a1P66u3GcCBQbmQ85R3NZbSe3cXZZoVUHqVOLN8inH2riQLaaLgjT
a7OblDA7JFmQ1jMP5jqHxLjmBuRm8UaTgoWTzyLUKUwWXnu+kNvnN4h7vvDc64Xsnr8x3lNqlKLU
WwooCPDJGwzee+PCL4T4sa+nz+4bNh79iDyNpglMflq48v8dwFV92s8/6f9NhunMq/5+AHdJ6s9f
/ufQFS/V5+9GcL/94B/tv/ELgmpwPIzuOVuCb0ZwMJPYWi7iQXp8Zkt/Nv/mL/wEwzWXyNDf5wK/
N/82vw68OwckUTXOvxm+/Sbg+3MVuGjwl1DARZyCY1y33mvxWxEPogyCeo9eAS/anGBmzoGcYGQP
6BdM53kqx/GEBChdZUPzTIq6dtAn7wxkHT1BiTF83XR2eRdgO78lQvoRBF6comdCjlrb0LLVoIFg
N9gz2rOGjZ+lHjWxd25wZq1MadxmcsKOZpUn5s4nS5t2Ud9EyMWcIBzYVJJxgDFzXAorfUjPJZ8j
HEWcpzQBLT5etI+UI4hwdcUhrd+yc0WrJSawQdAKnBxzjT0zde/Tr12R5Wum7vMSgHr2LLnD4870
Oq6+Bnl1olC7UNpQe6TD1jbzE7CnW5raKz1eSshMW8kkfZmbvl7XrXp1+vxYjMZr7bnP7dyRrQTx
TZSJRUjr8jD23dWkE1iE/EEhd/LPRm8952Px4ukKbxinoE78wvIJ9CWIXjsvvmYN9reOzLWtVcyL
eRC54QC9iQ3n+BBb08WvKD6wuccHzC2vU4Q70UgWSeR8tZg0D4o0SeR/WAvIy6OJT49QnUwsJvLB
TebL1NjPiZUf6VheRJu91Mo5ewm2rxXCoo3NG1rEGXU/39oF39Vs9ds2aNqVZr/RmrBjoohnMESC
kVnzQZkJxQPcuX7FMoGw9DzoFz8WMPImpYdHB7iyk/JlMHDw6cswtKeqC5fXaligbDTcTlOn3/bm
tKNDuDJ8kLy4n64we8PcypOvFgPWjWOkpzyXV3Q1GKnrAGVhyjskSuNRRWh58ckW6zSwtDVPJ2Al
ZCasE+B/13gQOfchhNgt1AJHPvB8XMu5muAK4AqN6vSlQoy/oap49Wt1NZrx0q+K9Jy3bLal/slv
rZtgSnmEkw4xm/2e4krsW4nvr0W2kjZ4S4W1j0u+I03HypH3iGaGQV259UxRMC2+UKb8x8DjSgAD
A4vVLK1V0+mPVWy8BhYgUpJT4CfExdHwQDGI4cGWBX40THi6W0OPKOWDFRnJKk97lJ5mTVydi2/I
MFLYD8vnjrv0zLrsGTpktnXRojRoP7f98nO8z1VC0b6aLPc5pabaA5JSK82QZ6YQza9ZpCHGJzOL
kNJovLNcLrtCxlHI894JsZ+O+9abx2NLvgHDQdc/gFHVbvJkLjY8dqlwtGbe6kkxHnGUd6GpFdYr
z99f51G414afNzFXTZ2SDUiVxG4NVAKeW6AyL5FXA2CNGxMDcma31SMC1MdSai5cL7sLUrI30pCc
rLNd5b8KC551LgtcVS7CIitdN9C2Ny1oVgPgKQiNVcrI4Oi/ack8xkRaclvVdr2ZNPuxhoyEw8tx
NuPgvMhqFq9VZQ7clUtEK5M735uZZKnA3ZZpOTAIq6NbJlA46Souf5WZr7VRN6uuRW6XjJAkpEl9
7tV8b4uhfVBchqR16WuJ3+WGvAS6W+K7ViTzPXuaex7MFtDIKL6SznVluz9T3rOn+UbltZzimLeY
B6NGYpzovbd6pJlrD0j96709stm3wCIsgRPn1GlPKjJ+5hT6y7CYV8O4g4gSJLTBFJq/5hunUGAT
quXOrF/QQeMnNvKjSYQMlOSf2rfeb3t5XwtxzOPFENN477W7k+dJKyPIdW+CoA0iTsPlOM6MCeQL
e9f6wL/032qdv9XwfG8VevssURLx5Gfux/brvWIutipcSR0i4JmKfeN0WIqRsYcaDdakOSA/eL9F
oa5Ex+n2Te3wg+22Zf31e2SxTXQJc3hcr++1TAQ4TIS8+NW+K4UFobT0b8HEwMjp9KusxnoMfe11
6uS4zadxPGZM49YIHLF/YsVcNtgx0O2B1BPydZx9EJSA6QexMf3panJhyvquudjBuVbr7ESbsS2x
RZN/86hjlCdciphPvwAyUwPAcEjD+hhjqII3wfHwz+/0B5cQMl/dZOVHdMFf1JFmkQZlzVp+n5jd
1q71WzKYbksl2p98os6PPlHbgIrmOQiznPcI+GAyfFbty7UaFPaBHNDb2UjZLBYcwpUb0KD7WKNi
o7wjSunW6/XyLlniTGwVf20XDsFSquDIAd1hyqtY6wDzTsODFoBwEuMO8TdU3iYl2iVOCPSRpnyO
HXPelSTubAAQpczpRHepcvkoBY/9wUztY5/65WZygWjYVfo1Qu67qvJiMfH69U5q+K0x5xLXt8U5
w8O7sfbJjP4qqaAUgbokMVSijsZsYQ7q1ptbBhomvxtw9a+C4XnoEbP6kw/yBycMCD70J+iRMHq9
F+4qT6vhG1mktk/GWzkhOdmcxiQkcrL2/3xxvNsIL6cZ8ieeUz7m0ACxyffnCy0qfZo9V3snHy8M
RI9l/bMD8+1O+r7uZd+N+RC5DKxT88018M0ZliY4KgpdZ4UcjM22SyUrj0i9Lid9qhC0QrU55qa9
DzTzjD822XhVcdRk9ETr/Mlnmbsyy1Eg1sisPdpGHrIBpxMErZNhxF+VO1kbL0rzfWG5TPwc0hwH
XXXXRepuRr/5gMllAVD4wNjndA4LDOkMJK0+bAPEcKZAJ2fBpN4NkqRd3Uy/OhWXIFLA0yjzY+7E
mPHdjAKVKY90DJT4VcLgWO8vdWUmG9tSPxPN/+CO/V3tyTls2+9dRywDewkUqNobBY3CmJRQFXoG
QaaW854TPoGUcmtdzP65dFzMZ53QV8oobwheffSjvKJ1R4Q5RUykegCl6yHRn0n9sta+zvguH93z
MugNh8g5J4GZrR3BSdTUGMi8bH7Enf+qOn2Veum9tKgOg5Y3LDS5yxP9EV92z7g9aXZWMe2CZrrE
jjsAhOb6tBsOvs7FkkBSYca0E1e46ajHoBHjT5xCP7hJeGYs/zHIgTDf9FPfXFRT3CLknMZqP/nV
mhJHrtju7PAFDKuoiX/yjRjvxMBvTyo05myT8ZHCYHx/T7a2NSOzHyqCIEhHNshwXftRdox4UjFo
TkOEBugCZxqkkSEK4wgqwLg4selSq6EmPK+ucFilxMNuAlchdSqQooLN+AQn+lpjiVOACAH6QbUv
K4xHVtO9lpm6yGK+KpEXrpbLLLbyl2haqtTJDDOln9oByaaszZByFaFRhsaKr/StvVS2BJ7r8H9k
ZHZ0tZ6faKZx20QDSnOAFwdJIuxbExRVWIamPq+P1TA9pD2NpA/QOlQtrZ6jpgfRxzpKrIBN8/hA
9vJtq6VHOBYYw7xhDRgQCgX/0Er+l2hcLshmGLeGTczucht10jnX3vSA55cGwsk17ieG7kVLtaRH
2Um2hA54Df9vgcmpzUAckZfcXgeOfGUwuJ4GPmCSjE+keZVhICnF7cJ+zpLxMmFqCq2atAb0INqY
HRWAjpWIuYHRUx1pindlxJOF0FguTO4Od+pPheH8mnRTdcwN5zx249oyBegGGiNJltxuAud5xf7+
XPT2swm09yfPY/cHtze1DrmqGLO4ot7bkovZylpUf+W+8+ZXtoSXTue5N9JmRQjR1kv99dZqg66D
CvOGslru+Qrz1Dx1kBozfqwtrXUOvw+SZLD2R2F566KP2xA/drUJJE7vwmBYPaY5+ZyxnW4IlIhf
MSIHp0YEyVrFPBdh+QbX4Keo8j3rbGqcMWwKHkeLcksXVrPg1QaMGz0pxz6VdUxjyPMwsWq+kJgy
28uGh37kBBVmfxEsQ8JgKE7jMFxsZyAmvCAZLRU5UR0QnMpkeoDRChPNYKnk1POr2ymQRE1/gT+X
7fMUchkPEZrM4cFy5e1SzffeH8/X/ypsfjZhQxGD6fTvJ2yLxO34RXRf5u/ma7/92B/zNQvdLJ0P
QyzaBSAMXN1/6GadX7iokWhjxNDfxmX/UdcgY3PRtvlI37AifadwQ1HLr0NqSvtMmUo/9S/UNajm
3pX13FSE5S3tBPcYHdO7hsnEflBagyP2wagRsFkJq9/MRPblV0k0OldSF+14HzsdgTgkwA6HMa36
u6QBbIPoklVTiOKkYHWZB2noRaySokEwgWlkTNkZ2SnDt07feTmNQBy0WaikNp1jtLoWYoAoepAm
kgwoly+FMYeEdJYPYxs595yu6g6I70ONShYFQZOj1HeLiDxxgwUMgewEWU22s0DefOPSQcti7drr
zwE5AhR+WmpeqmrKj50Y+w3NShq6DT84sUYnQMGT55LkirWhGcQmKzQPZacFXztT1PoKQA33EOII
cYgBdRH3I/PmxRqNfqOmLgiZAGSQZPmgQKVA1/SST3z/zLa0jp9mUicOjPaUv/Mp79BGlMNB5Zkd
4mLkBzuHNeHarOBTQ6ELyuBpzACDhVXh6wSQ9iRENGMQostS+1KXat9PnTiM2sCrG/4ENTXTZqrC
PgintLaGFZmQAl1Smpr5auqILxKZP5Rrs4m1j8NgOffk0pblykUidS38jmgItBTF45wXHgyfGCSt
KH28mLnU+W1oV+SN3xTaV5VMQSitlmITzONnreiYy1AX797+vm75q7iyBfoK/vtgFj1fRlUqAsNd
r5q2CDWq3TAwGqn9BvktC8xNB/QXGhKbePCQqUlwpDHQQg49WNZr14wSuJOFkau9i9rdYh/v5enO
UkvqShahiq4g4oNmrw/A+Yi56bNx2PZpbD43DLjcrdHMvr7jUlH7oS+5FvwmPwJ76ta8OvOornNw
bfKkua9LVTwKzSruk0bMz22TdNcg5YKHTCE2SHjAufhNWov0mCG+YmaaPJEFTxZ7gLdca/iyKXFz
9Jq9Q2lb8yYzdjMbR1Ht7BzCBlbscBbRRsCuSGaN+qiqiXRYZkc7TLHW18m1Jp77ogSSR+SUhBdq
ZmkOWVPvk3Ne1PwuHg0NSESX5JcQNAzfMKPm2ss2fZx3F+Dd8wmEV87zPE/XxKFEp9ItUxmOQEp2
UBaMrSgS6xHwUb4rfakRNu4mQbGWfVr6u9zQcaLU9jPWtuEabN1T5cs5C0njndgPDUpTRI0WpzKO
FLQHw3W3KWhjtDb06Qg8qmMckTa2Sgdf3ChV1Lcw1su7TrNQRMxzeeukNgnJMSJZw2zjTYmZf688
t2ejbqtjQlxKscrNyQqnwrE+SOIHV7CnfbnYf7lRgcSubCKhwsqEgxp6DJS3SxTfBkQtKg0KIcUM
vtN22LO702AF2Y2ERntVaSyqe5h6mzEZ0YjrXkeNGwO/JyNYC+zrImjTYQ09wHselZaeSE2PX2eR
ZeRR1AcgkO5aNUG+rliZsKc26iRbzZlFXJPOz7wo2iB/rWVC0rjXZXvfBgB+N9NoIGpPRitFjl+p
D6T+6BuVtQmxJY04KpZ4j5rrzDuzRbi8sWatZkHOflfbIP4yCMqkfAL3XAFSGyoHhCYHhUFKz6Sv
R9edryZmTXeJVN1TwPu3DrSEMjugMvO6taticRwiDIbQ/gc6lsnPmd1WS+QusTiUpolXG7gPGxGK
wkweXC/WFf5ykYemKLMramF6cxYZ1DHY6Vlouk0XimCUO3b6VYhCkIE8K0jKO/NQR613Rt+nPeR5
weE/mOTogMnLLF6i6JtQ+UrcCj/Pj17FwIdGSd3hDeJU6hj1fHw7WWhyo6/sX5lY1dyhpqEM/be7
qCED514C9XzEDeavXU3nWB3NGv+VN/OEEbVb7QBziQOCKdPmdpjMi+EsL0ROkFxXJg72kBWOgqs5
jUxFJy2ozjy253MncoADNRmOm44UuJPwDee35ue/5dJPyiUmWYtI/+/Lpf3L9JKm35ZKv//IH24A
x8YSRCmEK30xwS9Zo3+4AVz9F3hUWCjflMBUS/9ZRprmL5gKcJ5Sx9j2ssL8jxLZoFYCrYCZEPoE
bWhg/Jtayfl+4rsEg+IECPizAGj57CSXPuWbFhrCSqEyDpb7rmuagZF82c0QkdFfhaoog+vGjsVd
khbitfFy8yFBl3IxgxYHsq0BJChS3wl5iLqgMMFdrIlmCvtAaxb9QfMRZA6/x9ViM14xuk5vOWAa
SB4Nqcx1IvPtgJt70xhZcG1q+NOToCKCirt2V5tzflEZD/4gpsJJDG34UnF6g5a2ScfSJAlSsio4
ChJEPC+QqucXmNxzuo4TPraQfCSe/oKKZYsEoT06s9Z84pbOXrix5lstn421CV7x4yyQZ2Bfyr3Q
mlX/ZRSxQaXH7DKG3nXHkPHO6DWeUsD1zA+DJVX+k1bwzRb/52js7StwGYnyrerkr4Lx+/4rKOGz
ZFrUufdKWMHBoXDdEM/GjhDq97JdMNseu5JZBrf4Jc3raiLyYYVmsnbCFAr0TiW4MWEj1IdADSML
CCc5m4Ndf8a+oD2Bne0uyWIXJTGaCZbTs9nyk754LIrI38WJaLYDIYY3vi8+9AVjbKeZrj2Onwcz
MXcoBT9nrdt++uYm+cHkPfi+ROdNs5NZLmDiQpfp1l8m76zh40hvMI7XZfTRWL79mASQZ0aIBJAB
AwMBbYkDQKV+g/amNFclVNhtt9TIYPr1T01u8DEEziRvYoB/x6nmgI1m/tVapvkFHq/B+NicbpLB
BYoct/LW8aPH2JbmLkjTgu0X8WhuXuj7FC8dqThC2+Wj5a7nWlCW6mQZYgfTxytdWZ8rd7iehGns
iR1y9jNivn5lRwxXJBHxkgnLRm+ChDj4j0UTQCu06+k1Tajfi96aXhsw9gc4y2IvegMYeZKMYfNW
5k3ywk2Zn71R42bqcmJFrc96mWYCSz8lwzqnBmMQwcwjZcPEoOVtE+tlwU5XAiAFlcraqyp5AezI
Xg2eVnZiJd5eQ2M1SRKsmi9+0VLvV5PAi0Pv1kJE8Ay4h123D2STXkG80k8RPsNbvzLGk5O3vDnT
GgqiChKV7WeRZEuDEJsXskbkTYfk79qCg72FXaP2k7Pcm1qu7spx6p7spGs/BdAvrm2AoqEeS/kT
HtO7M8vRdR8DxoJHYurHdxksO4hvziyTOU4Uj552SVBD3fUBNbmGGeERpcPSuZD7iOWCa0fU6nUy
fRV2+Pxm/Alz8jlraip+yvJj2+vtk9fazZqcc33X+s2zDOx8jdCn/FC2/JZ8FE6xykar2hV899c1
8jX8jrFCNxbLzcxG5UIvSRcHJyYIqR3mk51EqIygiW8BBbPxbBTVvXCa3tg4vWZuUn0gkTSTozzz
1FZ3b5dtk7WQQlN3PonWMa6Npo6+1kvr5GslpVFmdE+Vptpz2qX0oWWTYAa3rCr9VOn5rmWrW4aD
DGhAwE67O5vFv7fJ/cS/8fW2/hn07V221PLx09f7eO5dzDMsC5db+5uPf2qZKVGoRBfEja627g3P
WM2i1e4zRfUuDFqn0G077SGbU8obRzZBc2LlnsidD5dnXlncg8PKLOjC/HxsXphF03EF7dTEYWOI
6KOwZ94M7AWDyMFB+8nC8UdvAJsnfxaeIRQ4bzusb95ApfJOGEnsXQrsFRts6vJMimG8bcmgEBgv
OGeiduK8MGGEMnKjCXKh0L2gxHSujMmNvnLvWRzMc/1iSc+4doExHUGAD9G2LfzoofBa4DZJFePp
/Odz871xaPnwbZTVDKBZQJvYgt99+KVYVKeTc6nZrlcU1F30las5Ip24EwVMx1SdMtnJm8Ibq13/
1gSbVeUe/CYdj28zgykwxaFwJnGovVZ7AN+MZnCye8b7zJJvUKFCvDR5/1MJ+33V0xV/BYvb8BWl
9qcumtCoKuUjDyAT+3awp7zaeaMnwiZz0AaZLBX7YYieTOLF9pqv+UeweiZEemTlRWfF26ZI5Efh
VmonpjE6pHMiNqryKp/5qym/wEjivDJLWxvDrjGNjbKaYEtDCGsdLTm81nZl5U1zKOwx+lh53OrU
BPL27daLcD99FpGWjBtQtvx5VU4ypRTmhewgcBVlZo2IONrks950apvpSfSRK2/8YhflcoIsH03m
RcchpZC2cS2nK5vd4qVJWa/MAIZAHpsKH3Hrpkw2slerLutDGyfyAH6O9kKYY6jZhXlNyE23drxC
nuEg8Cz55wuBIpFv+s+ygduQjC5qBoP4yrdy8F3ZwFkNhjkf2wsIxt4L8fVgBXg7m8m8a3dz1IJm
SSLeQKJI1KEUa15cs1d3yuBM2sRld0AN6a2TIiuOLbuICaOZnubhqGVpuYrjatu3CHxW3En6pxnW
yYclauqTOdnjlyH1bG3NZr301l3i1+kOCAxDX7JjaIqRHq0kNqJiVViItLaFEdHtBLho9n6syTUe
Ie8g7fKDxCNGf5V0+A80M90FravdARaap3WH+uwzaREckXm1sC/aei8N1e1s7tq9x2KPknP5Xpsp
7Z86me8dDTUngpBUbQJrfjKaplpbtQ8pT59RUXUZN0QQ21ysmdkRu8w29BXkC/m9yGyPtZHpexXA
T0dYodqdaskqQC0W2UHYDHnyyHMgfew09P8rBVqPVNW0zJ463w5AMOetG+8T6hYSeS1Og1UHTvqz
xnr3oo3TUuAIWR91X/KoQtWzFgooJNE+DMB6mZQ6bzfnyKNr5IPqJsG/o544n9WcmMwnfDD82AKV
UT3EeGMOkW7z1FFGZn1KSJZiyGi4TX6l9SjKWiuY7+KeiI6NQhP+qSQMdlEX03XOnOx6qFXKuI4d
5ogzF4IP/4OQa/jDSR2i1beejVqlPtfToO4ykhqJePIyeRHUlvseezAGOQJrvprg3MBCK20DhIGp
ke9GpLLqQk0be2TW5+O4w9MiIm81CUaXqxQmbL2SsVj3AfsftviRvk4tVXz1vOnS1y0qAIeylYxq
4jDCYsrLs+eVeP3YfYU8DAI+mWBWd2830n872590tuyAlijRv+9sz18+ifeZpb//0O+9beD8Am9r
qd5pIHWH1Mk/e1vd/kV3mOgvUMXfFgS0jH3yv//PXtzx8IOw13oBzNhFO/WHzlb/N60sMJh3JyL7
OKIh0dbSbrsOf9j3z8aF1a7PUTJeW6UKxuSkcgGigw7KZltWXY9eas9NeUjHiLCNQfNbFH759OD4
wj10KMrui9JfpKP8+UsZ496YlMzXMuM5DB6QAn2J6RgpjYW2rVQ6PNtdWZ6F77XZejSDYRuQmn42
mdiFOdnAbMhHko3JYO9CZ3ascx+XTki8QLvVR7+8zXO9uu2nabgEhNShp5vj/FHM03S0NUEmJy1g
9azjwHoc9EQzCR+rg0uR+OWFRRshCrk6YHaQO8/w4lu3ddRFNwpxkbEVbZkcujeINeUGuUh/zJuA
ydhkcbi7hqShwru1SvO2eBjSTL5wm7X7tKsjnmsEX962bdPd4uJPntoyH5BF1hmsvHg0t0HiGfee
0yYXR7rZZiTSitZer+S1oGO89tvuA0mMfYy4wiTb1B4tDENWox4qtAshmP9PuZSiWyFd6/a6NqbX
bVplJMI2Tvcrj1ymtC3f4Yciz8qzP43JViN56ihKiAqrZCYNqBh9L8yq3PcZn2vp4gSmyijimynP
MrKAZL5WiYO5xg2CvT7V07WE43FdaUZ6TgwElYQiT/M9Hq9hmxMXEPZubt74Qnb72Wyrk9fq07Xd
VfMenbj1Ah2gPmaB0d+7vllwuuca7BPEGSicE2wtZWMPJ4D++rYlzYWwj6K607BU3ROh03+0ArP4
Opud/mCOQ7p2c1ndlJ2jnS08i7Gj9+CcGF2ErayCW6wr5TO4NbbmPo+uqjf1zUTg3m7SqUA1S8jP
LfXejdE39XVGog1K1zElQoELJ0ZsEQSvFgFXImyFARhFUxY+VXCb+cZ2q+RusaLmDO9bdmERtrhS
r8etD5VhhWD+BcWCf1URprFD/tCcbUI7woEMdB7LCj5kF0uAvgD0NqMWZNcNM4t9ETf+Xh/d4ktW
xdktDTA79jxWN7mTNQ0inEhD5Wv5ENPizghW7eQWEuWnM1xVqetxfiXJMc3BQFhkFq7JZYGGapT6
k5CZvHaDHCOa3Q0nJOOg5OqmHe8EjcfHtmhMB0QqS2h8Z/EDTZtz47f2SvhNvBtHr7oFOtVfTHzV
m9yxekBOo8pLrsnKWyLdGSYnvXRAl2E25mnLdB0CjBsdrCyLDkgx2XXNWVfAAjNshYO7hdbHk6x8
5BhpbueqUHvSJIiZGUpng19WP3mJUaGpHpsm9NrU36APbG/KuIxvRGKba7d1rV+ZVgVoOKgEnroo
8eKVxCh7T+KCRdtTFTyuMyPZO25UHgc1gtkqNRYElGOtM25Zrek3WcS8N8TtzKNRy/340TOAXKw8
t47wP7VtxEmSNmqtyvpzYdBLrOhl5clSXjnz1TgpKezzqD3GY4c6OjOcIAoLLZZrC+d8HSoiycyt
lC3alMZv5J0Jb+BJoM0cMG3R7bXbwq0dXZ7gi/iS4RtajEGaW+huMb5fJmtMdTZSh5t1DxYA59SH
2MOTeempdMZ9zfYprY6qMTtNhb2flbJZ2yPc5nuRydh/teOc0IkwYWQ3OR9KdF6tt/EbCrutNgx9
9nn2msbIdwxFhXj5bx3w/2O5MRDj0UT+fR1wXQ/MFV4qPs9vwst/+6nfCwEf7BXNNJJ3CNkL1oYn
8+9D7oA6AB0jtYAPRGphbP1nyG1RCfAQB8CFDJZmdpkR/l4JmPzCBXQISRj2Is73fzXkJuz8u1YJ
JZdFww/1xqM8gFD6rjBIZzENdbrc1lXEfjjLNOOiJ606+SOou7oF4045SpfTaV70wMhTHFDeRUdN
pNGxWzo6D0DAda2zo2ERO4bmaLAi8rGdPvigZNYeiJx0U+vsr8nnkTc4nIcv2TIzkqhbH21GuJtm
2dfHeN9PtY79no2ON65Fa4nQiHUx0atrarlF3PuhGn42M3unlOMTWNYIVGrmkulsLTuNb2c2aJwF
PAh6ZikMeevi8NzFmFIB2vbL++Lv/uYS+cF895286e31wB8h8qACXDSs37+euQT5ggBtDpPGpETG
xadYMW5lhpn+5JW+HySjxOMbJYXbY3BOCgJcyu9fSTHdVV3iFocpatm4ZZhC2WdrO5++6H40C3s3
J1l0+ddvb8FcI1ThYmKC/W5rkulmN5VVVxzY9CMz0xZ5SKej91oP0mGW9e9fDV+/S3wL2BpSmb9/
i3HgT4THZ8XB4FjMT5V4M4ELY7oZiuDhn1/LWLQx34wVls+TVGVehPF88Fe8J1E9RVLmenpoE1kA
60iirli3bYnWURg8OGekFIMYjOuJ4cNeFV7fQHlguf3Pf8dfL6Bl0AjxVadLYOD17mtFt+bN5WBl
h3bImXbKbmYjHKOtCdyGFvmfX+yv1xDuPkBBi6iTJdjbwPCbgaBog8Lqca8fGkOpu5rp/rrXuIOb
pAFNMHcpijyvCuiV//l1f/Qm0UMDIgJV5IEF+/6LzeNswpnfZIdqalnpjnybkzUscph0yP7da721
aEALeerz9RrsXL5/LRt/NrDPID2kRkumpsQuvGp0MV/F82R9+Of3tfyub66h39pBZsSsLtAuv7V4
3502Ze+yTeEaUjPydRDD3v+xd17NkRtpFv1FmIA3r1UoS8+mafIFQXaLiYRPmIT59XtASbsStSPF
vM+LJiYkkmWAxGfuPbc8w1nRVvz3f4f+8q9/B69BtO7PuFztP7+nwScSnURpyTzE01k8jRlvCiG7
jQKVbVAqJYb9qe1rbPZtkyU7sxTpP2iQv1w763tFZ8ZBRxb4iqD9ojXTMyFRyut5DboTcWNphT97
gXiYgHI61yL00Ac48z/sQNYu+etbR9rGG3fY4ALN+vJ1auFDlUkCeUrDxHluM788ozOdr4nhTol0
bKpu08O6YEIMlD7YMrSd9Wn0q+mn5ReKba6OynOeVMlRkBB9TiRVZ7Jkxq/TlX9r7vn/XifSIEqD
gOoAI+6Xj4fyOxkxMxhHJvH+O5mfbrslnyDiKyr80T+i+QRDNGegknYG+ukrE5L6CkFMktNAsNhF
1EfJaZKhcx0ZfkfcmCa+Iq7TCG7U319Nf71qQ5NP00QdQUXif32pZoRUBtyuPJWRiQYwFwTGbKuu
63d//3e+3PVcMUT18JVhRA/559dnozTYSBCHJU+fEpJIrjPmCiLVBfmC3re//1tfj/PPP7ZqLj/H
xGH0VQpJgoLXuVPGcY78MRZhArCiaIYtQ+6cxNZ140LY2oU1TMGLUVbiMNVe/w8f7Oow+svlGoIv
Jfrcoyjg5Xx5hBVE6NjcGckxGMZ2PgWFzWHaR/BHTmJoljsEVua7t+7OpPwcezYpVEtJdxgiKGTt
0rH0O0dI7257HbE96lSG7oe0Hni7dl4uV0WKnDNl0XBPaF/yoaeheArnYrlaCjKA2C61/rdAsaex
y9C70K3Jgduhob/3htz/5qeNeezZzV+m0B+G2Gyk8UD7tdyBMVgVhFWqb8rW7N+KhPiExaCM63Bi
krw5VckHaxavOVeloq+udJMcl85ygScF6bqUC9q1RiADAa4Nou+3NEqsH9VQOo/jp4CejHGMYx2j
5o9C9+4Yg4d3SO4Is/RKONzZEBpFbLVavg8ph3fdCe+DNMnQ3lYlZSOp2GYoUE6Cn8Ea6ruHkayS
LiY4sPsZBoO9I6syeAnV2Ib3zLm53rj7Rb7P69Vs3DStcRfaICI2ZjcEL4ub4NoFJ3MVrD9Ltikv
g/mVi5B/lZ4HsjAeotqZr3jOFE+K5O+bz4838VnW21Vq3jWOShmpQwlPT4yFfedsmyWsahGBplAI
FhpIUOtphVP5ou0XTigmWcZrBZhCbMHAMKYuCgvJo2z47GYvlKxWTDPFqivd5wEWjrG1BfMzJ7cD
/A8uv2dMZXrl942IOxXI99YEmobuDobdIWKwv2zYpnnfMuE4jyFJyPbGsPlsSzbZ74Uo7b3V1u5b
tqa7omeFD7JJZLnceaMx9ds+b6dbU6vpRs6uTmNUx/IV3DlH06rpslaQ285Zr8NyrFlr4g4V2zkN
e0SMk0UBY5XgWgls5Fr61MPSKxdYuWm9ZjZsmuW5Z+AgX0rqnCFd19UZb4DohGxk/t9xge1Mdgpv
6Shg8U4hV6+37rfaJJ3q45DSMfhebeA6X71zhPLMV4IUmTMQrV20GHk8te5EWECh9n0GZwPjY71T
XYLn2Khb9gWpPJlhW12MYnTxqBRMq5hbXZFbvpwHBTEGFXjyIPqAdNkhf1N+lV9BeM+3hNgEN+US
HHIJhQX2/3QwZea8MCEYSSQvD2Y99+gHB6i8hEBvbXq+reVX7T6a6nLrthVcAz5V+ymSGpBHNZ8z
K9qnqQKtMaT1GcsqcjdjaDZ5OTJGKnlb0K/aLdmPRTzrnl1yh8ey99yXltCuK1HKm3bqgRhoZ4r1
HLpbHjjO3lPy0U/8cjezVoTPVWzNIfe2BJSOhzwqzW0OFYdtmUnsc8PgR0bpPVj096ix35rB6HaZ
geFi9l3MaIu2T+hzvyuf8cgGOWSxnaeQp9rQ2K/Agc4LdlcEfgwdfTnGues/aJ1c1FUgvvdsEBlt
zdM5LUoOYHJR47q052tfOs5VT6z0ncU+Di+LxzBz8S/J8JjDhkVkFnQRw1Jli+4XZQIVnK06w1ad
aOA4s3Cys4UF29okhgguB6/gBdUF7hMy0uzlEeqVs5/GIgGOw7z6Ah2HuqFQctN4ZGEf5wE7Pva8
4hF03vhtrj3qh7prQrFOsuerPFicHdR/cGt5H/7MStmeJtwdp1RFJX+UKvqqFeZ96I3jfYBeducs
w7Bbnz8envSG8B7ZqPKWsduCB95Txck1XEoBO6+TbTtTi+RIZau88jtcJ4HkKKpGjCsJi7BARMGx
yWh9Bq6/uKTM20eL6R6GUbvQIhq7vOnM/ok4cBVbo9TXrlqALImiBk/AkNclSzqzS5TOHaLbLPdu
TeKIgbAN4rnPxHjhDFPcy2Q8Z+NgooAJx+jVYZeebDzUl0iiOSdPVdSmZ0dRt2/sMeyOC2G4zDqp
HWgRCuOumNtgV87t96oOvb1Z9vplcKvwo0dvT8J5ZSGrKr3geRqXaDmYngQ8NmBcS+qBeoxsqWOz
LNH1ZCj/ri2A/6ATb7YEFAVHOugIxY5ls1iwhvaXxg7DXTOCclS9cxWUrnkVEW4E9wN8EyFbFSVM
FRyGoIjuikShXUmcxKH5z1KXMUVrPRjSYPrQF9GZLzX6NnnDEvMQJk8EQpv7Y1rM7i7oDaYG8Lji
EH5dHPpcAj4A3Q1B8N6B6ACIm5A0d2Mo3cd87upbFpTOBsRfdkoyZa9qBAlZQ2+VTqyD9jwubCKG
YbeaW/Te9q1QBaIzFTiXEZTHTdssCLk8ZcVlONaHwsQeVCxd+Db0vCUOGrXV3YitI+zrFoV/4oWH
VFd2gcQJ1pYghPepAvd2PZhhfWMuCWU/UYLgjVjeVrs5N2p3ZXEVhwKQ2YuX+wxxaiUuJsML6zhJ
3OI0k4H9S087DultHO56+H2wwRtsH1uE0DzTXYCa26rW3jUde3PIyyCgAbDqM44PVrrwvslhKYvb
xvf6mxAb9NFRHTGMMgqPJQ6zE45FjFlWEl7UakqusqEKD67Q5XteqcDfsbBRz64A3wppIf+IvBLQ
VkOg/MkYKmZJWdE+BV3zWvKrd62q3QJA82IXW9gn+s1s3GzkEOiMk2gGatnQMrG6ppUXu9kyXFjJ
LNelDsq1QYJDsn8gJm5iOTSkK7DOI90ZwslVEA31OyNmjYAiM+Iw4hmoUmc5zN6cxMjW+lvL1N17
1uac2exvy4JDoM1JNsLCpXLvsTcH8jZ++C694sZ0qyn9SI1ZbXvJJo0bu69ok3rjQ/lpdTV5jX0t
AZk+GiLR724rwxcxRDj3qioykPibS+jx2JvLIkAOV+GNNXx3Ptt2FiHF9zVyN5Y8Jma32ADqam2I
p6k3RPhaW6oocc1AOoj7QjHVgBVx8moSQXhV/UQUUGZekS1cxEU+8sxAfjqX2wI1lU91WafswDM1
HS2Ml2cgds0Q965dc5zNi/gWOhlIQZg4w8lD+21uLaZDXJdFxOnTLcYDc39zH+U13xsPhYNjNiSS
sD/80dAb0WGkRVwZJZ9CG8rXBM5WsU6UzKs1dr7aBHY7HX3TSZ5mUMdvht0YLN+H8TIJZ/HgVUu2
tWp+7USmGpheyYJy8NrXBOIL5aQZbVUnHymMEwi82BHSXN37zpMQC/kwGDjowxIuqhIkQQUKLjTu
A41+gUz6ZWsG4d5dDH/TVj36uRwO20RxEgdkbG0sMnIRkiKNrRy3Xi2Z7zky/Gpr0CdvhhRqz4wo
wp4MGwbx+Eu/ONGBXt5lP2VH+5x4SdIG/bPdsRW1pLY2pTfsQxGJrRfaRLgkXM5mNlkXs1cehsV6
Y3Hgb9J6CA/2rHJSpWbgbb2cvinfTvHmh+Iqq/QH+xjIdEtJxLPW9lky2N11TLPOsp2LY2QyHrAn
ja6laYcDqdvme96znqLH56lDIXR2h9rdAURR+3Lsu0uzn7LLnEVr7guqeQourAPwPnukp6NvErHq
Tv7Ra9HbmKUOaU2QFA4htB5KwdvJwkXdF1mzD/vul7416l1j1MvB8mW9KVX02s4G3Me58YH4MDtY
hHkC2nc3OMab9N19jTKTOiW6Btx6Lg31MpbLzYCoqa/9R4SlEB1rBkYsXS+grn+QYPKEZfo+sCuw
yjku2qx4i0w5HtiGZziUonfLM7vtAogqjgzLe6wL2e7M2n6fIovCCrF2HKb2qfAh9mDX22dDczGl
AYZ64f8odUT+GQQ0sfEgdOzEOAzPi7P8mLQ8+dlg77FkSwCm0SyeUViJZdPimTi7baM3M0RKWUvn
YOHCUfI7IsgOU1N66alHM9TDgwphGqad/BY4Ij0GI9vZVunhu2G38FZhwB/x8bSXw9AaR5aE620O
29hjmfodgUxFOITyQ/RISNuk8hmP4nennQgipIf1aFFC40NddTP+An7aM9p9Wk73yPyin6YfzMbZ
AJI1W5sctKh5sDVGnos+LDscbirV023BDozfZ6s8e5sZOqOYyqykP4my54rGod20G6aabgZDICus
vdWJFIMS9dARn1xgXPdDH5DpY9QZjKeIoanfjbScq8+wHewE+HCefHSJzw3IX2XFAPSXRgQ1ZpGi
VydYDiBFSX9ac7wwZ1p3GnON+2QQNAgJfCcSOW3QyHJB08gz7ilUyXxlAKZCKoxLsJ+Vb16TIyn1
rl/FNOUQcCyNq7mkAlbLQScn/Uu2IJzO/Nm6NHGuEVGHfTzN0TEJdpJeLBAo3lud1+98j90f8y5t
vtf16HtX/YqkhaXQw51KvaZ7VpWmdCgMHxObhVSP2p5fDZvA2KU1DTq0QIFI3wror0a/f/WL0o5l
S/kHyqq59dplm1u6OlWrZ3LhkX+yc/yKsnOSs5N6DAU6mvxwCJgRrJuaz7+nG5eMkNpvT4mPepc+
QR9wWpTfP/+TKCzte2Ci/jeMZ9EB79xytFEUvnVlTw+GqIwpQeiMN+NC2WPQbLLrWSofUhsfpmxT
+KWkI+0/B8VNMbFGmeowHnLmxkUpG6gJMo0ORsRLxO+M837pq4NPCNRzLXvegMz4jZwjuEEZvGAq
K6zv5WDyrVfEs52ScWpPLfl5t/lEvUtmPcq0fED43sxzv51M3hegyOSh8Wj7lE4blFtzpg6UavT2
w1AEbazzFd8jF6YiDC85DAYUFInZRnHtak+d8sQsS65/JI6XUS2aN4Z/8mDmGRPFcLmI2razN1YR
IQvl2dETIAnset/n44jbDO30tWeN3kWdLWzIFo/hVbLgS1yvOwMdxx62tkH5v9oM2mK5S/sOvZ6e
ViHYkDbJBzlzvF2DNuuuGNbPpBjYsrFuv+O7mkAFIMn79GS6VrNc2ZVVHXBU/WZwCuZkvFkK1N51
LRcIXFwBvWvyuyO9/sIi878JOzLIdsdA1aCqi/sAuDIYYfM7Gsdln1cuTs/Vx9XUPZ+W5QPb2JJq
Pl9pftEOaGfkYVg3zO+p5YGxyHvQb7Ljuk8NymskcYgSPwdPlmEnHwsAwQudcTU5mC3hMRj1G6PE
ysEUa+tHwrGsy8gak7NOk/otSbE7rEqlZmOk3MJEI7KbHPvknDRW/ZYHXX+KFIDpzdzpwoTDXyTW
Pc0B77CyfcZfiRA5FXCCcYGVv31J39I+Y7zhPyjNIj8PNfJV3SFQH3PCHj9vWLvL058l2cFvKpT8
6WnoCBDtyRPqGbnieAuN7m2Z8TibTOR6xc9FrcwvOHzfB6/TyNolrUff/KjMMNpGLPMOnYbbQrA6
UuM+4WafuAPJx4uYWFTRoV99yqJG1+4wAr9qSvS67YgWarv4i3VRCNu6qRw/OXuFwyvv6Xy8uOI4
PJioyjrUhHzFHqPq7dgwmvPQgQCjIM54m4cgUDdjNHCVBIv5LswMfbYfGjVq0oZ7um69JK7pTvfo
SJH4unxSwhfGw0JD8BEkDW8YuRbXYGvidA1QI56lIB+UOmBeoDOuvoowoO0L/VQTuUefvKXBmL53
pDW+TjpchZoU5C2j1EbsUsoKnowo+S+tTlfXwBqGB2mO4c9Gu8mHrKforL20mJFb8mRy5aj2sxfM
CHcqrgAdqeQl81dJd9c6bRIHNQPuuGjk7/r9/woeEQz9XXIY5Cvb+sP0PH7r335TNFy/lfzkxVvV
vXV/Ujn8+iO/yx3df3kAmQLPxDLHWML6o9wReijLda4wl5jbT1n+73pHNh6/qRoc4sYi1gsh3r1P
yuh/pGqw3C87ILpWeuQAzS5ZQ4Dovi4sOJXBIYnJvyhtbo8thAVrjH1rnEe1HZhO94rmYUkGmpHS
qZPrupotckQ90+ApsPQIJr4VtVrXPx0rqhatIEJ5NzmSH2wBBnI0wUDwm5fmOk9dNnD7stWlO173
Zi7Rms92wKjQ7WBSi31PteJfald1P4Cq0THLIKERMki/SxkYFawmMfgzvGb2NX8DIooGGQCNZGIY
WZUJhxgG0XKwrbYzL6vJKjwyO0x4hUHbEXBYqHBQt9jk8m+tSqIXnvlOum07NVgrrGHF8FctcZP1
HH1nl+DW/InZX3aETiArb4LAxMw1V+UOakl4Q16o/6KQHcdGVI+vkijD28Xrg309cDbxgAfimGl7
IjzYSQ0WFbVBj7+UxSkbivQVFLb6bneOjc29ltGPOgp/FNN8HZot6QQ6L+cT/0hAoPjOjfSkCRku
sHZ95qzsAdxdzAsjRQxuBerfnGcCU0ahMRo0QVRu6qFuNwWcfvDtGIDZkC3l7WAN3RNCceRpKEQP
yxLMd1Fnz4xSMoVKXNJmEettyCNyfvmT68G7y3Lmnztd28ZNWjJemDwf+0TNk2hM+uohXQJ5WMKh
vq0XN9jqiVoV9FxvX7metp8NDI/uxle2c1O7a6/AY3TLmCOAlmEtmMa8WTMxgHNv2eSkYbiwN6MB
XtwZcW0WLkiiLR6E5dWYS3ofdgYHJdVychG0/zBLOzilndV8W1B7Xg+Gqi9rg0SpA+3mfDMNi68t
C8o7RAQEvL//bw8hDF2v4dl4VbfSLAPkj0pHbtWeM5oNcD5l0o0FCCvYQVm0t1vjPjQgTDABHXE4
LERcQY388XlM/PdE/YcTFQeyw3Lz30vHrn/Rbz//pBv77Ud+N0dbqMOoPoF3IUZf05j+VzdmrYv0
349QDlfcokQ8o2ACX7MevL8fqR7/inXt2lWt8g32z/8BOQa50J/3lKZvcQX7Np5CsJDodb7ITlLG
tLpqG8apSRc8zcBYTrODeQMEVmHG2EiUiqemPqMJUNamtpQmH0J0wAXD4jDYnboExzzY3710ySli
iza9AF7ruFu7UShOhxaGLtQL/b3PS4wQggVi2sw2Ul4doqRu+qyPJ4ZhmrH2bN0PTle/VDrRN9Sj
ybQNjQqCRL60ENwUs969LN38GLQZBsA21+yWmrk/+Ng66w0bVPbXQtRrQM7s4I+aZxxY6RSO4ojy
ZxlY8mXmO0caO6hizvOfKjAUGxhPl5txLKebJGHVuFEi4b2XTcliKZtkHpzquXXpS+hdmgMyT/6t
0zG8OzOBmZkQemo+CaNCNEOvOhnnkBcIehHYCaebKkvnzg7hPkRuJvB45/pGFWyKsoA0anJa2GQm
Xa0P2dgGRxxoldpmbr2Io0TyfIswPq9iw2W/04B0tx/7pmGd0MRjYpIHeUwsTw7wvmzhBIcQpazY
By2oakixUG8qdjw0HiRhMx7CqY4Y9uR2Vg3zqhFEUm4Bu4YVGemSjrWYnjuM4J1zT+IFdSJ0I9Ii
PZnQn+RKu1GyY03WRrB1RFvuUcyyKBkc1/GZYBmIzm4Sazb2mhSpbtx6Xe9gg1eDDnoyBAyWiIK1
WlAfTWYACVV2WiSxcsnW5MIJliMzV2/ZGwRiEWdTwurW5x5fXUPS9VxmvUPObtfpEa0uxrOxs76L
JAVL+YIud67an/2oegg5GKiWIvlV1fHfA++fDjwTQdPfHXhXb4wQv6Lpf/2h3468gAPLpdygWnNN
hK1/OPKC6F8oZDwn8qA+hCtp/vcD0ImIs2Obw3CUUs/Btfp/B2Dwr1WqZ6G6DdxgBU38Jwfgl4py
TXv9PEtBEUQQub6KxCpzyACqwyoKhIWXM9FudSkmMT+W1qQ5Szxv+4eP5/ZXTdgf82X/orn5PNjX
9G5eOauSL7oQVk9pbyz+fJymrL3jrsCS74/yHwQof9GJ8XhYZa8U5uA2/kK/7T1ynJWXTiCGFWw/
e1J3ed0iRw2InTCNsdhYXTvG2ISM+24Mpse/f5PoUP/8WOFzhfRD6KADMJr/8xeh2jDTcc9BfwSG
V+CkGGHLFAFjHUzi4eUE1v2M56HtcG0GbFIbFnXrIkwakihKB7QTTz6xqZn4X3XIHJi4WeCCQkBJ
+9nO+W8LUKHl1iF3RG+mJmPW4iHA9xDZz/OH6oFpOFnIMnnCsJ9S32FD8hVbPwrZRELzWBUoQCUE
RwtHtAM/kafjcjTVZD34jt1ct2xRHhibT7e9MyTn0e+at7AkIoj4Fz1/pPhI9roqNGSmaj502VRd
JhbE3DaRtCZjbVeXKSf0ayrn5gXBMz84TjK67BgZ7JBHYl3QCCNi3TVmfeKjqkD8oismHgqZoXNY
Tf8MBAIigYNF2g9zPdOgT3V646mluqzdCB8JA4Vi0wSyvasLTUKTDggQyvqAmbyfogRyJnlk7DXG
aIPbcw4k/I6RH/7gIZgOvrKKk+pxbFlOr58yZvlPKlv8b3w79g4WKjIaG83A4E/qx1yjZhaBxTU0
VvNj2if1C8BZvhnVVObRHwGdBSOzEaevoksfVMVRqXT+GIdmfjRbfmQ22+7Zr8PwMpmEi4O4tx4G
9pzPWT9WlysR+rIsQz4RCnw3Y/c/8vSEg2SSp0r0W9cQfjBW2t6xlc3vGyBYmwGlzTaz65aUL/6v
yNHFb0WGXfnI/nINeR3Uj6njdg6Nfj74cihOdciXi61ijKchY8jcEbha7UwfbXPT4bHqSVNF7QL3
1bCS/F6MVs6+N1XXCHchv0RC/5KbM8ImrKf7EsIvh4ZVv8pJ6ackqperSGl+FWiWQ0Pw1caaeMfR
aDTXCe0JbBjl3RjC1CyteS+E+UXIwghr03nOpaiphH5BYDkf6HDcG+HyTSSaLCUXP0xcsoEomZEM
fK45E0wW3aTRjknGvn9iColKMEnufTNRP+BwLlfVmM6P9lhiVq65GYpW4SvJq/6nmfnWg2QmE6PW
Z9xt8Nl2gu+R2oiPer1Ei4qx+Nzy7pd8Xp/jC9+E69fzwbW4/im+mpdCYBwH4vEyGt2AFq0tyXn8
YHfDBE8aJVC4Lilt+h7v1WSDRWpcMjwJm2tzA9VXHmyTKbLrFq9uEmjWz0GDnNPjolynalPKF+UH
Rg+bwG1uGjQmN1E/ejfDnFgPFUF7L4Pn168Gm8ndAvB/39pJ/eqUHgB3xwA+Fa4aEiNjdEd2U/0m
mG5VWwm0izEfaLDPNxem3ARd3Rn309xU1KLEZF+N4dw9sz3P72eifpDVUBAiG7CS81RQefqjKY99
bYPdmZJJHrxJoi8tAA5x1eYD1vQ0VN+B0USXGYFvzs63HXXd+7YI7ecwj6zcf9F1NfY/ZDu4L5KI
wlwctbNUpHr0i1HtHNMciS7DCumdR+EM7r2zppsRRjA/WuD3trU/pNXG8qYWqfoCZoCmga0bdT4C
lgmeAwmG10ON1KTnCsNfmd/2JglrtVncG95w7VLd7sM08O4W5u4bUIrOdesJZAjJNTs3lEsBN5Gw
l/RU2vljh1p/N6w6msGd34GLD3ieh595apcnowK8NrikHC6+2FTW0FzWgFF2hacntvOiB8vTqZ2Q
3cW05swVY2udoQpFsYV0ZFsEHmHfazKdu2bUsZbX87ZlyO5n4dnIGxXLQlXLpokSdWIgVcS2MbFS
NYW3KWWu2SkWxYdoFuRPjrfKPzp33tIh389rhp5dGtFFlormqvOzce+n3LAqK60LOSfTjpQygWab
L9K2NOl8a05fGTAYb3on3NWjYW/ZYHNbVlYGQ42QFntN/Bs9GR0HYX3DxxcxjScX0PqMCLT57H90
zRocSFoZvNfyM1BQFKRc2A0WSIZVaP7IHRw6lr3VmkUoxshiSR/R9ntrVuGcdDAWxuEgPoMMeYCH
e/2Zbsh8ZpdVvrrH7mJtrD7v9oLl08SK22B0HU6vIarwDa7X6aKahAYeTpRi9Jmq6E/+DAZIs6oM
fDYDaHahJWjXoUJ01B3VGZvvz6TGhvOVzo9DBGtq3tjdpuG+unLXiEekecuutk37ZE8NCXNpyl3V
7ZjNKxIMuQIRJHjnxm+nx2V0MiJtkMGEHbzqIna0UaMl8Je3Zo2btOdyeWig04it1UUgerzoVBL0
eUvE+xJrctfOOV7TrW8XJZc7mZbFKAgwcx33LlgTL+tkDb8U0OU2ZhPuFTDTnbGqHsc1KBMgTvY9
8AkKCtcYTXcN1BwibexVWtRsdsHxw2DadkysT1I66CIw8cfCENFTEQrrUEiueH8N7wz1lOyiMXGv
6qh20d+Mxj16VdJ21DKfV59RgdAySlGL+sT9uUJdp8kSXEYToxwYPCOqgcIjoLZ00/wKBod1gmeD
qEemfntRLInzMmTBDFPHGwOgq4xtLlKc0eE2g9DwS1OWZRG7QeVPsZmZ+rQo2DlNabSHgaHhy1gM
Es1lLrNLtxfws53MR8XYuRpoh1VZwnuJtGkexzTv5MasK3a7xlTl+yD19HsNGXHbF+NaFzTqbpr6
Au+mrupdqEt5YUxFkW+SOciCDfd6emod3V5GqqvdLQZiHKNj7cnjVIVJt81k7d3MdiKPS1o174zk
DDSsyFnX74bdwVoiZZnDc2gVumZeV11GNnpMSDP9zxAdWoOh0q7zvZl3PHAaTuGPqijYWM1Gct8g
xiPhEwXvZZCQsBYLb91YpCQjKMxoN4uUxr1RNw1vVzrpfsDqHsaC0fa2pMhLY9efmvepGZZmR0So
urYWns7EG6vzr8WXkrb1AAy3+0lnnoWx7aW8PwucO/kyMwG3lKH+tylXlGVrwVjtbA09KUvt4oTU
v7os2mU5ujS3cVkzf+vbDK552aC8IeS04+FOIoVxX4loeJK2I24wx8OnBGV/LZbPVxGp746xEngS
pdZDGW3sB3hzghSjgPIkUsq65RisfjqNX+vYwBLBUxuZuC84iDZly8tB6TkfVnrcUyrZi20sZYQw
L8t2PojSJ2mK0fEOb+oYMygBO0ex9cIgkQT4eS1/I79+CfqpOKHoMTeOcK2HsJzmj3BuJKDwpEZZ
LWGBooueUSknJnrLxilOOYi8X3vuf++k+P96iNVjsg7C8HysRso/mmpaGwWREEZPCoytzkm08kKD
DlKGYgJ8h8qR8t6B4qn5Yl67uQ1jsGZ82EPv/VNDY61t2Z8MPvQz6ytB88tOlASwP7+WoYZ6w6qr
P7qSyn/rL4N3E/i9vRM9O07yv9AZRXyyMOOn2wCi6C7rPOfI+v5VJBUXZuWoc+fo+aIaG/V9GFz3
RjPDfhypuPd/331ZX2Z6n81XiPeUnYsX4fr/8mLDIMzBqzndERY0c2DSG7/NDTeaaWXpjTFw1fEo
4gKzNFd83ndhbPKcWsWY9VvWUDcHiOb+wTX0aQv68yfoeAHewfVFBXgzvzS+YlBcI1J0R8ZhCNIi
tAJxx47jchkNfWgBwMQczctudpDSoyqmgsoamleIPtymrs7vs9FVZ2eF4YCkq382sgjuQl80u6hX
yzExIOZsVO8Z/+C5YuD6ly8fw2XI8IKm2oHa/eWle+TLNcU8tsdJ8UybiRbOdgpw775GAc1nCcMx
Sp3gAyOPPmLcEXvDst/CrHkeK+HspEe5ZBC2HA+AXq90a7svGlYP3F9It6ZZOq+2C535qhFNpS/a
NA1RcVh5bLos7iUaiEPJUXIUkfRuTCslBnsqqVdXWiUFJAqYyZkv3JRqvlXDGNfrCUNsg3GvBR4Q
g6Urfg1hehu7cl1jw4iVlsbFQdqNNY7OgQOMJT01O80yfYnI+Y/YkHCFtNgE1lBTavWJbOS7qlDr
mRKtZXtOQR8h8di4pvS/uchJdsCDWJ05qEizAWWOxsGxFQB8n1Z/WAq70C5eWwf7ybkvlkBfqmQU
fEgSbbExdbA7PEHYxnZonKQwjivbAbOwZ/dGB1SXHAr7qU5cC72Z0+SnwF8KccopaeIEYFZ+Sijo
k9jscG5vE+lbod54VNwXkel2P4PCmUAGjNT0rZlmFbLXlHcM2LjeTRzCoIgmSvkAI8bGmCnyaafN
I903R2zods9mRquJKsPbQrNgB14SGHw1tWvKduo273M25PtW9nJFInA/5SNXJCKYPiZGdXjqZfEa
tPSPeCOal5BQZBm3wOJoKvnsIki/8rwsq8/aS437NrOdk8WD4y6Hd3FI8pRDL4TwfOoR7L5NGBje
3NkqqPcL295w2+Z7h/TuWzrR8HJWZrEZRpp+v6jg6GGweJ4myzmZE6dRv/Z2VRoV2xSp9kgMUUEs
7lyMw95aRHlqO9ikGYwxcl1lcFc67fBkWrhikHXUb15HVAQGyPmiseie47ZaeAL0zHuf7YyBkgJV
QXiBDLiDXU6TPqnC2Al7OqPEdYF21f/D3pksx42kS/dV/hdAGYAAAsDyz5lJMjlTpDYwipIwIzBP
T39PpLrvlVjWktW+V23dVewkM5Ex+Od+3F34jrS4ZOnutviHAA3rd1VOvCvQvFctt8MVzGl4EzF7
Yl1BeeFIxJYzBXoLjakH2bkzMBdcU/XLOHv+lTUis7QVpQ6RBaQ5mb3ySjJe3DdsoPuSjijg5eXw
DLiK6/04J3tfK0CBz3WzyNCHvIRrsj+Wy3eMa8AOIWRXr5ksbofJq75gYeO6bboRIXeHfMqIam45
/J+Whj446996cnQcwE8UD4bK9WcgRsLL+qs66fXdhIy+wQBbfXYha+wmYM1UDJpANOGPoIzoyytl
gFzg48mp78yy4ZNRKUeR815clVFJh0hk08EIZggfcTOi6wjsdAir/HW5N18uEa6TaUBdOz+GNvAS
iuPL2jxMZ0xjhOIh2rm+Oys+peDxKUY6M6WFclIX3ILz0kqYY3KgovbCv+pD6YKVRR4wIliynVNz
s0Vw5K3XQh7IrHmXVQhCYxx/b3ziEgtft3I9zRGHkXFCC/Mj1CuzmrL7unKmAn9bFnBP4UjWK+xv
jAYQ5yCoLXhEzJxkEX8RgF4bEWfhK6go13q0qSdD/stMcis9XtIg5RHEG2eN2zOnPpoK98amt5b0
q2lCM5RDS7wBlBBrWFbT5ewglLlMB94jRtxbIhPzE3AcdBu7yS8MLa6QCGFZ40aPuU4rNdplqXu5
Sizvi+auFdST7OqFJU5YvPxZvzlvklOGdluq2CEbY3wzzUUflz0IaOu84LBUt2a2+/Fo4sre0Yec
X5SKKnTAReVVpWzom6Bir/yurV+UhYaGgxJNrddn5bEQ8c3gcNPCoNSxuBt2+1XlgfoMUwzup1kH
V6PHOqvGmLeQKVTzbpbQ/sYs661ty/Vp20qO5x02rSv9PNfgZLQmo1qilzmKZJB4nHmzhh9nE50v
EywSj7FWvTmX6F2AC9pny+eRcJa+/drXeLliK4xuPDKM5Mf080MF84GrDmKk5M8Jtfp1Pt76AQpp
xCDpvhgHVCSSLRsMG/bjeW+wgHzr8Vl847Hkozshog6G69x451LPYAz8qzrgGFLPUJiJUAIxLPBB
SRKrjNRZKmOZWo+VpKYv6fkgmbYSY8jN8moRfXnl2hxiC/0ZxBwPX1sQc5SuUFi0KUaL1YzoAdNO
jslVhj5nqtx+JA3KYss69qLorH4FsYDTL2TZP0uCQ4do6du4piJcDBjeOH62rCYVM0ryNTo7u6sV
TQ99x2Wn4Iu974RABYVrWgKXG9Tn3DYQqJlrPYsk5KrQcXAWsh43NuLyls2eh+e8zE4e7wbKEVFB
rAifuNXPxE/sQt8nSE0ep4bpZoNo84TRA+/WMiJZDO3Am2myvMUD36OMVMMnUw4VdzzBs2aY4f00
opcBdSqSi9Jx6+NY5YiIeqkUJm8KlTUZNEwaKHKZuKheJMBEHbA/xEgmfCcb1OmywzLoBZb1KGqv
/+bp+FvHr05IK+OLm2iiLM6J6ktbNBw56nbBRFLqNvgKhDXZxc/D4PKukZEWF7Yf81UZMt4DytK4
DQ1j/cKpJHVW/YRfcJWbKuDc0rvJCWsii+yIL/lZqZAT5Az8cOj5wGfIYNeZjaR+/q/nLyYTQ7YY
g9jQuzuyp4IrcS7KhYHqZMOqLeKUop5R8YVOOFVGnssiM7g82XhSFne1uGBFK7lwIxu9eTe12ffe
WZTErM0F9iwU6zSKQ5H5/ahPAfNUcyXD69PvERL4i6kJytPx0PvOK9Zzqof0JAa+ZLXtXRx7qwxb
/7ELO/UDe/DfUeUfRpWUVXNu/8/WjP/fZH+3u51/5t9Mn+AvybiM/YWhI5j5nwaVMH2kRbM2dgy8
0VyqmOr9y6qBxY0mQfp9uHUxb+N++H+TSnA/lsW/za3B0808/j+ZVBL5+PUaYln8v3EHoX3Vcl09
2Pv1DoqZyHYqu3cuiDn66941hhMxFXDoGKuPeURd8ILPfl6rcZy/uqr1rgjM1kRWLGu8V6o3V31b
GW85sKnrzHWC01KG4lGmKcdvWclyE7WOd6Jot72f0yF5hNuW7zMWsosiktZnVYX+lhR9esSah6++
rb8MdBUeJsMnlZakeLhXLdvCu1llBuCbSNrrcMrsB/xs2TEo8/Iy9ASmEVZsMRGEUq6uc8nDgh6O
Ij5ahNwuygS5a10YEh8xkc4jWOqKjFVOkrfCcFLlfnA1o3kQ7KAh924yyIl4QOGvrTkxr2e0/WE1
KFHvEOfzvaXs6MUKkuBkIYBbk+yvQ668WLAUBmhAn2XtBMbKrCvxXcxzvBqLmfZr3Pf2uima7jaY
LYckFBK+cNyJCWWO18LNzerrOPIiohG6M7HJ92WvsifGVhDJJ6xgjH6m9BC0usfNGQvU9BnzhWX3
nxRC103XxzgGcXK/B/M4v5RNL+4Q/OaDmNPmJMlg3oGcIrFm28mOIqX+0pxk/YWKJ9K9ZeTtqgF/
v2dl/BngxldOVuaHAU4+gq3TQ2EVuiuRKGVQXdolFZAhNPw+yRmlIQBuWpeSmQwwJKziizzzwCTU
avnkDE29r+uBqH1AjKxNu+Syk5TJSRMiBepfcWst3gIT0UhJR8xtqA3vaX9ZOXP6HM1J8OrVhI3T
RFb4uuX4ULGcPwb0R10TMTavx9ZkL+kbkXwKO6flkmjm4PCdal8wRg5Y25V5cKccFZSyUnGHMJ9c
RxHOm9nzoNAale/dw3uDKF92CD9EIoYrhufmbdDwrKiokyHlI07+3k8T8zYp88M89eKSjHy+LyqZ
vPa+l+iiIOtURpV7V/iQ7SZI8Ccm8eLSHl11aHoV3XSOaqkR0v7FggNHYfTUlIQj3ayl65/surJf
SyA313XkZABm8uqQprlTrIqszXejE7s3eTVe2vHo8DjWzcEwO3plou4t7tGjV/OUWVvOEt5bLcZv
XAqKi2iuhlUxF+6FqkNn52Gu2XCTsZ+Fk71DrCGHY0SO/er55aNiVvTcaqVvMUvzTsWSMypF1sbR
NVqTi7bwzVM80AC8Hg1Zv7Vhk6JKZYDYHXxg7xjZ43058EPRkuRPPsZC7rsGqShsnJfcdCmP5exy
IftcbnxA0eST2u6L8IOhWXXMxTtVXkT2KI9qrPdl6Uv87R75syRPszuQffm9G+YHOZMelOFSXjgZ
OKUWqjCe+0C8dgosj+cW4W5ORL3B/T+t6GNM76vWdL4tbKVrkdGDs2jWVFq52YtHkv7JKyvjjtiz
WvOBeiY8ysze1JiUbkEM7kZqti/rZiACHQQ7l7qsPdZI8xqTSb6v8zsY+sOLEVL3mUlh3aVmJA4l
1uUW8q45nEpzaN5FN/ObOOZmNCdvr6wR/GNu9SR3POG/cPKpKxhCS56sOBWghRIeuFmQU/YgE5aE
vJfrrZthkkwcjVGtonDe0k/TtqtF9ajVQTA8RcvMdDvPiJ/mTVSzzLVwBYOqMS+jqq6uZ9gWW8sy
XlJbs0CILaIg5YG3YgXgwN6UEoJh8inD4nmRm60JhI1slZ1m6kvOzP8yhBRz5xY+hNfW5c61oKDe
JR1ABA8VwS2r9k2mTP9T0/VvzVYWHcMEYZ60v598hb7O2n4utxiog+eAXeO0OHH8qfGd5IpesM/B
0skDO+Kyhhg5nFpaFnmUxvSqxYSx7ggSXxUwb267NKyvuePWz0aY5KfzbQSdINqhHkWbxeZu7CLk
fMrGwj5IspLbJvQVbr3U/rZ4UX89ukH15ohaby794rzEeM/IlViMWySj1Z1Ig4iUJLRPNUfjmml9
fEtjPYt44OjDaz09wGXEBMDlaEOMiMvQZPtUSwT49KYcI4Xw0pEHzRrXFLe6cEHMnqgv49Z9ifXu
IguW6invw31iIfhlc7jcUpfhbKthMDmOo1yk694oHVSmaSc5/p2sIbKPgRVln0c8CpvRBr4KOM+8
TviKX7bQZw4UhEwk5OomQGGQyaYoR/MlDxtM6MgQF2Fnb2ZburdLnxrvFQaoY9X5xq6gFObGSsr8
wnWMEPUuaknej/4TLWHhzjJr8yEeEmSWwQsJ2M+G3InYa07NXH8p22V+N5ee5b9vgC2gdDlgbwQQ
BpgNVDu3xiVRWJsG17LBx0B16+gWBsOj3iRdkyXmnS/Mhr0/TaPHHqgECFZKHeY1XWvdXU2c/aBi
vtIYcbyMQlisRaR4Q7/+HjTockMe2ytnGo0rOl22lI8jrAxldujc/tVl6LxirUXy9fuxJ5gqX90k
pnmg/w7Y4NVX031pLVBZF8ZDiOgoVKU3kwBPHukjq45V7HmPQ5XZz1k6lu+YXKdPTcgPDqUk3SOT
uSPKR90NPRTHqm7rodtDcGBmfs1Rq4zkarHRFraJLiTbSpXEuJNcb9OPU+/f1lyK5UtLAUKfzMI/
5MPIB2fAKK92xsAlFNl038+cevYFobTrpKoN9VqxgHL2CoaNNdF3VmcoIkffyJpNO6b2hkNedmlF
c3nsm8R7JR1Ufza9EKJsOMX5JXM5q3nsYdiH+3zJ8gVJBSO3IunfuelXP55a48mtw8ndWvEAi0MZ
SQaR30sEqWpz3jeBKndcAT+1lNqsGliEGwwrpI0i5xPZ5PEgkwqPQtH1J/7NaRdQIbjG5k9c2Lnq
AxtTp2kod5VF7DIGk4QDZ5GnconzbYxJig7cwHiIjSS6mrzcWkcljVxDzESt4dM8LhTmEXMY35ws
mI9NII1V6xj93iqneVX2+rglFrtHDBbNZZIQy9tlnuQmp8Lu4Oc4hzPSWnuECxM7vXNXLOSv09pg
Tu9E3UUfhuGxKezk2JkRPqOcyLRnVXitZLeZI6/+3AuJ8kRz2z6ph2SXdpBfEWxCWs8o5GOOW8HW
jTM2srCCU83HfOipOCCybBe0/oXmd4cSNiwAWZVMBOyIo3ylDUP6n7RsSbi//xH1x5XCiYOs4BkD
cL6a/PcS94dLHHZ3+dtb3E3zLVLlz5Glf/3I/xrs5V9g2QPLg65Kxk5zt/7dPmYTZ4Ieh7yI0Gue
4e3/9tvLvwgR6lHZ2VB6dqL+y2/vWESYAgysCKv0kHDU/SeXOGF/MJySmcKcAZHV5baoO80+4uHa
fsnGPqAZDIGGliH6CVhxmyiTNwEEA+fOkTW2SIWQ1ezCMODauxqHRK6zcFAj4dezKdvLwAG0XZJ1
4j7+4dx2/cHI6KHJGljGenmFd2COt9AfzK+FWY0mHKu2pOeAJhjfRFKxFFqgiuGSDYyBHYASqDxH
LZt8F0hcahW0tf/FsLNkPUE5PnpcJldKRXDVO48Dnj+GexKyy0YEuXmTZYkaWKBl369quynYBvKq
QUgRjvHE6e2Lj8t/A/OJ0lWIrScyhpAZlyW9mhAQL7zB7T+PKXMGx6wCzV+Q8X3DIBODnprm26Ff
wgB5ZSyareAmaLBd4PjBqpZXm8CMSR2w0qJkUfxA3vBLQnb+qR1knJ5QAo1Ny5J3Q6OJQ4I9mSh2
z6U2i4J1YFIRTMGwQhdO5gfP7bpywycxv4SzKiG9B4QM5imMHjxHhMGqVXOYreFADReJDOPLZZym
F0o9LXcvncm8iBBgKTvPcJoxbi2snddJ2AEsztWnuZkaPMV12q59b6C6uy1NtTJcn2xPES60F2Wj
169E7vBIpJg+ueVOcbts8Eq0DeMcb37tegLtt/wldA7Z2VBMm4BymQ27m0DabiQM7TT+7jW5s42j
JDu0idPvsJDJDft2v+lV7N3VizPh1IqzaGPPnbpDGm6Os4IoZRa1dWe4Adr6AKkidGAEwDNw5dex
wqU08aU5eZQ8gqeaFb7pVTRT8LarS6O6coikztcmhwavOtqZM/oViJYST+WWNwJiUYG5sbpFk4/V
xVIm3KxNAcm9XMV+IptVX7QOQa2MKQRNQvSoEVGwcPtsIOAk4q4HLRBDMhi8h6IqmXV6xhRUhK0H
r4Zx3uqwSiDDFdM9IFtimnSjJtgoYPb4rYIrWUWEgWsP6THNvcyj23sujKsBoHqL5XZSp9bwkysK
XeJLGZbjGxdeiUzXjv0WZyARN2zhMeM/nL0NMHZpxoc5zW0FYMMBvdLBweG6pY/bB7MpvF0ZJckt
dWnWso6JrKcrBVCdbza1QCEojjnpNqRE+nFdhZworxb4KPo24Ii1ivk0N9VQDNYaS1qzrFJdQ3Ir
S9qkECb6wruelmI85a1r7puMFvo4EhHUDEtXCKUeV8fc8JKTobAFk8cIYc+4Fin6TZH744udtGoP
i7COjthV7pepS5e7oDfejSUo+U4ZUpG8cdPZPXVKUBrU1QwLd1E/q5eJE4+z8qmrIljs22rvhFVD
VN0k27IKDFyxB1ai+cFBN1YXtis7jE6U5Uq4RrGtu9NphhOqar6PhvPk9gyaROK2y8OQ2UN1GLPY
or41nKeNXxnWpWhBsi1hat8xPuD7SDlNisIQsZq5SL8rhtDpfpmEf0wZ2mQbH3jddDVZo7rkylou
G14JfDr2pG1uRRyNEz4rtcMuSOU8dLA7kIbmsBM9SBoZpPYlraTBVvipwaEhqbRtKMYRDv4/2Zgi
t/mcMydKvzS1l76lZmc8iSYf6H2chmaLWO/wXSNRhaLFhaawpNFdNCgYa0ATabuV1Ao0l/wLDtgJ
0AXMpWwJfmwl/QUFzGkJ+iElI0JW5iqdqXvCpCwhvbTShD8im0ho2uJwMOpGqG3YFSOlGwp/Aea0
sur9lU8fw6PFHeaZoMwnh0e4WyV0BenUtck9yx+9O0ZC1ibqwnnT2XF94QVAArjKYmbJDRTwtZoo
6SvD1jkxY+0RJRos+tdjo9T10i0y3fu1Ei91N72gPQ3Yl2WyWBsrCXN/zdWoa1f9kE79NRZT67TM
VntfpCplMsr+Fd2Rqwgbe5U6+bzMh0J4nUd5BZeaiIa6llXj5PiZ9cMS89/z1J/OU6BtkJH/syp+
nbSkidn9quSXQ9WPn/u3Mu7/BT+ZQi6OLOLXStfAQjQn/f1LeOcnCdz8ywJnDX+HFAhxbJoN/0Fa
ESjtrxI4V3OXs52FiYhLhvODuvoTtzoh/upm4OwueKKWaxQthtN2a1ONXLDmuR2TxI5CQSwrVsew
zGJ4qAU4shhQAucnouEEPRRTabIlmWQuHFiUX3K2spmnJUyu2O+q16WiRtVGAEV3uAwTb+63JQBF
Zr/0ugeULh/4LXEFzjGMO64+WPYxDIp+XScYdppYQHJIScXd18aMHpQyIaPyfbo9m9TPyQCMt+ER
2iAjegjFTLAyB7cNcAsa6gNgIhQFMAzDd3Qx9xB3VjJ2jLI65HMV9c2DFS49IcMpHukhhMnofR1Y
/insDjzDfjaHMEq2RR9N4I+y2HBfYzOYIUIzU2VvU53IuPSPRV2Nt7XtAa/xIhKSpyUwYn+nstmK
7mFuyh32wYKSkSQqTH9nt0NnbgCzCPeCXYZ/M8I44L1MTVaBeiHYt4qwCbkrSbkdjExw5hBcRx+F
YY3f3YoQuQoZmp5c1WX0pdDK2aA1NHWW09qztGZFtf+y9FNHnbbW3rDz4eeWC5WLEANxKDHMS+vh
5Pkpsl2mFbxca3kclRR5SPS9Jr9jHIPY2xTaBMvIwA921VkUHLQ+2BTjrnbqitAm2qF7lhEh6ioq
t4PwbpDz9JRpvdHUyqMHBHct3B6HLF0i3wytUPpaq2Rvqzcg2oB2clq56LSmyRktW2GFUJvEa8qL
BEDi0UEEtbUaSkY9uxsYeqCLMNaAq1ETL0E/bRFSp2B+xGqAtEqjTfvF1f6AAs/PZtIabKbVWHPs
ikvPzFtiME6xjrVqq7R+WxtWvI8mFbzLs7zbaKV30JpvdJZ/MY+Zp2D2l3jVpZZxxFXDT1GdZ941
Wj8eSQ88Czt/TA0kbYmbLlpjRntPbGk9S61BO6Nwdnhg6QfOioF8PFp1g2gdhhAKF61jB/DpqVDW
6nazwAxdkuZgaeU7QwIfzlq4VsXFsAgCPVGIxK5Vc6X181B51ivlmLipvRJ53R4BwaQZLgkHpgrl
aO1jq/V4oZX5TBQC6C1qfa51+0Ir+JXW8vFcpS91GaevfKL5ftKaf6+W/NCXJYY0PRGozsOBUM8J
kkYstxDMh6tCTxGK80Ah1LOFOe0g+hmGYFkhOnXtz424g7kpMdVrDG0+UbS4qvwkOZZ4bm96v2+v
Bj3PmM6jDTGjN1fZkECFyupHGu7GB1pOq6MATLk1iH+9Kj0raQbZXXauAtgz9QzUzPNYBWpucevq
WUu1TNRjLGa0MdPA3zV6JuPq6Qy1AfMnFFImNgFoTj3D6RjmMCXH0NbHJtqnO20tRj42o5/ZNed1
yDCo0lOhXs+HhJ4U6YraVelWTI9At+ybpPR2dmxOpOWYMuEUZd4E8BOGBdREWTrjXapcXO16QqX0
rCrUUysKRpZ3N7SGO96Q8GZSFWA0Peca9MSL70kH45Up2Hieh51HY4WeklEsme/52Pm2GDBhAi+r
vmJ77vYLTuN2NYWm2E5ycjAlMYEjccYwbtBzudQeUAlb1/6Oeqx1JD3Bm/UsD3TJIy6j4ToOi9tq
6IKTrSd/BEzzPbmCeodBksEg3gjzGu0YbChwI07HhX03TwPNA1Y7B1e0Mef7gFFjfh46Wnr+2PeR
s1mwdxUQ5bvpIsms6Fgp/IORLzXDTJTXfd2tECNYavSM05BuerRrx3qQDHMoA+sMcMa1nN/j84h0
PI9Lez05peKh/pJJjwIhBmrsJcE2rJX9OdUzV872jC24WT5aTdreR5yTTrYeTxhYKzH4zVn91KKn
nSbXWyAfMdmt9IyX7XO8zxP4nlpX9WjPZhqMYxBFK9Mz4rJ0x6MRFQPTEWs4DV0jjtgIS4gVdf08
um57i3YWbrDcLnvBXRnxt69epUZj+l3pfZ9RHZDgO4LyQRB9HbMp1d6VgP7Gajcqv7+cp9bdeBYE
TgO+SIa6DpfTtxBo4W3nwxvFMFa+HoDNYR9aDBh8sVM/h5rzSeG3uvDP8E9Xc0BLx6p3bTDUn/yo
lHKL5FZ8EVHk70tNEe01T3TwSwNNG8ZoDGwUQhJepNlmf1vlTpef4GQFNylQu+tMo0p7nythrYzu
OuwMCUg7c08j3bErYyj7TzTuSaBGmnuKagkDtRVjf1dFrX+1aESqSUs02mWfsF0HmqGaj51BSbwL
XiVRLD1n2CpxMsCrLNoV8rLmsWKAVBidSnFKzLBkWcK6Aqga8l6qaa7eGezanyGvdmDUJBZAk0zK
898yTYM1E/Hm9K26NqLSffA1NBbZSFyNXeCwDM727VwvkPLCkqkJuNk6F9Z+6fr1MJeJzlPa173f
pYzsKOhu4hICSmSLJ09jbCcNtK1r5e6NM+U2gHfr0xAHGDSBBacA1s+LxuKSRnrHtAUr1+qo3IJC
HDxYLpjHsm5tKOyN9eieSbuFUTm32Zm/aw8TKF4N5SXEq9ajKa78M7FXanhvbVrXHbGMY9DZiASJ
UdNSmED7NWbAv2EHAtgz0mrdaixwGc7tbYWodJvNVX0gdmEfJgJfa6w6xno804VDHGmfOAvYjxN9
gPNK55m++wxvXwsNJw6z6gUGM70LaXAnbKyu/H1mV604p7QH+8w4Trs0xhcF+FieGchIgk3Ipl0v
70nVFPWq1cBkm0G8q9je5szHnxWBvi80YBlFOdsBDSsu+zN/efQbL92IM5cZnas/iYhLfls3zyUa
wc0wDugioYY6s98h2mvQc97hTzISyzvYWMduzqBAbJ6woXUfxJo8IwcQ0NE9/R7UK2Vk/DyLnCa2
kMha82Tnt/iaQE83jsZQe6bi+Dq085Yiv/FeNg0TskWMF9Kcy5sO6xXfEwFgL0JR/crBN946Tmbv
MxKA1z5iD7VtZy52pxHZg5lHT2am8ifH5gzIGGpx1i55lZsq64LLhZlWsY3c8AIRqKdT10xJIBA9
rwmj6ebjfmiWDYWN6THtgqBeJYOV9BwxA3UozpBv8S/kd9bNlAKuyHdchQOJhQl/M9S0uL5jrCOu
HaeZTzD4rU2QnTW/GrZ4Ce4m4uD/skj/MnXkY6RJ5L2dnMrEtfgrnWORedZnUvD2Cq5Bvq5DSWDS
K+SLtQw2FGQPZt8Yi02t6eeVWN6amLyjR10A4L4VdD2pS2nxUNa4J1UHR90UBiMLYtKTZqwDNiwY
lEVPfCxi12sSe9AG/UbkHG6MPMHPmYhr4pSvJLTIFWmWO7VR+SbTfPdKk95TzXzPCxx/vubAK88p
j5Fmw5e9v4sjaPFE62/i2cEacEbJo10Va5q6mh2quL1eNHM+zFCQFs2hVwDpPU2mXxIY9bNhM/rV
3Poi8PeBJtmjy2Zr7D/0LPH4vRmtt4UTEz4WEAwPlRHOR9dGhNHj180QAcBaNDXfaOHnI6r6u7nt
lnV1Bus7kLfAC0anUmP3gyydb1yTPy6FyZ8sXcE9oWq6tazwb/90a739kSP5Gavwt3wOfhhAEY6P
A0v63A9/9UbFoTNjzfGTi7SgFZw0AcHkBnoyKSriBg+OWdbvFWepki0bn+HvX5z7bfVLtIUXh3Zg
A3Rwkd+DDy++JGUj56VKLqyJKPqSNtgtkzxGzg2y+9+/lPZ4fXgp4hPcafTt1/8briepk1ROMf5N
i3gAbG/CwDgv50h9+/3rnMNVH1+IeQdYHIpbwBF8yLxkap4dlMXoAkT2vIv9xsENco6FJx0+4oxs
8xDEZoJaVbxVXsSNGu2TeBFMFg1uiPntfv8r/f0jZqaD/9hjRM6d1tP2uJ/u/hDq/bjjlkE6HNTj
OdEm0pEbtJNj09qYUdy8T/3A52yBITi/9n/1ox/60bvibNXM99+i5ONwjQfwP6tHT2XSffv6/x66
t+5b+4t+pEEq/1KPpPyL068A18LXEhf2//kqWY7+ci070LEqHI18b//XVulZf2G6/zHB+3kcZ/l/
BcJ2EZQsHHwgTrx/IiiJX5Ny+hV5vAPd0+iB39cOzV+eqdziu2qN3O19qMZ9gCXLQZVdm9WQLM+u
21fZm2M0bssZZ25nB8F0gqrCsTaEwFk2TmmslT1l3jGIXSDFGQJ4fRiDIm+vc7eojBmZaXKrLy5M
0kltDBxpcIcj+t+sb7A85p56Y4bob8wsq/Cd620tT2xa+BFXBal5fhWncjkoxBymR+4cuYvcstL2
jAIi61zzK4NHpgrGLkSZfjfage3/D8QaeD8/LTmMSaG3ILxJ3b3Fu/6xs82ziqSPZex/wzpFrc6h
K5ycLlxnaMFVLS3F6+OaaEsOfN0MEzv8Id3+5xio/l7/30rE6zN7JX/nYEXhk/obSmZJhY/8LZOv
qYU/PVkzknAFHrfANup0R9VRBLe7iXE3UAHsGEtV3o6OmFs6V5xFjuLIAK5Em1FgXhrrRPCd8+of
3qMPEUHHQw6hlC0Afs541+Xd+vVB8go++AFp/rPnKjclqkLu2K4BFPZBQOOENrszaJw9DAq7PO8d
/lnfB0wHKm4w/KNp7EgC7HpY/Kb9h+3pAzZT/3KCLxmQHgRcn7JSvan8tHJmU9YWYayqz1UTJ029
FW3mO9e2FRMbFC0DxXoVhEO+PBcxQWcPXnGDzX49mDj87qN6CYGPF0RCnxujb+WJaZ1+8CdnKPIA
g7BbqHmjWhEMFBcNnjvcV02aLc9LLjNQXmae6w8jCXIjBFxRBjH/o5gbvmFc+KeOYRijJv6jRfDo
yFO6rTi3lEz8VDZFCV+c+vzywBq4GazwBGlEmOJLwW+eGKV+5rvKLbK3qZX0A++wKVoDkUS1dFdN
k4XgJfOiYbRCz0IxHRjAjNFryazEeR7MwTKKrcf1Mv0+1CVp5j8cTX49HZzffVwFbFoCdQal/MOj
IcK5jCxgkp8Xi7MJp2mbs3FLcD4lfCn6emydf7RT8orka02bYwKrLcvax1dsG4qTCA+Nr4KYMg/j
2DuQ4Da68IrHT0KGkp/DFBdOvRrtnov8tUf6mef0p73g9sdX9Oczmf3xL+codkYK2i5ECJ38/fW5
W8TQ10Dfi+fCobZLELDCtP5N1XE9u5fgCEoLz5+nktuh9el6AeDnqmgb+Z0N1YMTAEkZIo5RDWrb
J3nPpM2fV7Dj5HCPJ46zB+HASV3yEOF5TU0nJDkFRpTW66MZmzyHiv5HX9DKknU8IhnsKXFj2zbM
QIQwMjR/KtTTXMaf1yoO5Fg6ANPaeq8T7HW//sUZjgCk3dZ7Ar8CBmfrNg2hPXuA8TkCzwGke4iR
snlsEXs0dCrqziu2ISv9SDMkHO3wIZykfqTtOlmK5pBUtuAJTWuITIza86FqwZi6M0e0TahlfLGy
ZmKIz41n1XyNfv8h6s/op9XXM4U+VfMU8cthNvl46sIqYYCDEsZXaTQsCJto+bGG+U7Hza5sOik/
Z7imuovfv+6HXUe/LodP7isMsPiMPr4uiCPlKUP4XyPaT1q5wnKZty+xE+JnX41MZpKbMoy7rlsh
ufOR/OHP/vBB8vKe5hrjOodHxhPx4dGFCJkY5hSLrwZFyMTV3dGU7htHBJZstSRefkoMS1kAGeu5
f8hakn9cCuMk5035/Rvx8UvEkAsEI6kT3TLNHcf+9ZFiuIqtIivD9zBYSrfZqxqs1Lw18BIEUKL8
5s8bxt//eBABBMDxJwUQ+z4+xTGR+zwF1/XVkSPnl91MfQQcKLcZe9aqxA8d+RmXvM360UrPk5/R
/4cm2A6Jwmj0hwfB+nBG89i4TIf9n00VgzlfsF/fgChYUjeoOuMLexf7LFnDWG/1BSi0Vq1pvIAb
RH8bWE4I79y6+a0gEMc9NhGJ6EnUsykfArR1lsDaVY19XwxJ2X75/cf06+3EIZMjTFZdcK0ep1OA
y7/+lv0Y+gQyl+nL1KCo0ivTZyZvljmNwjVWBPYG46Gys1p/abpR6f9IGOb90zfLYqF2pMB/zU34
7xkhv7ZbkjlSfSlz12CTTjmXsbIOM6lX91KELifalhli9lakLrd0+CxFY7kH30gNtm98HuJ8pp1j
fqok1jdcoktXCAy/f7s+rpS8XxqlwEjYB4To/u1+ifu4rJh0ii+4oqVe3jrQo/1tvXRJVZI+nWkl
pFinGPhnaq71EYOU32w8jFUVXrTA76jLLGCSzZf41krWvZJEFweM3jWN/F4WQYRrmHJwfYqwjXTW
mwKliHofQMFj6f39H2T/ColAeKBJmYeL0x87HUGtD1eJWpBGZi5gP/ldLDiDUMuoF+rOEL0+4pzP
O7Zpzqzh5LX0Ueh/2DuTJjuRbFv/lWd3zjX6ZnAnwGmi7yMlTTCFQgU4nePgdL/+fiiU9lIqe5lW
85dWVmGSIuKA47hv33vtbxFT7qGXkhynv2KLQBhvkXrnr7q+Gqqv2CkFAMHmet8v8Jzs/NsMPCFd
uoWzbwWoiv3hWBmBco4SDJEzJCujykj9w639thZza9HuJ28RUqBfZFX8dW6PFPmCWlM/d/Jpj+hG
1bMFb/VWdt/IbFd4NiEjo5CIB88+ixqjs9i4Fr+p8/WwNT45uWPkGHp+YS1XDAegI4cHQkmQqKst
DXpMT+5cS/5p0ISX59KWMw9u5L3lA8sxM/kTZyyLoWhyl6EYEe8ZY+LVWjBVC2Dq/OljfPaQsfr6
94Pw2zIMqdNhDQpski4WnX6/bwjWvLn+6vfG8wQfjCjqYxMgB7pMVcLJksTcP7wiv0lFmVE+/YRs
fybhu+mztvw67Ca6NdeXS0AF1GKGjOs4MqF4QxgfV0i38w7ZjOUxpjq1szLgNWpwXmyWKUZpVktN
+cwfwkwcs9ENCZoIXKZHVXd8FwQRAqRxaQnofz62vAeBMNO/BpDJQcVv7o8jr5b9QRiitPgSrSKa
Hs2u6bgSD83n9lr5435O/fvRhsbFzf0l7uDm92CZYMpCd/LvcQeL5oBoe1mpraw0YsejrhxS5bOZ
iVsf5ZZaD32hfBnGEdA7UaBSpC/h0qy1s3gxwq3euIJeYrg3WUPzTtLP3ZJ/M+mBO8+Zdn28H9uu
fndFvanHpkMB+XXG2BSjionSypaG9Cx7sPpZZQcElDOitlvVFxnNG9jzNtY1HRFWlLatiqxELKOm
SoBLab8JxIsTqfckpyDJyzBtCufTGK89gSEjlUrtPvmYkLh5Yi6WhvMmo5meelY5WHkXY4FYtk4C
zF62jWMtUxE3QppPkNUOcE6PEwIUJ6U/Y9meaee2y1ft1nmWOu5oW8lKFNdhu5ijek+j0p4BYlMX
OAe2M6a0180IWlCCmSdrtgr7SId3WJgHWXWN+7J6U14ZLxFutMsz6GlnvDGGEXgRkXWg3z3l++oF
bEvewtqmWFoMD9FCz/opK8luHLfODRtUw1XnYE4WIAVAPmw1ImzfaZfopoW+K9yYvkd6nGew1PU8
WOIMIaT3dish06v9U9YYlX+LutuoqtPkA5+ri+9F2DojowzDhDQkUNNuYkpvFgKG4sHxzdFHvta6
UgYXOsrKor5uPTBd+UFM0Jmm6xlRW1keM7eZtfeYtcAYce5yizw8Mld8Wjgx+zQ5/tRDWJJ7zw00
2IBbMrWJ9WLOB6OAoVs2ROVJFc0IidJJltr71Bna94YLJgc+AMnscLxDiyA5nSKKWx0Uz3e1HQR8
GT/+0ijLmn/D5wJ6a0JLh9u/bbqP7OlS+Erm9tnCMCigOUN4cCRh7ggLQYLnTvv5wfQMZM3XueOx
qXxdshWxeiK8IgJNss5ylsG9yAwx18egcnDNu6jwpQmnO1848AoRrUR79iFQo1dUr0GOecJ2BXwT
j4oDFoUs2Tes2sDMrwwng+xwbZFttup7IWYRZodZsBDkh660HK6dJWu/JHDiNZhYcq9r2ac0/oqd
wjWahtd+snO75fMaUUfRC3ZdfZ8ookVG1g51yQ6SWD7eiDOdIDlHuxis3R7KusXA3SfIOhCTH0Ux
7yPm1PgwRVizFqPx1DbBvuS7EBlw1ItmfOHMw9ZyCEDUisAHPvnHrRaQRRi+XgT8x14yoFuI68Ii
FEO2sz8eS+LO4P1h1VgWk0dHXEouydCG4lEYbQXa53vfk/jpYfuUnEiTObTWHd0XFlCheIIAZqH7
iFaXLeNlFFt3KmhWs5abUAT7JZc8abk9+cwsPsHhn/o3unH3CeYrY3/y3mrwd3UEEhAa8GTxrWyx
eFdzDVM78LHJz/tRCjbWGwm3gr/zQN77T/RxI/BI3DnimAQJuLAYi5+zJ9uGiF8ZCGO/uWxcfwyG
Ztao5GcuAAtNb/8TNPuKfqhSGU8/h9r4+PY/B/nj+4in7eomsCngB4nVYoHxViFvKdUJ46eVm+7t
beGzKC7npflEmJp3Uex9PKhum0amGvGpVvlFa0Vr5sVWVUwrrQ8oQxilyW5qvoX6u8VVcRgAfUvL
Mn5pmOIipuAva+R3/Vv0MYKd5A1iXfu4p8IuyWUlsmv92TqvGBLyY+bHo/2YHn5Wods++G7JTxy8
oN5vfkGxxjzNLbV/TIF7C3+5YhMTFC+bgXx+vOROnX14PybSRsMXV8lN7r/FKtXAzwE/Q/0TD2Ox
X/rHgNKztvGHrnY6l6Iz7WaYjW10l+EikO/nPvMwlzTbTdeRyPfzwTDzfMspsPs3y89bps/gcbLn
5tVEUuBuIJe9/0J72r+4U45DaVK35v46NNB3+NJqPBvnF13ndV6iQacr5InioYVUrhrWwBqvnI+5
UoohGoPTzyGPxKS4nKV0Kn4JO0DHhwtZwow8TYAuffOFyE2EIC56Y2xpTR9ynE8TTxQd56qxlmQA
wEju5xseU6Evgi7fX2cIz/txqFo1PNdjRbC4rJcIJGtMvGmyxpINprJboyzLBqTzF1Zkab6/GPuB
LwSNXn0LBID/X8EV+V88E48YI+7J5de3UzVmJE9nJJb8ZJF306sPj4QjQ7Zu+9ynFdQnSbw4tKSA
D8dxQMMwaNhim8NitFk04GDKVrV8Nv1FsN5gntxV1flnOlmMdaHEEXE4ecFvqzvQPY0lc8FwnJwf
70zfoUTjsWM9lyGkK8JuHl/o6S5m/wzjbL/1JcoHhsiRMG+5I8yCBu/gb3SH0ICi3H34rEXus4ZT
3T7FP7IM4VDN/DTorf1+x7K0+aKY4PsxtiRhYNBtvZF9iVy7aiNkHeXqNzcO1S++AyfDPddHV83A
vPpIRm+WV6vsqNteZfZFjlUNvwOl2X5AzUhfcrYGRkTX3imzKlKEeFlUHS29NQlc76qp6C6mtQ/T
WJLw0ApGlkqszFb2PIRMEcNMTmwfPF06e0oVUR/S0HtRtzk/Trmdu/w8E57Rpj5ng1LlLR1Q+1G+
02x3N0EF0Wp8cDnsrdlhyQRtlkd/ll49pKR4LR9CKsly/4ubI0fGTpK9moe/Ge7GXfl0aDCgjZft
Y65sZTH5PkZSjPiS3DolKprpct5oOw8eqk3PxpMimOaQvsk+8r+w3jK/jFlujIBwzf0eMtmipTyS
htuz+RCT9pwH9Z1ull/8aC16681dINzf+lS21+yIR+6Au+9cWgJoLDuaU3vxUJMlMpKwtgL1yrkd
g7pnky6gHN8Pb3WK5XEGO+f074BLp97+PGQhKVz6OvTURIlhb0P1urnaduHWsjuAUBgtqyOmxLkr
wieJWd6ICJEcf0m7ZhzMVKaW9OedfDzLXgrSKInnIYTjtn4sN3U97esfxqX7akL0v7+85dDs3wH2
ijGj72L/O1pHDL5jzdf9GzOHLG5zIMO5ZwDLOpO8yjnRYna7IdqQBwQMwf5WRs3+Lz+nLDElK1Hk
UewhUfYja7Qvp0YORxaVZRBbtjLDe13Qs9rFs9mSY3JXmr7si7mHUwL0zNj2sslAnYgvKE9YLVA9
Mb/xL+RiOd3vV44GmR/9+UGeitjSeqaK8fRxYmvhewdABeiWcB+qjwWr+ijI9KG1p2yQLuzFmkH5
yqX5KG/6LgOA5GvjCdmX5J5BOAmmUmnnexiHCJzPCKZ6vyz944UzOvzDqPd4en/Jpb2XGdN2XvY5
GWQbLXUxcNm2aQ6FqHkbjx8DQrZkX/Qq6v/8XnewDHFV2A7tuf9QIPjtQE8+lfWBGWyzuAG2+b24
X4xk2sjq2E9F1/lcdZDnC28DLN/6tsdqhouoJxLURTyV/X7t/3C6+/Vst3+8v6cXTeT8mNT9nitT
eumMeQhI6X8sjYJaGVfBOYA36e8/6rdUJm+TGZgmn0Vqn//392P9X0pfc0gzcUYo+eccMSuMBpJe
QiO8o3Fhn90RfDm+6FLwhDtXuTyyn4vj31/LrykEz0RHwf9wrvMphzPPf8vkZpNDtx2v3lNE7tn/
giRpj8eHIQQvs3WEzv80zv/+gTbwVwruIb0XPOvfkthVocDMNXC/UEywUeTYyI4XwUq7NeWfH2/2
39+gtadi/++hfb9Dalw7oMgObTpGfi/4AMd383as/cefKwauH3txc/Wd1fOOizuE01HIbFMPegZ1
kzaYwPOaO4qlwUBJxkb0D1f060znijhKhRGbVxB59Kn8njxeI9OA1OH0jyAN95dqJq7jHV/wk2Zd
L8Op5BEUrl55MyOHzYHQwij2CxHS6fWWTD0n+6MHDQO6+cLSsiYs9T3fzvuRWbfl6nCeTOaPrK/8
WGb//iZ+f4w8ONcERkBl2aL35ffUE/tuP9LDOt0WQ7WvTHT+8QTl4LX6YTVC7V7/55/nmTzI/T/f
/91lMYCdwwM29e3PbQ+fvF7EZsfK2sXAnPL/KLWGdNHCIZLMIgs3r+q/LQfOnFGxm0rBdrNHwQTJ
+9MIqpr3oh36fcP4+xvcE2d/maZMCMr0e0s3ehRkVL/nM+d1W0qFzcc5oLmy8pKgaQLni694Yf7p
Ffz3j+LRoZL0Q5eTfvD7UoctF+bV2LCeP0IRlIx76n+x+4Yvf39Xv2kQ+O0oNCJKVowi5wBW1l/X
utYci0wsMvpmCtLUP18r26/2UFE5zX6cnMFioBVssBUJYpqEqQjH9WZaQzI67RK8iNlkEfyH6/qQ
iPxlwMlhMgQQnVHIsbSFv+83pkldHbrJAJHVNovhYHvLXkvUpmvr7l/D1lKOSnBeI+cbxXRCc4qN
Rw+DmOaKKIKmY5oSK0lG6tp2yYmY903mgS8/Y5BBRecWD47KWmh1sEn2fx76vuF4BkTXbXsMy/Rm
j4nZmf5AV4LySAFeO4vVOT50rx+1zMrnkOTcZW1j9ctNlRcTgk2CL7+0yNUIJCRnDkBBifMKamSm
yM/ACczn/jpWH+EOJ4eQTcz/sbx+HIGqH6OJw5vNlsKRdQ9P5gkHCePc7b0Jt62tGW5CP18Ht86A
SwBh7cfKLClt8NxwNrAAC1XD2Fhb3A4K8+MU/WQtdPxnKqZnOy/inwHWj1cIZcTM+G7Yy7N4Bf1E
xoszT+XbBxl2fGSDaJ8IBgJthnoWICQtgifqDLWoXxzC8ci59VfE5fICMwFjT1Lge0z+F1zTfj6M
5nWA21RUuiEdTGYooPoRi2IMuywx6NeZzSbuQTF49n3URzKYD3kPfK9/9tZo2rpn6iB7OY7Y1LT9
224E+eg/l5IseA6myKUYeCxUb1kCJTzB8L9WjsRDeOn5y2x/wfVkHWkTbeZMPrQR7UI2thiDAfZY
sqAtY6LGgkrYoe1Wnm06L/am1hiCFFnIhJDR8kJki1hqX+N7Pw4bWDcx09JjRKFC11IW5nByzXqc
33yzqdYizWhypnWrCdpGfWrJCBkaqp6/SyZ+rpE91azcvw4b9hNxbAtYqJro/kf8R0J+j1/Xdtw3
w4+pUf+IUtugrjhKqoh6NvhJZfoQLtWQdwGXYVcVBqOVMUXPbC5d+CTpOKuPTenlXlzk+fzkrSUo
o7UExFC6k3MuIatcNGqZzmRYusdAQeBbIq+AkAddk1z2pJ4zJvXZzWmYj3n7ijehZP0Jd6ouXSIr
44xcO+OJQzipLrv1rkJpfukqXkew9f7OWpNpAA6Kp2sa6iiCxT2IrtR3m6hH80BMMR5g5zo1M9Zv
vhVSP9mWK6+Ua+RXzYSduTeQGqeMjN9Np6O0iObwIZBFT1VOlu/lAL+/LmQO8b1tUy+L+stws5vj
mrWoeFoJqJf4eG0TF0b1ceZXXoScE9/U0umTvRbZex9VUAvx093iNRLesRBm9yQhPm4QlM1+iA2n
y1/mZQu/1lg2kmLQzfMc2uXBtEeThvioKEHqGA52GtgRqnFovw8iyB5IauIGXoxO9G5RguKcZUnr
cbJFUR7l2hoHa2jGx2FySYSwFKQD6LlLZ1A0EnrNHGJAFmVF+Kmc7Gi9oNitvw22K6xDp+XI8ats
CproHC/8Ho5eABMRoP1lEyEnS11rFA/L5FSc35ruyhtGqwdZUHRfTTFIKDyueTX41j5DM2/XwOTT
DCNWLzdmUE0XZOWNS1xVCjsNWf3erXl2gCNvITr2Eb3jZxwJ5u+9YSyJjdPt12EQnY0iTCJr3LaB
mVvUQBjROyidSizYlktf5/QXmZYsb1crYCHmqJdM9PM4l25o1vJSLb062lLbV17dLDEZ6FdvhkIF
vufWxZ0ingY9pqQ84RJBcJ6C1Fs75+Big3YrC1d9XuVCrGgiT6LZRVdo2KokwKkTQyftuF8n3Xcx
fYuQB0hgxLbZjA/wxKuHoVjHKqnGMX/Bfqz/pBbZgEVc9EJPqpIiFlwfipmQXCAv3lJsibuE831k
DwWGPNtEW38jt5jiU/PadqCupJysB5xfwguJMXyilZldumXrfh1Cf7kW1CEmyiGu5kOzEeMC2nfW
XMMmwpu9jGurir4qg2ArDYkbReyJob/3Z786stD7PgjmLTiPVlfcU2VHmzcX6sWmmf806cU6CTn5
X5WTvcyc31+2vtnCUy/dNRZ9k39fGZBTMQZaHwhP16dRRR4EDBeSs1VBBjCLabrwo0qeeuJjKwYi
Fr3QmBq9AcN3noXKujcoVtt3DGiydAo6rJARhp1Mdoq0X/rxibjXiL25na4NNVRfNhoNT05tZegq
SHPfFqvpspctrEimKEPyVF7lnwMKRokcWnGqPK1eUGY4XP9kX1pm6xwFyObP5Av7+6gt6BRd6+ip
adR2lQ+ipx2JJZfjeUPThmuOl0q7830LwPBZhaH7zakmFge7X0Hnrw0vD7m2O8sZ9dWiApx85sXp
yCeF7SmjxSjl2L535bLmXWyGyq6B/quHDerwS0hK5zN9OeMzG36+u0cEN5tloG3ffDof6Yy4pvKO
ndyII2sK3bx1mO+qPQL46O7p1ijuabuVfYKyzzyqWWCjMmo359C/bdcqcvUVMgMAKUbTPQPSimDX
581ycIIqPFvUIpMJqMQdHrgOFQNlvBuZjYLkevXcrYygcy3E4CmY7QY8deU5UzAezE5VtF/Vkcyu
wZTn92R/6luDzqHXelRf+ZmcBHRpvQ4NEYygs/R2iQTiKU9a5WXUSfuLNjINm7ygTxWppn4p7Wnq
T1jYwN2KCivAtLZT4TEymza6bIpQptSX6XyZqMOnYbQ1AWCaEVxO42TtbWegQ7hajT5grH363RTM
7okClLUoC5ir2zd3zuIaD0EblTLxF1XA44Z1+CjycmoOlKLX4goXr65MDdWC7FozTBRPwTQM2yOk
OFxBTnvoYaZRv3R1VzFqHTZQlxW5AoUnW0Dkknj4Rk03ZHEA6zjayp/ngNaXBK8z/xqxTWals0WI
CMwUHMkreDk6WFhHlBx33wczb5GFnqfRD+h0WcxWPG/Omtm4Iiy9GWmavfLevAhdKhVwJLGaTYtp
8PRTZOQVjcF2XkdY0wKwqKvEcKPlqXRQPcZ24dYP3WoZ22nmACzglPW2eT1HsN0TW1FfuAlqltMU
eQucEjJul8Ieabi1guqSHrBlEHc1IL9ocxj+1lwayHF2U+0qW2l7zd2ItVsI9MwXfo0LBP2BvA8h
ZddEW/Q/HlwLqNt1VVA1jpuW9HOyjUuPLXyzUpAKtKjObel63SGfvfmmKknfptgdL+fd9idM8U0t
AlJ1Qlk0oQPyiyXk6pUWbaryWN+Mt4CCliBpRIYtQuBWeHWs5BJfLWmo92mnLDq4P9knaN2Wc8in
wtZ2QghXGDTUD7uUGCRV4T+uhtsFBGY6XMs6YSUd+YbONKCvfWMR6kOo24DKwSz21hIdqoaWuOIg
bdrSvBvLmHz9QpG5yc6iD1363qcv21bkL3khv+SR9ETMMaF5mtGcHDK6D08mm4fJIuErynIBzu4Y
Ot/SxK2xWVNYa/USvlGAyErGTeM1TzRZ+alS2NPTYOSyvk5j823Ms+0YdFBp+5xGVCqfoZlYgPr6
dGOzce+joXDASSml0nIiB8V8YMLE6Jnnd6uT1YPsYSMdhiDIr6EAdE+6H8b8oPFty+g9BPgYG80S
XTSdAAvU9vUR5ymP07FJx/1YdFdV5hk3drW4V7akmArVgqJ6xLEote1s+trqQEPGsWmGxSOihkFM
Fy09bZYP6Qh6KNJztfNsQaQuSV/lMFj8YZL0DzdgcjoE7fpi8Lm5w0ry/WnLVPmeUY/vT4K6X6p4
KekpWyt1yy7P5l/6NHqVgviCS8CEkr68o8ZIKdGtLF5hTFtfyAhiBVtZEbigqDkGMhD3hjAV7d1+
8clsm5daoOTNObgdAzsTn7vZho/uOV332TEz/AJsJ4PPqhYRAhXSLpRhMFgVcL+jW+LXyyHcuRMc
Sy6n2Sq/VYUTfKmy3PpUWc58PVFRTj3ZdxcOqexXigL00bOmLbQZCrO/8bPMIW5lcdwnofsNaC2H
9LVt9l17sYe3bgqN8gAbnwItSe7Ov2i9lrZWTFGWkRrY1pHEDGZh4UvLOhL7Rim8m1oO9hucsRG4
f801xOCnihBb7qZPSMsxJ4pVeheNr+0g5Qg/1YAg2L4vG1rp/pCc2oqkko5jfmHjnRWQpXCGADRW
fjpKYZxBotgvu54BA5epopkShMmd5y3iTU+hZHvg5HnsNMJZ2rI855qSorqSK2IXsHOENNfLoOVb
ZY8L3rukP7HunOrl2ziuvCu8lJzTtCS7+j5RTZtiKoUTJmCTc0nyPEfKVS44Re6y/+8uLQDZsQmK
8cqFAsJZlnBkTOusN7yD0WNilJjb5L2OQ11/DiT2kNXgDGltGr15q+fAeqLqB6+DUjWD5Y9zUZ9m
gqpLVr92xkqlgKLVLxGhJ+oSo7t1IKAYic52JfXamB7OSKDv8Cod0FK4iVuA+XerCS6cT4mnqRJR
EaSpw36Mhd25YvlGTO202fapHXRb3dkgf4eUU0VWsaRhhkajpLJ0Xq8nw7RF69752sGPqrJ6WrJr
ZP9Gm0xGuIjsSCGvWiCrF53fRQmn7cXFyGMrmkEnARuut6YFdbWQ3n20mO6K2cGaNdXVGmakdJJB
cwCT99j4Or4TY1qrI31UGgusTzmOTDBzZ14Vyjt0CWFZG09Qkn2gXMRq7YUutNH8a+iHZfIOBbqs
pj1gSm9VTzi0URM6SQRcgO3U6hqmuBcaSIX36hrIuKAfaNAQVJUWxe1/xy8THJSSg2jXNJLF4n0C
62kXTx9JZEPuhRDsKveUrW1li7yCn7hLCtAx7PUZ3sMteM/dDGT5Cb3uxvvWW0MEe1tixFDEbUgC
zuBkm4nZZ4tgOR5fNb4KtPqOBJSwuEVkrm6i8wHTsNNG1Y2nxZYHRQoGNc3zTerVo17bK0dze1tM
V5ttDwliHHzwnpzRk6UPy7UvSufS1LpfO/RR5UiMw9kh749ShhgtIh+EBY066sZGZEboLiNWzBWO
7TCG7qkcg2ZdJdnhiQxvmSD10vXsHvJ2ccv6IGeUQBG5A6x1rzdCv/CQQYXLqM5NWSQBfLl95B6C
dXPcE/XI5lWGun4xUP2Msd3RFBe7mnfngAqmeTfbiigL7SrwnEPnD1GR4hPWBku82T1F0c3X6w+N
7CUeahOUEG86k58urzsTKwy8L/SNsNa1OUinQUQ2RRSopVE/iWiZg4ueEC6IHSyE3Xhp56o9qdFE
XbmEElIvLTDVu9zMDOsa5eLd47OP6nR0tvVxKA04PPls1AciUE6ImZCed1K+OzZp1oTLm7FlOOfG
Vj731mOI6aKXzmXbflMmhXUYShNHg3YzgAubSljFgXBCDWddeNX0nkNYIONCRG3Tx18V+ZH+sSkD
d6ytENGQ3Udtkplu1x1w2BvO1tAFn+updklYBpmddxjF2qXHCTVYh9sm9E2d2qanx09IMpBzxEqi
/kvQmtB/3mrLRu9Ecus25+SNG1FPHH6zUAhcds/U4BBUfg0aY4B9T+MM0mg0f7JBUmKvekjDFpJI
HBhjAXUdDscWLDlmamj+zr2se1jQJMzeNoQUzI0setCG2XGf4Bt8Sy73Kw87daMsjA4Czcd3+vgJ
Cioh82uDZXj4wuFyLh4CAW6NqMuxyzMRjH+poMGVbyyRznpyJlc8drOT3SDfzN9zZTHy4bwtyOgy
TWYEiOASSzxNX8LF0/ezqgtugfY6qtZB07GaBg3NZpUXPVqkDwPYEN18YZG0KNMZzc4fswPvLvGq
wT23rhDIJpX31Gd5dxzt1vzkq8GCdYI+EhDERofVsK0x3Qsr+B68ClJbg4nihAJlPI7KKZoucl+h
moPEh0w1z6A4hTPASiQbnIYT2QarfaRyRf3XdGh4TPPJmVh6DfrVABbLANmjk+90aPrehxtAJPo6
BwGOw5qXywC4by2f5yUYUUOP0KFjVArBF1cVYY5nU+He9cYe8Q6hG7YxMfUKb6vKImQyVV8WKRu6
QBFGuuR+a8gAxJsvpX+oJoR/qWM25WHrF34m95D5IWdpZDo58l/zUGD+mQ1LMo/e+jlgtZjwNm4V
SPd+Ch8HT9HWPxqe13MgKMkCNXZ349SZfRUW+C0gX8rwMsOtLroyjMJ+o3e9ulwMOdyjIRQJ2jT7
K5p23VL/CKI1AZAIPy+Y3XJN9bwKEN4qHDMcBcqwZv1VTn0lLHv1jqM/ewDXC7nckrmqoH24XbPG
NSi+zyCp8hVDUkvddihfzEMweyuHgsimK63PTK85NDhEPle4SmMMV7E/T8TnaeGoPtzHzb+bnZk0
tGN32W1YN0AAUX/gOq/rz87QdJ/U2HVxUbbkHlF6IuDKJ6Z8rT7nxgzAsBoWA9DWZt3gWojjKHmX
L22ujQsleKlTVVYB1hhjdzl6Pb16KqiuyQsEZyMzw1cyxmXANMj9N1x2QAS5oCsntdoX1dCNdiIm
iPhEa2aDpKclxRMMQ3genKL1U8gZBE5NGS2n1rOn+pEuXgz4SG6liqmOmzSUrwPhi3XVrl2BZnG2
PhVAKD9F2WjFctAmjU9edcAvIvsXcmczdT13fAkJ90+Wm1lvHcp4oGHZ6sEeYOBo2fpEz2R4syA+
OIEk4q0L9VeE0+O91OaaxeHYmRbvwXYfAU4jorEANbAfqJZjxuCkNP9fkUUzrufeVn8Ikh1puHBQ
6bsSN+ylsLpXI6zdJ1HgCZ+4ZPUvpMSfsItRgFaOgyc32X91qCT5IPXGBgW+K6U2TxfqJ060XSMf
lTt0rncH8qRnlYfUumumVE9fNuKFBRfEnloDhdDuzl2R+IALs+m1s1OnM5exuDD1bsd3gcB8HV+y
cpm9b17rdtVZdGEzuknmKnM00nDy3FmxeFWobKi1odsQkVX6Zoog0NoIG7HEgKUEkM9cLvS6kMWM
fXvxji7Qz/CL30IVHeNeVvWC4TBWTaaXEuehn0iN1c9zhDYu2i9k0oTxqL1WerR5aZDXYwSwToXs
vps7ig8gLGn9AA2inNdqp8mWeYWKSebg6uyEOdhTBslFvpn9w4RtIUeY0llAprx20I4nkVIgDjn3
0XBbLuJWiA44WTrMgAytgykdPfRvutoma435LbJcqTe7hGT4qBWsDGfopR7MZzLW+524fm6Cqivy
BYTtH9rIN9uLseao+Dc0+hjcXBnjwIH5CifArPaTxYzgBh//vjz3a4WcqiEKEJPS4d7vRgF2b9z/
q0KCVFk4mnQvfG86uRc0pg+NC2QdRaF8CApXI0mbTMjxSVEKSnT/cAG/lrf3C0AoQIsbwHeqhBSF
fr2A0lvBjeA1+V59XEDzoTxpqgiuwwkAES7MP275/9Mc/okG6vg2j/f/zXO47aiM/Z/0a9WN1PC/
t2M5rhfv//Nf9scP/gQ6RFhekSkzqTCjaqUvCNHNn4x10/1v1DYU2PdGGb5Qg/6TsR79N3VpaAKu
T0sLVX+eM5Xbsfif/3I9oA64HgT8GOItdvr/BOrgBr+JfkLmMq3HMB2QRoYucIdfZxT0dzn4S2Bf
U0J18+1UDjnCmxTfegx2hhtjdKODbAJSqROU4z6mlW77bNi1b+0FkDNZEOM649oPNKE1xxxtfBJ0
23DT5e2ZXlh9iTg7SMGO+FeANdCXQQelsT03rsYyZLtwG/+Jo/dCWioaWc47YZws8g6Y94k+8Qes
s/l91tHu+xKM2JQ5J9FHWcJ1L9g45ueqLG58p1GXtKeC2u6zh3nr76BvpwHjGLvs4WfOuE5MqZ2y
SO1fsgkBAKwoqOX9u/YssEcCd4NmUiJRTrveQD7MDzMITyrv3wrDL+O+HgyUgILQydy2k7cT49rc
PlEUa//AXE+wTFY4y0MSh3t4p6oVbVxeAXm0R+dYB02YSE+qs9P4fH5jEd+tPYiMNozOK11cj0EO
DLOx8HqXWD+zFLLr0b03nfNR3CmkOUk/VNuhocsg1tD5Y5cl9MDi7qR5aYC9b/QCvLUeLqsyuEFX
ncWW0zySm54PYxacEI2fJWpK7MH2DrQIkKvr5GZqZ+aJzIuVeMX66o0T1ojjfhMQqlCEYjtdI8lI
lGf4hzrUb/TRpuDCm0t2z/JKKlZtx14O3RZA4arl0dt6MiAVPhYl6kVUav45yqLLcd39ciqaTksA
Ca+rU1KQMrV3GDqakhwcqI6YTEZg5UCH210hngMht4sBW2JK3DPCr8XywKoaazospgtOFPKcF2LM
olG6gvl3D5ElvshFuld4uF/gC0Q/o0fZXQ8KvXmdnwpHB3FEVQlFgnGoRP/cDf5ruGzXwp6JlSbf
PRr/y96ZLMeNpFn3iZAGOBzTFgggJgZnUqI2MEqUMM+zP32fyKz6K6WqzrT6171ps+qUGFQAcHzD
vefWGRp13Ml7p63elZV/IcVc7q9M9GAhMSXUvVw7dcL7LiHx7egcrR33xHM5rL69cEu4fcL2K2+i
KSm2QCQxBkpiL2Z0CYEcyJQxRuvYidz4skllBEU/nFet+ErK0RquLBCIA8u3A0krVaBU7QLB4l7I
AInsnKTFDq8klRdMz0Av+f8VRv8Z01GFPWuNd3Y9EL/MfHxvUOqEDV7lyKZBimIzf+mFnVxqPa0i
0/2aUM+eVvR0gdXa2jMdYjUEoLPlzimzDMdv4QZY3aBqF+m2bzOvf9ZrwruhFxePynHljo3DZRj7
MnLzYqG6T+1IoW/YWUJ3wnqlzB2Fpt9ndq9CXRUV6143xW0KKY+dMHR3J7ePhujjIEN0fxAiAc05
izO6hGmHh759gUbHt+jGRNvJ3AnsxFt21gJSTrcaRm9Wrr8QeIK8FK0zTy7BrmNKUIs3KUQBqqif
UH9tIOYm/WSgmGB1bdskGSxakYYY4RYYaRXj1rIuQvAnRcSvOt0woDL5g9oNu0ywm7irNFngMWCo
mNdueZw7J6HgnLWdo/g+WzVYBwdcrZ+Z+o+VhfVuRRZ6wiEFs9sen3QYW0xgbNbyDuil3nq0Y9Z2
iw6PPAWL66uFabmUK0OOzvs2jeVjtq33sTHdlyiGr2tCY79l2vdKqi0qWfv1o8OqjT8/ODWbko2U
GHb/ETmwpGzj8dpt8Tz41wAuRirZe4e6xE9c9TSwdzw4M6UzLRXzJHcaAwSYWyiyRpBM3XFL0X1e
KC+iqRLvXmfSLANBY9w8WE8xls2gcrxwIuJA51Hbr7L7Pg8lSwm1xbdWf12EloZxit2SZW0pZjKg
6GuZTbZXybV7SE39juDYL7ZNll0i8+Ngra8uylbiHuwxKDfTPk6kOj+T+/WJjCcyoFvnu50uRJ7i
mQuWpHwWxnR25MgU3RWnrCG8wwLafynhJIMIvC/TGJkMvgKsrd2PvqcRIWE19i01gd5ngLRDQk4a
/TKWN1tJlY0Y2WViHnuHMqfxNdMv0H+9Z+Quh4aA5zP8dvYcYuui0S3By7t8Yq3Uc8cI4H4o7Juc
YQVuRebs2Jd4no2kZAxpMcWprKe2gIhvj1123jo64r5DtTKbGhiLSeCs4vWSVp39VhbrZ1yW08HZ
nI9mYpVGjnQaTWJc8LStWkSe9VV2N3t3Yznf6wl54Z2U1198uRDSFAejJUDUxY9NrsjsYSO7dhk2
dlsSq51qnyaPTT69/YcJHYOzcJqOLkZLzpqM6W4c2wfO3+yUgqLd03vW4eISvTv1boXARZj7TJlW
lDiLGYmyNQMmtcY+cfJPJK1YbIrd520czgMpXX6rJT9MDSlEWZdxhM5c+bK1jcgCzhnSsuknJDIC
yh5vcsWpGiEbh0XtMvarCWQb6vFFYl9mC524GuOsAzlYGdDHFfRws7yOMX5iHkX21DmrJO6+yr2L
ka1DZXTIZrk+ZE1eMdg8dKKBlhg4rS3iF3NasMexCdx62CmhNTSc3vj3VYs9w69FbD3SFjp2/4bx
slb1CQABo4SAzozG0q/zErMajre2V31/+b/y+vdS+G/Ka7oY9y/L60/Z8K3BsfdTftE//tY/Ufv2
b66OVtuw/lVA/6O29sRv4MpsdJQ0xBJ39J9qa+c3pNcgdgz+CzpTk1/jn7W1+A1ztYPU3paQ/BDE
/ze1NR/xJ+UsPRq+iasrm46Nut/+VeCN6JvlmpXaZy9p+kNfGeu9ZdT9QW1boYKxH6y/0Qb/pw9E
PavDIbR0uuhfulNI9aLFbgi6wkIOYcykrStvWu/tkrFrsg3G3/gFfm5G//gHAtDg+0KuCtDhF9iI
l9uYJuErnR1CNd9zjw8wr+XQABBm/6fW6v4P+euf8UjXvvZfotjfP4pLzbW26KWQxPzyT+vTJU2m
wpBnBKTWe+bk/cEiRLJl9JEYt6NS3qtT5MZtH1vr419/9H/4V3InWdwNro63/lel8NIVAEG0Xp4H
kZOK7aL39rHswkLH3P23qA/j3/+h3IGGh+gYWRUqHf77nzwY6DaGylkzeWZjygc5RF3OPsusMqMw
d4iNqc28TU9gnAZ0mT3iis/SaMqUkEbIvrqovf9K4H795m2sCgjbXcOxaWB/mTiwhWBYnsTy7C6A
qQKPDmTPvo7/8//3WQZMmCuxE2ThryydJDf1MoWlCWhtwRwuteHDGav1ccpF+/bXV/X6Pf58Q9k6
cA5pWXgwXN36pe3NRqjFdjPJ8xynPwZB7N0kKu1vyAz/fuvwITY9P98hOdTXecKfL6Y+52j0RClB
/Q7NOXeZrtGFthqMuwIW51//i34xlPxxpejjDQZqGHhwCfz8adTKBuwswzznIiuqHe+w5mzEGpKm
ksrwze0K6x1LBg8ps93HjUL8iHzCPP7Nr/Hvd7CNm+U6tuBRleLXG4bMaEFNUcjzCpsMmH9tYBOJ
PfemhVIR6KyW8Z0VgvStDXOwsfv94bWu+BdOkP7w17/Nf7oCklk0eCyuNMLBn7+TgrHDSnozDy+e
4EdmLou/ED99li0Ipv/+o2wbs5jh8GoRv95Ra+v2TY9J6pyh9HnEVM8jq5UrR71rcyX++sN+Puo5
vuGSeLrjSd4szr/fvm06NmXXtdop3jA0k8LQt2+1WRLHsrjr/cz+x/2be9n4+Qi+fiScNkfnFczd
LPHX/PxVtiRDCORW3glxSbZnR6SV+P6G9dEmRuoxG2Kuqwlj7j51c/FMUJgXVutItJRWt8jhMrs7
MBzoD7+fIKMsrt0BC0nlx6lGJFJmNH/3JcET5nf611Nu8eJ3OE25ET0dJQCvxp9/5xqtgVwrUNb0
3lVEY6+iJrMpqY0B8QeG6g1tYVnmPVL8Jm83OzT4YQ99r5WEr+aoUfy4irmQWCjGD8W6+AOpObeu
lyqeKwF3Kd1dV7Uzvs+F7spIPPneAbp5JEClP+g5fw2luomTjL+3G3JhHheB/nFEQHqGhW6eekwT
mr9h5Lkn94VcaYZ13uuoUi0PUi/uDDa5Fj+a6TJNUeWldhGUfYb8JsE8TFRY3fEZbEjONnre+65z
daZeM3p1bHotfuOUvoA5m9G+gYkb1V6LlWeDbTebMyKqqt+xl6rTU0FL8lFgsURtUov2BFN1e8SN
tN5rYiQQgqCfJPtisPJXNH3U02hFGfS/dmXDvYfC5r1AIcKcIxfW+2Z4w8eA5Jk39Dxb77ijxbdW
xdhqOqd77G341tbCBAKZMjoZzl8G/+Rx8IYxNsN41syOh3RFzinjQgvMVfKNxln8ukmR7WP85B89
wgOQ9IKAbUyi5CsssfM4DIl6FbM1fLSe5DpV9uK9IrAcPgo8PcK3gaOEakBjF7hb771O7cafYsNo
Hj14QCxCgV89q5HvTU466sDf33IY79yIMSmLsq3C5H6FYhLrQNA6dzYMBCTGVb0p55ReCxMNpf99
0lXeDd6i9RH0oL2G6HYIULDq0rgFvcNdU2Bie3dsqED+luctQ6LmKtWf9dixT+31vNTYdAz7Qc5d
uRdIqjridRxmKf3Ie9FuUp6/Rk82sihRp9+mWlVyKa1qpP1tGLoSzyR534wFiXbEE5vcyzNJba+D
HvNj3ZGI7ZXglvvWQKjlQ4i6wuuYBRHuyt7PDFozURdFD5ewY62sd6LZrXc7JfPWHwD5lDsAU/0T
al1xUGpJnJ1IbPmlJq342VXZdmGHU+66YW3IbdBKw42MTO9PxMqy5ybMgZ9SriyFa9VMO32I7ecS
RhYMCuJjSROCcnoL2Vo/VxIYK6tqj0EYnV2wWiDkN8LEnwswriEZjW17KtiJURnZBWsqfagfxnZg
h53HU/W9Yb/8w5WqOVrCmW7xgk11sKFBwllRcDIFquTgWnRmmQyTtvazXTKWiwZrs7+tyjF2UH1I
xCIuMol0ljIYeqY22xk54m5cGc0tGi9CsQkuT78kEBiYVo/thcxLe9/VW3wmRsPp9iw/7bc2Ixhw
q1v1xca3faLnZMW8LlJ9qcuuCC1LqGAwkLTt3Niag6JY6i85xu8R9RO5vgWKpv21GEVttXYDY5u+
0sKOGpClMraPyiUNgoMJuhtCl8epIEiE1T22pD4dos2atu9oE5aQNGLtgQlw9TkrZtL2NiZNhEQi
02Oj5ztF/+6MBCu6mdJ2WPKY2829ESGw4we52q1cU53j34xZXxe9mRo72wHaMRJFDNra8uHWuOgq
ufLtckOl6x6EaWzWrs5mODRxzAexDYh3ckrSowuVJCjHIb3y97WQuPrppS1s5A7QXCIGhmjnU/1b
6QzNZ6/MhJ95xhoNGnNB9Lo6UP6xeuCtpIhQ5Xi/sWUHGjXRuaJg1vObhsC+e32c0IoNIze1ZlOR
vW8sqm81wdDfHwY6hrBpR5GfbTgK6OVNxg0Bp+2IZgSdZdAoz3hm7M8tqzPyBR2K7jR0p9XSMdCn
K2IJjLKovJ24VEydCbWODbneYxHTAmcr+8M4eLyP3cmK8TiAJjg3fXn9aUAehn2RjRxBnMYUZm3D
abvSR2EroYSzZ2U8z628qpRTqzvIVebrwTKK9q1tuW0DpMB4kwrGLW+ClQT1XDotDP4b0jB8mFNt
9QXoiNv+2NpZ+gOqpDgsnXFAkyiX75XLzBr9imZ9IgzUO/apNxxQmRN1WyO9nfBj5OlXRCrvOZrG
0JLZlcKwcXx8LhXgnyeiERrzAM/NvWV3ghobaUbIxI7EEc1WEZr09kV5CTp4tlDLy2z11SOpWT9E
qT6vQhp3BcroA+eqA8DV65ltT634SGBWfqgsW54SZLktCTsaQztmlx5mHWdBX59mxXZdyTgn2yKe
k6krmo1gsDnHg2IakuVAYKd+ll2zXRAKm482JlZ8nVUxEQ/HVUC/y0LuVauZ94SrMZaXte/lnYLh
eNcZcnqsMhcCU2MM38BJlWEzAl9sPHtGFt8y3LVikdkoZcwswAeLQmdSIGCqruS4wA2xyytXnrZl
/hq32vK0jEnxYEyTfunxoHwp8LOwUilT72rMIsC128zk1iM/6tKvlnnSvIX9Tjonw7vIlvaM39YL
CeWYzvCKtNiX41D1e4MjL2JaNzGXNBAxA0+KnTWCvmI+20XbgkMy1VObpfGNvk3qgbg/eGNkUrxN
5dhNoT4MMjuhYF+twEVAbvtuDAHg1l71pd176TQc6HK1mxx7wAuwIxYRGiP+2kciqcMt4ea5XXjD
/zBQSl8mVlX7lRfhuc6Hqty1XhoPPuFs5jHlcNsX6D6yoKWyQME2O/NDInBAMVoDssl9ieqlWEcE
OFtp3ayZ4Bg19c0bgQ/M9bITVT/FsHuw3IxoBNEpeJ3hhm7pSA5EY/neoOmLI8KAFGmliTxKiaPR
LG11GCYnexwwq76g8x9eiRGS4QxcJlCo933c/ZJNWpoa/qpyB+7M4mQBkYHpByYp3kMjsNYg1uas
3CGaprJW9Cl1qRwknE2c3bHvWF/0ftEu+N3MhEUA2SOuZiJLq9vaisAbWyikReYN+4l790cMw/5T
65rjN0hrzsdiw6yNdHSiZCiVMGcYOpZIAeGcNz8IEO1Q3qRqYzg8tj9QaiT3Q14hOFHZMJ7MZSV5
umlq3KVr1iEuc3ryGXk732nlkofiyvjcATLzTonaiDEj7ZfhsTXJ0T0XCGtAwDvz59TeGlS3icrv
dCd2dLSddXlXeyU73xov/UOqmVw1wOQGAUotiM3pdU1JlJJ/dLD/JzX4u1ko3TKN6/8uNXj+XuOb
HL5//7POwPzjb/1zFkq2KA3udaRBw/P/NAae/psJRcOxBeOba2YD3fo/NAam/ZsNZIMxLB50Ax8v
zdM/5qCm/A1t0zXh3XMt1/wv56DS+ZlPaV3J0KQRgA8wIAx6DNJ+bsMcmDVaulj1EeApR8Z+duIk
n5EAL6TsjRWjJx+DsFhuRrFtQTV0284YVnMPd885gLPPMIrFA5QkaBq3Qyft57XQixDaMzEPiT1A
be/NsErs9TODsa7bbaZlvntJbRxFq5fB5PEQdpCQQ+5vsv3a8QgANtlbWZ1g3Sk6HvkiZeU6Tvtt
pn2iqwQgpLx1iKwUeV1Zu0Xp50Q6y7Zz31H7VEeKAEXYmB1N2FJ2VAZ6MOPcuCNQxT3UuHOeRWrO
GeZNOSbIAO3mc2pM3V7Mmjpx5KFaToRtfyXiukXwViGL9SuEB5emRyFW5KN7s+ZKf5yWXuzq0nmY
J8O7kBHV7dwqSb6UKW5TD23+QTm8BIqsi/0Y1fu+d0hNWzKClnpze2jaxjn2NZl1tsZbU02zcVdf
T4S6IJVrLe41l5hGBMIFZPQF4NdV0jsVnfXU6ya7oE7qGBGkBLu2DsdpUBr+P2WcJGmpp3Ko27AQ
HandhDjT3urNpbNhYoedq5FevyzTs5G1MkR84tyQJ2DtZWtUkUBDyE8d1EM7i+HiZLzWikk8M6xZ
v23FZIfDAqY0dorhQaF99xe4ppE9NZCa2nV7lFnufJ0o4dt6+4L0dEAyYuaHaUaSQfccv85u1kR5
HtsfDB6K7TJtIr8kpB74JbqRNFhZ/4ZuxVIPPiDKR2RrUWcjygU5LEKAQIIVFC1eT5P4FVfH8iNZ
Ni9S1z04QVhXxwB4F/hby8AuMW9fUtzr6Iib7V1DQsabTVn6BbTRfAa+z8qr0rnImZe2YZu4QGhF
7O5SVbinmDCqOyZ3zaVcjBdgxy2RbqbsDi75jw9r0xFeW5vzHe9Aj4oms9EsExLZB5mhVc5h0qZs
i7CbKtwmyBZ5sU3rciJlOoKvDBFQrRCPU9m6gTA6KruuEdWV95fTsgCT9AV9bh2Ugu09SJdZ7PKO
Xm4gyMQHBVDda5p18Kyu8FNYaJfeFu9Mnpz4psO2k55bo/xkgxqHCmvtY801tCMuCcDz+5I9f+H4
s7fU3jcFqCwLE0Bzd2peh/thEm71zavNWN3IesLmME4vVrua971LoMYUsqV+lvGQh1SFRpiUGCyX
xhEVTuuh3HYtafOPLey6fAmybU6QttC3vAgsBwVhc3pBMP2utoEPn2osPIO2q6xc6HcclHzvFW7S
KCbAz+7DJon1N4WkE+wF68vbbnMq5xMjY9H1IU2g8VCv3hR/5FS9gZWR3MgJ56eG1OCVT80Td65V
+C7yGhrDXhpFsM4lUw999PKvDgWpdnDrWaf7bErGPCQ+klo3wxTH/LqmRJEvSeW9EmBmvRcGs11a
ejKF2duOdBQ1StP7enTkxybNsdiLeCX2nSgbp97NWuZRnxhxTHFoAQTwVZnQSFSrbjzTukMhx55F
rjPlXIZuUvKJf8wChDewmK4Stvsgq7yasEV3E40dQGpMzfEMbNbSd00zs6p2VhSgOrLgu3W21wht
Kv9TL+fc7y2+Y/yX8fZcQgQ490TN9b+n1+kB+vAFKpxpX2pPdsci83juVyveWUUpYXlPJknFhkj3
tTO7+wYbx30tyhuVgFJA22s1N2tqpecYBUAEIxA6WCkBPxHnnqHfmTAnENBri5Pr9HtLq/Prs8pC
10jsLATmYGoREYD6E47RPLTFgNLGXOCD2Fpd3zrp1Dy6swMU2+7mNyuPBTZN0ztvIHd8AGPGDjNS
sh/7UaFxVxOqnQrl/jco6195R/W3jN+Jj3Yw/mVzhjNF6J3+lCgjjogmdV9Q0Q0Pkox2Xg51eSzx
kd81RHBEpbbpp7nW429K2Nb9htV2cOzkyNEZH8Ds65/J28t2+JHdNzCSwJPHWLSH3OrWs0Po7UUy
pPWTbi12SHLzLyl99cnqGtzdyRqNWo1fZdRVHow05a2P6wzexBare9vLc4xO3n7AawCUuBmPmz1P
exzaSNnmyur8HM5BgE1sDpaySe+QwOJI7VfhnjOTI94TJipitHH+wuc/rUzbfWFkV/thnN63W4JI
Q6VFKHMv2YOTv07LipkWdJEpR6OSn4GxMmCBode+z8wpLrTsxnfGFk3EHs8MCyM2DvbQmZ+0lc8T
Hhau1hiSKM9ajGpwsm4LfeleJ57DywTi494iWeAG/jhemLTOce6u4L5NHBxFY6nAQqB4KNX8BXdO
dsMgLP0UE/h6i2OaoR82byqB6poMS+uDf9PUbweS4sYg48m/txjg7aGE9e+uU6O7sws0b2p8YGO7
4oTBOnOsvMF7uEIez0ZeNF+B/cI+WCsGAijdjqmefIr72gb7WukUDyjhNG0zQ+ajCE50Q/u81rEe
SiyF9A2Zfja14Rr53SfddSbXArFIZe7TmL5oQB0gPg/JMFDeryHifBw382p7BLroDoYEjMBXKSK9
EgMglDB43H4PENf/yBMHIDsTLhxn1ru4zlNXmTIOdvScqSBxP1jtESgBdX0yIZYmvPKSKkvS58He
2uzh96L1/+r7v6nvBVR29ov/e31/weP1HePF+5/r+3/8rX/W995vzNQo7S0UCgbSe6r1f2odnN9Q
giMfdm3dRAxh81n/0hEjcrgKj5nYslP+s47YROtAlBxpBbp7NQ1Z/43WgXQsPuXPuxZUXyyiyPIB
XoWuFnXDz0W+yQGDj6HWz7WuNWk3BYa0NWYTdXzIRiZdYcE7rPE3c277iLscm7vdjub3dWW6B5EX
TRBBNsNlRdfnNX5n5uoTxHQpXw0PKOiOYcPXxBXJS0UMOLpB2/o0SzkSjJuM94xfOHCzJqeiYTLu
XJKF/xjwzvLavYbL+dADnj47+UoU+mo9lP1oftUWGW9npvxEF8O8GW/m3JP1i1nEk3MzKOBHCATt
Zbo+8+b0kasNqo7AyRTbDShE0nzVNiw7lrsYoKiWA3R309uSW0u6+tNcaZfCzCzld33ltFHBtX1C
EYrs0BR1U4QtC40XA+6KD4S4VkGf5bN9lDbLC6dvuicbjOlxcLDQiTX/KDtvCzMnQ/yoE2yJlEyI
PZve542gt3sbJkl+4I+Yl83J42oH/ys74PIaoS2wLQ5HQ3snVBdLmY4b+9gPUJNU7ZkhQHUP75KL
TV2BdrZCxdr90dBL64K8lXz0cXIMWPEeC5lRUVoreNZP7TX0tB834R77eDS1HWwdqzyXw3VW6fRx
/nle+jTU2FcHuMxQAvft7HfTWp9srynPuNX4LqdqyXxhD/GVebwtZ/xMiRvg8EtDRIHqsasTmen7
mCXVAa7SNUxjW3yEcYctX1S9o24hulfGV5wuQrYD9i3xuQVIUfm8y9Szx2BR+mPCUOeAl9ctXzPq
y/oFFDq74nCqJeMNhN6lNwx7MeWM1o9pwhKKNVBpZcY7ib2M/QunNHzLKlloDjIQIGVulRXjsSae
OiQT1zhms3p009gOPTgWDO6bJWdbgVNMNnSPQLJHaMTj4MKP00wss5ZYwlLFMzxXcntrzXkm+ZAa
FdLw1F+sDcetYtDpZM2t7BTTX6uggKriE7HYUW0XwwtWuIfVvJZLfEyUKCSh1by9GYQWRI6TxVE8
b0+ohIcjC4I0VJCdb7pK049QoYpojDtxIn9x9OnHhxBof+5XEhGgnMomWtwmO2vlpo56x6MpIGa8
eJv4ApML9xcgziu9TAvkmM8R1ptxPFmmiaAzW76yAi9PfSaTcwc0Y6cUr0S4FvtG8/DLt1MkMYkX
hdbtMqAJcHQ1sulbxsyEM6ffUY9/hu6bU+Wz87E7nRRhglXdQJcodr1pS65pBSg1sw1KT66exkwj
3Rtzpj8LKw4km9h7fvv8nGOwZoq2ju3RMM3pO0gMMnFSky+Hh+3AWBHRNJ6AOlHjoem6Y71g3TTL
x8LNbijl9vQdepAL9Yw4FQLD4J1g7T7izD7WqrqyobYwyfn2E7TB7ixfAOnt3W295EJbgfRPawQr
bAxnuPJYOeWrbUKmW+pq2MGX/15KvfdFjaU7LwlfIpbv4kJwC7zRHvxutDgEM/ciiRuCnXAd3IHt
9OGIygdsZDV79b4OHOAx3FvtcKUksG0SAypuLfWmg9uX35RDWdAJ3TvZHJenCSySv6IEv029kUbZ
NdMdT4XxAK7yYc6HUAPC5aqmvl1dmb+X19OsmGIHvUo+aOe2FfIxE519YlOSBlywPkJs7705HSwK
kjRZa6w/0rEyDpS7UzCw4vQROG2BpSH/n2AIhAPH+sNootVMlO0di9x5jO3+YZlHPeKYcM84PxYn
QFY7fuJcwZzMmAhalDliHhMTzJOxGPewDaxIb7rpFrJb+ogXwWNqrj+qXht3Mq/eBta8Qe5Nd9ta
kUSKG3bNW8dX9fBI3iGnC1a2eNLzKDcLosq0Rr6nMruF+MXboYuD9YrcyPLxGWm4HYlKxU9LgdBW
66DfwxZ7IWX9xUo8Njna/D4o77OdiKOYMCS0xtRGVVniSxFLNCz9sbFzCskcA2PeyVthJN2elPNv
wHus0ALLcNBH8dwy5uAGLho605QMKatb9NvUMB8nr70ph/TVLuCxsTOBaXSFWQ1taGveF+ktEHyk
Be+Cs7TV3HuckPshy9fHlUtX+e2cEL5gK/cPrEcJBWgHPJpHTUMULZz54mxzOHfFyaEij6y5u3Zx
uet3JHbATPMaWBpb6cI6nNQxbcYDCI3TnMECg5AH1tzT8HPMWsTLrAygTzv4lSUF5R9AEI3rxWZM
c283pcuHtJIA1J2+u5QTSjWWI03YEsjxtWVtAD9vYu6PhLheyhdDzoc6bi7QD3mx5h5Rs/34NONa
7zKn+sbO5kDV+5nMiKvRniZ0LYAdScvJzjOLfAOpZSTT2BXEuVjqFhAt2Yjkrrc7CBPG2QIKGG3Y
A/xhSsw3+oL20dSNooZyNNJ8uMWVU0G2132izWiRmz61YfAQlpAt9WEjsnRnGEZLxDgGa4E6O8gE
fZqHet2PTe0l1Zbr63lJdo2NpcW1bhfdESybyvpOTyB57MjflkmG/CWfHuscv4rH/OYEtO5Frnr7
VetnDcpWVU/kyKG7HhBtG0vvS9ls84H3rAjn0ftWafO9kbKvGOUyPkK4vV9qTQNPoz1UWzrdFWv2
aejNPpoIYzmB6vrkDrJ8XrFPC80YQ4N/HrCcsvvC8SoPi7HF71dCW8hmoj+aeBjBFc7p3gbi4rtu
WwQVa5wgG+Y3yDnsEHVXu2AHL15bb2T6MQ/uD3uykt1koTO3UrN8b1xne3IWlkvF5L6ZBSFBlVs5
r46jgFjFth4IB7NPndRwXhd92HtOWfmmSYopfQoPERcs983VLKLOJUQeK2wfJkxfwyr/aPviK8pM
B61VPX8yhxl7zpTeljpUhW3mlY2HyKjYY/eS2W7bS7/V+/I8KNUc8mmS1Ah1cjFEeWAuAo3Kctpw
mjymA5XAywP4bHqAJOAyX7W7T5ryDs24rc/zkMjI8DIvCzxVZECzxo+ucL9xOpcRbHxvN/Xx9IKn
6mzXprdvvX7DugIMJ25tXhCZB4tGmDMJXYLJm9bk4rY22SQ2wupwFIDYZCG+3VRy8Q5LY6w7J+2+
lUllBBMiT+OeVZvxxAE5AEibzBK3+e/wF1knQyQrWfDyGrT6DYqdeU5sfO4lteCrzogczJdbuitr
n818qlLTuCbf2V+R4zMXVCMLVqLI4emUFAwT37nwrr5fstwogOeTM0EiyTBV1KZAdm9JECHQ86f4
lKIGqag8gtTN5iTFi2BUS3rup8WJMFIn0L8oRI0LhVZQ1fNr76mjLZaPJrZRSbSO2lVju4ZTnNjH
mC0fQ0vLY+aj77lqJ7Kg0DVkM8CApqErltOXebyOkRTgkLpFCmCVUOf764ROK5pDKuvW32LmqPBg
y4M5Cukj2plPtb6EJB7c5mluvmTS7vdlazPhSOFE5mPKwMzxnjaVRuXc9Y/oKuReN76iM6BgyuMG
Vn/8YiR4QMpO7GJNmjsb8ckOgoHvznl8gnpVh05XHlTNfVf1UByAjRtBgwIuADq6c5EEcJxkFhgI
e/YHQBsuJI8vizfe2BT4ke7yFVde+7ICuQoRXgPyyuD62rAMcsOtdrQqObeHBtkzcVreiWVzbBr5
6C2V3NuJ+a2sp5em3aw7FvAPY0WfIsAuROtSSxgd2LeBDfkmOdkXDfZp1CtNvGKFGfwRPcHLymo5
EILpMvxdyVSoB9rRsJRMLQ0iU940N0WlXqquhZI0UNNlDBY+CmZmxuqoB5VxlxPx4G86yBB7deMX
xyhvOuact71knTt19Q+KXyQLgI0N7CrsDQC3rnK+W1lnRKqcqheg8tmuRB4SdbL2QikpdkTnsvXV
8hLkMIfLthRV5OlWd2u78VedpOCdV6z2PoW3+cAIV4s8GJ/BVjpUPUbr3eltfluv23Qr9Caomu46
7OqZaUt9uxW5d9IMiGTKbszAmWdopZ6z3KCG/GjoN0pDexOuek9aGD3GMN3Q5jIyzItoKdURC/oc
Kk3bl+kPze1A2diDfmMMeXvoiv4e9NG5XlOOx7RzUdJketS2tLez6M29Oc570VgGSK38jKiUF2iu
n/SCIaKTmr6ZqffVmb7FU/KVpBXun8Z8mMaL08QvzaxGn3Yq+aKBHA4mvD5jplSQmM7/sHcmy3Ej
WdZ+lX4BpGEezNp6EYg5gkEyOIncwCiRwugAHJMDePr+oFT2n8rqqvpr0Ys2602ayVJiSAwG/Pq5
53znjCb0xa+rdRME1Q4YaLUyY+BWUWRmK63UjbNt1/eZYjrT2NhQocJSe5X7sX7Jo4q82Kzd9Wij
kJvEOHMkZBH/XE4CCRa4TrB1+O2hWaj8+M8/rRxZ24rUtEosEwVY2UVHhMkRrwVZnGqTpoa4cGRB
7Bkr6hmIKDZ4xaCH36vF/TFoIy67zM13WarFTVibjZ5AsO7qVxMuWTgqnIENJLIn1S8RvCEZDkzV
+SHwknJnB6W9hc8Vn5Teu9um7B+nZobQUQW3gd9nd/QlGt8xifSnOUkx1tGKtjeLKT/2VTRtHWU3
jzYYC2DX5jt3+OwmL2HuRrF+O8/xEOKhjiFg04mHXu3csE61N3Iex51Ff906G7gtDZ6tbbvA82Fy
IOpbJb6w0rLXtERwqZIo8OzqUTOX6FxJCC62ez+EFGFtzKSIbl2jAwJaTF990WMhMb13Ly74jjHU
3pTkE/dNNh2cZoDPo4aLIRBGqzaBJJgHb4Gup2uJMo7hBBeYVjuwfpkr1yrny7eBIsXFJQtfEz+u
Qm1tqFwoA2ZYjWO2TWA+HpgbD54oM1ywYtjyuAKJFRQTb71TsoXBlJ0ASIOcjwlfw21BEPxGWmP2
CnggYJK29fyGo5pTCPtlfQF8cSpbkqsw/mzCxcSn+hw8ycD1ozJMeYI9pK9cvNH7NreNsFkos3nX
6qcul92xrazvcu5vJjgoq+VuYc7pxeDpvoGbJu6yhreRWOYqC8BYG0WhQk1pWHqqtFvnrBxPys7u
UhOILSV9N7HrwaLAecF8LcOx5se/JWlcGvouVugdBeVuxLKTadvnKV/K7/GXpd3nXNX3btXdTPXE
nmOK1nMMbTeCjZOZVhkKDReMYsFkRgVyDU2iejLyVKbYeZ9URbOZ8xr/yjgdFZ9UiGs0Mup9xzPS
MZo1A+DXwcu+pp5z8G15h0V6PKRgX9dcIU88op/raCi3dj9uuGrxk0yHGkiJFuM6BsrLbPTmzl82
fMHMoWtj4m8gK0+ZdvCzfjMPuIOlNErcOslcvkhbQzZRSvmE94xHnp1XE54f/6Kh2+Su4ublqzDG
xrfuNJ11BxQ2FIG1EaXqmPjsoxy7/Fp2VXCfQWfle+Ts4MiTaxyt+ck37DtvDrr1WBuATlp927WO
t7IbPM20gjnaGmvXtOKCkz0CKfr0DXlpZ/NEacs7tUTbunjvDLFD4f7eDBNLMz+dNqXBCoMlyFpm
ZWjgf1zPcvhedw22Zy1/S6ic2EgbYnhLkCI3cSEWs79Yktk9UDGJFpAY9Evz1HqDgXYH3gggWts3
Ltti3fZuRQ9cV2Omr+FLwgJVA5fyATgPv4mTvB5ytox6LcEJjQu+tPNWSronoECnRndCNxsFgxgA
1S0qTnzkyHJgSRme5ISeZH/WqplkaWsWAVxMuzmkhYzufJ5qHZV8RuMQWk1wiK9GJvLukfpE0WLd
bDW2uFqumtAyEqQ2rFR8CoU0+3Sb2YEhgZbyPXKiGs2hZ5N07glif23z0cu7M1uNFsXif8aPs/us
Lu/is/33ZRHwjeGC51zS/cevv2x//3X8Wa3fu/dffrH5kRe87z+b6frZ4j77j3/nC/38nf+///Mn
gOOfKPEGpcGEcP6+Es+/pYnTX3T4n3/mDx1e/83Hx0LbOhL3YrbBy/JTh/ed39j94qaBEmO5FHXw
v/7w2uDI+cNbgyMHPd6lzoftFHvkf0V2p2P8V9UdFA03Cr6YTtzPJjTGC/05YhRAv/axezPm+vGr
Ygu2gmRVbQjtfaGN64Gb5L7Ue/nFF8aXSSkDzOgETWEAyeD5zC3SPFgK6EJbgOcrDeUcgj4vds2k
A6/XJI1mQ0ClQDS46yrhjKt8phstLuo3iqr1q2bCrJ21rl9bdLCGtb90h2ols3zsXbMh9e8UNz36
z8SpVDxjO/BXK0tJieZomuuJ8/eoQ3SXg7idWpA+NZM90M9xUajnewd37rrykIXwpvSP2OioaJ3G
6JCkWNttzYD1YTk7ztcX18axYCpV7DxRJDednhqnDEdDqOtlesdQ1myAWMg7proNSMLnfgRRy1oP
4K3r7IU3vFdYOFYg1dS6sevxa1oG8SnHnb2ygpkS10K64JUVeqaND1sRsQmZdXD2W9ZHl40Wj2wz
Wqc5jsLI69/NYeJI6SgrDZhVRYohP5tLEpldGW94V1cq8cqrkO22Kyb6YLXbiMDJBiL6uK+tgGph
rzKuQW0WX7rBqV+cIduyVr+fjU5cc+5k57Tw+chnvofpg4zeTYNjHxiDjxFJljL/0s9Veo+uZR8s
6r9CQJjj4o0eGoROLXrAf+uc7JzYAgQ5pwE04sozMLT00mBV+EKZWPtBUDZ4JkCDNlJVvVq7BLnP
yRAI/Dm5fZB94d97CqoIDDH8BcT+nX1n+fWrh0HHDTOKvp7LnGoEB7criUHSD3Y568hxHOo5PM66
OXuSsGqdWgbfvMBktZ/0EEpbsyaH3UZ4f+ZKL49Sm3uAsT4tqdSoLTOnUYE914GoAQW14MOALH7z
MFe56zGK8eeYpEUys6gesKpTYCjS6sHIF5O1OxItUVlwjpmC3mhIJ/7AcisFqMhzHJ6ZNm46nWTE
5Azppe/yGCwNiY9Nm2L+nBXLCAtQNlWz6TCtGzbM75IWh+cpnfSvTe9ZBw3JOQvjtuO72tCAy1Vy
vOMbqIUDwi6itq7j666c8siFK915JiWZax3g3J1JBOjZ6aMp3ztE1sjtc1pfPdIj6YrLHGkSTFCn
tnI45q2J96H26awHK4Ihc0MqqNxMIFQWuEX9mvD526VEo7zVOJL2oPmFzBK+9uK5NkrKCKTdfqRy
Hna0SNafgOxAT/RVffvjb5YBr/S3eM748oVpevcxiaRlqeGwvwJ1cf97OkfrxPdCJPYREE7/2GIr
Dyu6v90wXf7hHfjs69Q73ZM3Cn5jEWXmwSHpAiHSqiYEm3bYZQxtdNDxk5Y53GFW2EAGrlGT6ZzS
UQUbn3XgrcJRnEBGyPqQLUHxjPppvqB3pdWmE7Z33zjYfquckJ8Bg4NoBJQ7M+7phIfGwVOvt8uj
hphbrMxI1VvQAd0HpeiA8/XKvSUAPJ1kZJjXCAvHVYEy2iCPAPnEIxW9Af2DCekIMIs0ZvKFBp9X
9KYy3xZxsrTlyWE3u1n1IGMJsLkgZPTj3RJKYBEieu2ja0clzI1u8Ema8emd2NmeDWCjIER9yJNr
qkjTFcDCGEYR4+Q885/U91/9xgYlA8kubLP50pbJhWHlrtfax0HGXCSd6q1M8YUI2rYC/8bs+ltd
xXfJoGN265K9yJrvjgpOARd5Ei5BWJredWytrYW217nzM3oaySR99M8uFbRMa86G6MjKrKcq9NlU
XjvOsR6PDK0hRmq4V7vOnqijNi4uO0goND4mSg8yhOEhMqRiuqRjsFZjtm4jUi6lF90ZnTbeGqPJ
nq6KGaqV76IrUuOGQDLYmwlUBlFnAnPDUNRhhyMzgXFvfJQxq0lpfspyqE4QautTNvcoj6YwDpbp
fGuMbl/6zj3HJGu3obduUe6iVy02v7SaD9WvYhNYtgJFBzOzmMphowkLLaWlintlNtyca9cFJw79
LhwwRnyIwUFYSkqgIYRmqFF6KAEAHwMv31loRJSKzLzBKVCLUfYR+MApP2O4eHInXH5egNlpnMRB
901rr3gIr3W/rzdjmXMFgI5fxxBONQjdUkd/HMnpnKdc944NP/i7bILy5wzRq25Au9Zg3WBZ/25N
ON1S3/tMzWWLqaT+5rlatTby/LFDZnifkLKpRgT7gvmcVVlfElqkvO4IP9WWVKojoo/WUOzjbLbY
Y/q6TRfzGpfkgxTtBzDfaKOX/nQZyRfWGyseoK2UnYk9vJyx4uEJJP9kuJeCZ/49P1bNBl+5cWdB
Ldqg25cIKr2W7fMS1IuNhWjVGmb9icyTb1iVHSZR5ShO9TurRYoyfAhS5CW/6NE80DS1SHumdHaa
23/Tbf0VB9pOnyQdHkY9oQTnKPcWxeygF7UbNtlPEdTKcCmuXWW4d7/44P6AFVnrDpzNGa5NvGFI
8D8AwQ5XYLDGUz7JZYZADWUD6XIp6yJwQAMGTGrnh+wp83oSSa3NhMs95bNr2GAGbOzZDbZw0AZt
2HKmqy1b/iNmPWszzZ1+Yd1e3Vu2Na7ZoDFZLckvVTf+pR5qQJ36VLwp06AZit7e0GHCWjV4Mtfw
VOg5EV2KhSEpQZ5GufDxFI5ZfB7GLjeOrRkZLJDa2b2Ygey3PklCNBo/fu7cUUMuoFYlh7kleRPx
LoEq0zZDngEvclC4e+wWOCDkosDbMywXZySiVmEOP9p0uW4iCbg0ojjoOZBpd1X5nGbkISV1OF1Q
ahf2786BSSEnX1LJTToW5C6UU9mbpBm/l8I0b+nz6Z5Uk6p9jV/gxZWYOrjl4cSegyRUHkxwza4p
PfbmQy6YwsQwaEe94gHGLVHu4aq3YY0dI0RXggSekuSIJBmRyS6+ei1KQttE6haGGHmZqGy2hMtg
q5sJKhccbGyazc1YZVsbzS0mcxgW/vyaNU1Vr7NyKBCM2NTNBiu1NGmpgLL1LqQLxN7N1XxDX9W0
ayqikyYk9C11ucPdvNCkc4JUnFyDfzspWTzIrFV738q1VwKjFwNE7yfrUgYQmr62Qe3G254uV4y6
LAoo503R/MndEUI2V4OvXzlBq1uA1P2qZmu9anVAs1Y97kY1xuuWXA4tj96FoAtGRt/PdlNp7OiL
IgrHfqMaqvgTlC7yIEfeICu2XPRtYjcYx2M6gHPGwBbR9Bqd01hebaR4ilL97DDN4C+jzGfFu6Z3
IDeIEs9XGm1y7q5eD8du2ACPKHDgg9HI4nvLhSLGR7hVMWtFRUc2wHzQms8xJR54MgLipSL0VDGN
h5H5dz47jCqQ4WORO5sJXjVMpEVWcXo60gpWQD2IT+GmaLotWbTpW5LD37eJ3UaVuec0fBmFfa/R
rrAVZdCHaGHqIfJmwN7T3F7izMG1DQH1hjapL3K2YArX7jUNKi2kSaW7JkFprgu8ibfSq52vhEsn
lvTl/NVoje5GCYTf1Bg+m3gy2WKZw40PcQmbiGcf7ZHbD1fv9i5QhXlW7HSuMaMK9LLeWtMF/EYZ
U7SSos/eCWyBRIX5gUEgio5CI+wVZzrtCbJlNTikKIS1n3BU1sVu7GxgGH7wGGjduHIAH8wWgzap
8g/sosPKlgLPKMbgorK/JYXZrqMuDY70tLvlBsmAoT+emu6rzhbvw8ud7KxUSe0fy7q95YJYarLg
QR/6QIfqOpDJzIcuP8wzxccMCfZ0tmmivycOOL+wti9u2kR84wIai01lyr5GqZqdE0C8as2a55sU
glNfk+LDG9zlmRV1HS3XKasAQ4c9zAJrY5rWeO2igH2OZVwtehluMWNRLcWuDEa8HYCjm2Y+aaDw
n91e9SdZW+V5LuA4hnLqitu8lJ4TLn2mX0vZQjOOsnTcCiPhKAB/78FRT7FprFQR+B8Izzw4htgx
rmkf+y9d49WvZO3LrzMSJdCsyLI1HvlEOcNeV+UjclS1cYzZP0VVV21bHowbCHuHlOKzFZD2lAN6
zi9p3KtXo4Mt4ErPolisBADXZBkGSpMXv5UxQwmMp4SLbxp0j8A2mzjaEOYsZ4qRmJ67eaLhDlc8
BtAWSnUj2+F70gqx96wu3TdS1Xua0T/zEXNHO0XY3a32nDc4xuq48a+u0Ic7tBL2y1kwr3MlmW4z
9uBOXPmbJrLSdRb40ZG/2BMXv2jtBUm11UgPHgq6Lpr/GT3nJv3WVG31vftVwfmhyvw/eed/kepj
4b9Ei/n7qs/Dglb9b1CuP//gT+kHlKsNNWpBAVlsN4Hz/Jf0Q3/vb0j/RD4clCHc27gz/7BgOr/B
oDLJUy05qsVm+YcSZEOb8h16ql1Y2e6PANYfytfd7xALRLPflbCfv/4zIYmai1+lIHggBhtjQDMu
+CAdDMlfpCCC75DtpQa33xjufccWePkaylKKOd94NVR+nVnuSixy2PmVzTN3mIIDoGOCSDjWMBK6
AvKOCYJBdj5cVZ3NC8zTMiwryiU9t0w2eRdf49ra2zlLHpDVRQh2+ln1+Z0yGeVytfj3ctATBjpp
GLV2sApECSjEznkKSLswH7oSTw6GIrzLViwuthraR/bklIh7nb3Grlx86HTecal/Qr/9btWdJJ7U
k1ifumtWuYsAjSjNzqwXVwrKezxJvjxNXkJtwihFvhvwWmGsKsfzpFzvIOJRbDLOj6PdRAESdW/R
bVLNLvkrXb80rmbSaUDF5XqgzZeLyIiPnBVmOe1nvdE3er00tDnSOeuNvy8K81rrGO8YDIwbkUNB
j2ibykiJLDEEc5MnSziZJu1tp5NK5gem2vil0dB9lKtVqmQYL+1PvFniNMNB2XqO5h1FhmQeVdh2
ehuz6GjGuFzGknBf6LTEzfNifpAOSU81Jc8B+IQnJRz3MBLgfC0NVuZJK4O1PlnQ5mtA7/oGH39K
QxNyuaGfBlrh54eysfK836Sq8rVvAMIx4a+qotfmbQ9Sr1kxy7cIZox7LJPsTnarzsmmq7RK/xLE
gY5X0mf5w05kkGonTHA9pueMOxZIDJCpgbo+irK7al6H2g24UiQdG+7WoucjTp0zGR08HEu92EbL
ZzbKiIuCXB25pYuGR6zW1tQ4kavbVb+z9qqf6D28UQuJjy+0cPlqHEBQ+oi5dQuzb+H3NfMPll/Q
VumC9oOt32TqPupysSslLpSY6M+MJ2dLraTezztsiE13DVi7TO4Tq8NWf9CGyYUOqAVZIQK0A9GP
5pY4gD9izc9dOgPHG8o6plqS6o1K/M2FbrxUxMnuFVq+AONRSgoaUtAQYa7FI0gbB1Ax3V2gcEgp
ac9J7qT52pzpSll1rqA/14C9tSoD+eHM8VJsJs3oWhaJVoc8SSQhjrxOniOnzMVFyya8BKKeWE0O
yh3Ik3iK9ZJMqhIBqCyPE7CufVWCt01nz4pDbkPTQxMlQEsttv0veVoQGXKka73JxGaQikV8uxQ/
3roy9TfdUFM7lxil2vEX0G9mvXUIVUqd+2sx71PIFXfIqOUz5FImW4+gPHxHChbIeeDLOZjk7Q4J
XZEHv/Y0tXLazoPk2OFsNfAbzQQfSo+3HB7sKnOsbloZ1JzBMG67az945Z3063jnSdwaxuDcwtWI
H6OiHk+YN1GGJYPp7xCw/wsk/JM1CGdHwOnw9w/Ey6f6t/27qFseEZ+/hBJ+/5M/T0RP/801QAAt
cYQlwfxzEeKZvzmOZ1J77qOm/wo2d36zWFU4RIs5XBdM2Z+PQ/YY/HZSDsteRLf+lc3Ir3w3IsfL
hd4i3AztCHDfX1u0WXuOMZvxGVmCJa81u6zA3fj5T9+U/+bMXZYrf8ZL/XiRwF92Ofw73WCJRPwJ
1tchDtTEned9TwYWwb6l6sUbvLDO7W7zj1/qr3ue5aUQ5HnK2fAPnb9i2isRjTIDtrMfGUtRwGlo
ZEwH8l1xYhVx2u0FZp3dODv2CnNk9U9e/m++nax6+aaCPzQM3rS/wr8wn/qOcrm9Z6V6NElI+vTP
/ON/ISPSr9/M5SUceJGwulz/b1hdMLemXo8MCd9EPcLBeG4Dowp7+GcrfZaf//jFAPP87cvZMD6Z
42wWpcxOv753VixtwiFti6RmyWPMFRksfaAJ2jIjcSywdNuRkkQ/YtnpaFCYWUCOBDPVKHkDNKvF
+bTyoE+SBs38/IDXLRBAnIYAq0FRIKTy2IcqbEqjViuRBCvucRiFwTd8NTNIu0PbfS/thb209Es9
45yoQ20KyOHiP7UuiaTxmVANoBsKlJ6nLGrOKdygJUruNcnaBqT36FLI9ZJOHmQP0Vj34H2cWwdu
xdWFmbIabLxqfdzFl34oKbQVUHcIoMoVjVgSaX9GoPHjG4wdw9ZCnre94lql9jcsw/eUaAv2Wz6k
d318i2ED8xKZu9FguNBnStg7r2e4HtLhTlUaa0p31CcAGbrTs+QWkprGNqdqNrYp+o2qlHsZcXFS
7O5GRzO2nj3NiI60QRNba3GZp8PwaeFqfhxBwq4nI8suM9V1jx0Q47CH249kQNs5aV18ohGR97SI
Npk+Jjfke4HjoL1EPgkSJ9bdfKMwg08hie04OHTYIkaSQV7wKEmbrhPfobnAT71zrWcZaaWa6OG2
hP/iPtmlp70k+dDcMvHydfxxNB8rgxA3q5V+r1sOIiurBcG7uuRThWxuqgIKlYnUuxVwrtEPZHYn
q0WXUKWxGabe3EIP0Z+pevGxpcoRY0Zq9q99qhOlCEn7nrXZix/TRM5QXqBl/f0y3noumzsw3+eI
oM/vhbw2Ps39MuPdGKPl7kXJz8KPVt6+KynwEdZrkjcOfh6u1lSQW+PebtPgXnfjbEfSsLn5UdHb
k6k22366+WtNL+N2DNXEpUfYGJ101/xXVy+MFPcu9dotRZCo7BFLArZo8VvW5wm+d+dlHOIjBWkk
Gmt1X0/5E9bWGMI//Q42JtBTR64SiQ7deuhjda9FytiZVqrvDb0uKMnu7ANUSAZ7YFbUcsYoamLi
3OAn2nRB4+PRurciOb1TbkjIkg/NeYgzaiViFwjACF7BLSDYYI1iTZNH0ltLXfJqTN94RtC5LBy3
I0GZOpnok/KjVz/vaFDz42AXR5E6jRmdXh5rz9ANtGTXgmbjsy/YjNjcZeyIlmzh5MHKcgt1nM3E
OI9gcrdRxiarwqmKRSst2Ywk71ZkvQTGTGSk6/RrOk763hysN3JSZ2qJ4oe80u2V4fGdxvJ3RDHu
YZ7nzYooVreOFPKDpH88dOfsRmsl3j0ZFetSzh/Q8wkVJTo3Dj+Kh0Okxf3G0PR7rI7bbqxiQEx0
FlZBrXZzzpeNI1c+NYbmCR5PSluzcwGzb1bWO0QKrO6UqG3acSvr2Hp0nJplkZE35YGcdsvKqbbe
eW77h1QoVHqDDvDxxwSX4HHCKFTPl6gA6YQdsJ6eKmoIzjyQ5oMxss5mhHttKkWcKKD6WmFaCOm1
xvWkJ+eYCuqEA4AIk84lLo7p1SuEUV7aRQkZzCdI6hhZI8K+sd9wjfM1okUaLR655t/EUf4Z0d0c
zlS2er1pv/e6XX/NeqgJtY2TaOUUfPZ4JLi36ZSNZ1glxcEVJntcn3m8UrP6Uo3giJiGeGVKHqCQ
FC4fIOySY/Y9gF/3YrB5eUSqtO+tOaOKsYD3bhQig3LkFKBKoCdu3JKfL2N0xw8hJu02l8vNF8Uw
b7zs2Ukc0gNBip1WNsUSjxztMLN5eoBnLnb97NnnwuJ+yLJkHm5F62t7XKkudi7vm2dYVJQPAe87
xbYZXi/fW2onDDq6UpCAJjtCb5jSvZnbOOPcINn3KavxauwdSMmOc+umRr5PNMAh/jLVp9OumCi5
b4dkfDJ4cq1NqmC2fJOKR6wk9IHoxtJj3+Xmgy0piFRCvHRTbr8BAkgubuPOLy0VsRXOuXSV1U1z
6Y26w+4NMh9vSYZEgIeP+KS25vD8XuatuYpkk2/dOGpJxVOlN2TsowKC7p57wgdGs/DaLNr+97ni
/4b8fzLkc9s2APH8/SH/8PGeVH8e7n/+iZ/DPZMe9USssGzDZmZ3bSaknwM+jGYix4yBthnQ+sxY
/IfY9aO3CPsCT+A/JLKfvifb+A0gOuhYUAEOc/6/Nt4Dn/11ftOXr0BFkouwhrxH69mv8xvAANk7
XuRenMTWDnFUjvJEQyLCPxSSyeHOO5oit7BY6IFbPMAKd4KvQKc/k2p2HsCFQKAxKlhprsHN2NPS
EzM+KcrCpLYOHqJL/UEA37xaa2w60TQKM5YYEJSST3opYeZAoygsccoD8DPsrRlZPJMBaMX+yN+m
1B4eBFzR0Mt6GQqgHutSFDbRId/ZJqlhkq4J+vuc7AwhP11FfPjr+tzS+7CDziCpM2rUBz6ZNxuk
54dNZ8trAQNlpwNVfWtErmP1Fe4B/ynG5YzKldFPWK17ZpOc5ikZ93pd2VveKO1CxigiRkIdWqL7
8InCJjDxAYWIggauX6elIHYFay67JR1nvgzTeGauqNdGOtZk+RL9OrWLDwD7PjV0+gvZ2OBpdMbp
dixHa1ebwcs40jw+6FMYWYO4tzMNWmHfmJdGiOZA3JC9HX0TZzHwuXdoYrkJtOI96CTGgprMlVO7
+QntLtgVlTZga/Siw0QB8xZ8dPEpCpoq5sw3PnGNAubz26baB2b62fdmswlUOn5xDJ92VpgmqIy1
H4dSFP6bafZgNRlI+d5ULyIVL0xK6U1JaTksNDW8RvROblh3UplKbVLo1ChZK08tj3Hs0I7BeRyI
B28ebXcV6Ul9WH4in5gi3K2PRXZJEhb53jN7mVK64nX87QdvXWpsnXb6YLmQaopR9fRBGvHVzo38
jmrA+TZSiR5S5iPPiWWSYE310eFVaIUJKIDb2VnR4P0kKfygXPhCDqLPOWFleGMSJty6SaRoK5XN
tmxbuqd9u0AA0i3iFblWf+dOkyFFKtvYCS9TZxaT6X50yvbcRSQ8V6Or4o/ELDTO39rZJ0hH8Wrq
a+9k4LGpVmnn6Rfsbdi0yekAiSiXmJJ0hwB9s+2fMTbDuqFh1dySPJdsSICtAH9NBirhTeKImuDu
QRI7OA1CYGLpahvkKnvMZhuo8ZxK/lKedOtjS3z+KWYbJEg/msn3CsfaxveLYO9hoztTOvXhglFa
WVRZk1wgHbSyGg1k2GIGD63aqrdepgcv2LDy1dB4pzrC6id8nwRP7OhfB875RY9zv9EGPx/nUZAW
d4fE3XFBIFRgdOpLUNnWnZZHELw8JFsKNYM4LHM1nSqFBBr6DCpH381VvabqPdkwz893XNKrzbz0
7bruuDjqLfPQwva4chdwdn6h+uW0r+5TNm4ENplSsIbEZKprQocOeBRSaTBZ8K0jX5DsDCgf8zj4
Zxy+G2MeqNfpItL+EDyeBsS21UBf8Dah9GGdBBNvSWdHN4nPZcB1JV5tv3lMc829Bla/b8A+3ir2
ZJj8vaPT87HGT2niMY8EK23lVneZMLWNoUCsrfzanx7gBNU3oh3MR9OU2VuqG3KNbTzCjdSoA3yR
JDqUKEoPYybNMGBRbo3og2xbMY5U6j62ZbNAsAgRoAld2p63G3MbXcKC3O+gI0zHltIPszQ+DOW4
l9qW5cE0BvNA37eLcEzqCOwLCDLe5F0DU2YdpfWj5tW0oE2m1T1gLZg+YWjV4ax5E/F/1shwkLB8
NgbeKfbuCZRiUvJeP9brlOD3SjfnjmxXPz6VhW4z0pZx6PqDe6OPJSCmigdRQBacGRLeDiWdyX6C
bRhqIzn/xu6mhWnguK8cgvMekob2aWRS4/aZWOHk2v33LKJU3XbS6tpKskY1iSdWh/p7PAtKNgkn
rMnMsGkZWrqZ6kgmr+Ycd+dGFNcWLyChObcMLQIQJ7OIIViU7L7V6M93upEGty1QJLnq+mje2DFJ
NWHjn2Av66/b3B/WPVWTn/HiZ1Le+I2I2oILhj+7inKVhA3X/3Oi4f6pake91CNZRduo56tLoTCm
vMp97SnX3ZqWW6/J99ETlObjTUkxOg+smKiBk9pveTGUK9+TJDAiQi2zXhnvSsQ27sL5iaV5FJpq
MvfO4CJBASZ1Hsj6jOtan334OMV11o0D0wOkjMYyKArWJ97gkgLjtZcO9wqcOLAfR4TscUDBs126
y4p2IoUrY/VMG5U8Bpb0jrGf0BG3NBHveW5qYdvpZ+gV1nWe+7se5QtZRi9OYMOop+dn7xGdXBwj
bDZ8JIB1BkZ5dmdYw9w7rjmeSRwiTUXrnBXFIaFJf5+Obr9ld1NsWqsXoe5HZ3T3fFe5bX9YDIEY
oQjaqFpwJe1NuplERfVpx83KxBaxIecmzrHT8PhWkXpPUh3myKC7p5l1xTfDK4qvFDBoF6dt7ild
dx5m337SJ7u95PDdWfdb3gGo97zz4d1upOMNT61I+qPjiiV91R2SzCMMl6fVbsB+se/npfFqpHz7
SAU41FwY6tc2Lqu7WTr52ufkGlZZdm8Q93gFEavOAacysT8jGl6MNNUWMpJzFnWaHc3U2VYWTYsU
OuC5sZ9HqCgEMUSxScGzrbx4KB4DP653pDTkbe13Rji2tbXVZfTpY42lmi1Jdri6cBrgt9m3VTGf
E9tWpxpq/ZchWJjS7VCt67mQa+gm83dHFo8JK6PQBALwkIMm2nZGjkMZmNjKzaybgafqpk6MNxaI
XAorO7nN6uoMQG264XZ1Bp1lP4HMxhacAbmyCUzvUsSnbTrm0VtDKy60jLR5YzePcSPoAzw15nDw
FHcTaqbelqgzJlxi4mBiVvnilSj65F3rHby6kwX/0c/mYxBM0LDjgrZqGm5cG0dVJYBtFVVM0JUc
YaJ7xROk4/KBoSo/ldLnqHcMbACpyv3stqo6g0RzXF8KIsPCtWqSO3pzQ294uS7BGu+SzKaWIDHj
s5cRdWzMrN/HeCXwp6nMvcPGNR4gimA29Hvg7lkG6dJWbzA0M9jPpOJ2mFrmW6i1WZg7jXEke1Ju
HV+N73Tn+dw+JVGYKG9dMipFTILJxfUL93Eev5V5Ur+54G31/2TvTLajSLZt+y+v/ZxhZl43Xidq
hWohhETHh0Apr+vav/5NC8h7QZAw8rRP43AyE1B4eGG+be+15qLMfc5DmoMcyGve5/WOnolfQlk3
mjP8Wt46T1LjEC5N6qzdmi3eSlppcVmRhbA2U8vZ4qGpI+K7w5egg1aJxhs2Qe403cr2tWg5Ta6p
e9ddLLLdqEBDi6DiDToG8qhjBVD3UW0CYhQHDPTi1XNxe7ITHVZ9h5i3dLpwC4O+WVF6QOXL0lsb
4re5aumMngdBqwXvKjkTXOpPMJvDA32dYOti0Nc5m22KkBy+LkrddlOPGcpLAIbuYx2Jxt/JnsFi
vIhbt+KFBGgyTK7k2MkvU+Vm11j9WBAGlaF5TtUuKBZy4d57UwCIbBNAzSm/xH1O1BoBABkNWXeK
0tQ6BjaNhfNu8vzyfpwHzlpJcgQMsJVfUCmvksaRTL9XmXSHdQExaGP7BHpvZrKFaVQECXt9fA5/
VU4VvYw+R0iNYD/yd8pPRjgGu1kN1RnyualZycGbNqL14mM/ePUldmobo5FTPpk8eWY6A1uaMOpj
1wOdhzBqj/OsKldhNRUvTSDkZRlPHnZsifdrZDN35fbO/RLhr6jRer9YhGAEK/Bz1Xlg++MW/Sve
6Lw2V4mTN2iqq/xWjBHdNgTdGr409gcsoPgBI7BIVH1qU1qUMGpsczo7cXpwGuIp3cxW56JorWMj
oBbGtjDhOUfAG505J4/c4PNEWpUfpniwPrYytSewLwTRoi411KoWGT1hztzdSCLLOs66+QlswXWY
eJxWkflA6kb8YEMSxgTk9YvAzRcCBulaYsxBV+IwgIfRr4Kw8q69kw2RSqs/S1pJjdxWRX6cmMnf
h17WPXWUnuyZ2uGK4IHwfW4v7c7TJzvII9qofsfuy4aUf2UEYI9WZTENW6evxBnD0fp9EOSi28Sk
mtLk8W0i2JviDrN9A8tP1g9N1MhHiYThsSjDhyB3xYWlmGYjXBbGwVSVdrn76KD6QZwzY6je07Jp
CToE0+xe9lNk3RZR/ewuDQ28aplgfBqRIHVmFLz24yWkdS8y8ujTbM4+JjihP3jJGOyB9tJ/nvG1
YpseIM42/fgykB+EBRd+T5uH1YYjKnYJo3R4DMAC0bBiJkcGxQyAXEPtgo/s8fNC1UfFb9Adb8qJ
CBLXS8Fv+ll814Sgj0S9oJ8fkl5taWrJrcIzeIZ/JD6LliW5sKMhPstN373K9NTCnRxuJmF8zrxy
+QC4UgecS1IZVkihy62w0/ljylKhuPNHTNsAyq+NuURb21fBvtOJ9YWuk8yF+6pZUKVIEGFHALcI
UKl81zGDiQPkcYkKRDKn4TRSyEq7ubBNiuu4IDGdFQyXzkx0MbqUmGz3x7IbvfxapklrbjMMDuZl
LXkLkLnbEjjZRw4iT3qgzvJioFAeb6SPJtqJaI3HxWDMH+kmVtP9MhrYHWirseHtbnrRmq4COuEq
ZiC+2UzjOaek8bxdGdZQR8xWlqiT/29uDW1kIaK/WsIJzqpbk5aRT38YZ76N+BGesAWKBoawNFd0
0s2PPZWqnsYkM+V4FRqtvTF8reMhjxLvxpnhYSAJP6nc3A+JjnWyd4bVQEeWW88NLqt+Icu32/JV
9/6SYMb9UwIcTaXvx4Nfj81RQloIpnxf6Qnld7PWHMw86Ew1XlVVc+VW1Ipw5YZ/lWjH/okTwFia
iSAqRuG+PQF20k1seofxKib+Wv/PMbIdI5Xdqc/235bkH1qS7CckXcR/bklelTpTff2Mwywunr/v
TX77q38LD+x3llbOARnQQoOT3u5vF6b1zlRakaDvlG8GzW/dSZMsdlIheSF4wlT8Ne7vb91J08TW
aUr87SZeSunb/0p8wED+x7sVQ65Fg5QXswavC/NERP/ubiVLp86brE0OU8f2BX1MGrmbpQ1xAaqh
8TGYDRV5DJ5wI5AnWLJJFiRPDzDA0rJ7ViPyuZ1JxyLdIiUP64ORlRoBRBxCLuhdkX+Ux7ZHJYy9
r6LOvGIKYZ11Fss5O+akfgJtYp4NsWRPyEON4B29F3No2BAXZDOUT0WLTY+9WtBs4X/FvPsL6V3I
iPEJRmN5lfsa0EZQu+MQyq68aq8yEqi2bWrov4KnDl5KEs83qu5AqpoQIzFAaJ8anLvpLoTg8oD6
f7prMM2fYXNgsoIE3m2uQ1Wk5bFkv+QdHd9tX1oPO1xW5DgIZURAhCx0dhqkEix4sGt6SGQMPpDS
60QnpUJytaQp76Hak6CkSGUoS6M/sMMxPyw6/qzAMHBoTUE0CuZqeRUqcrpWFTT5h8TJ+NFEyVMZ
un4C9q+i+n1JkPDD4bNKdR/TDHliriiG1WQ2/DFrkuU5eGtCrUL+HuNHDsA+pX2NwHRuhBmq+yRg
pV/3JkTYleNPfGsr5TO91KyeskTw3f3MBtHdjwJPiAXTpYCSfmWmRnLhDQGZ1TQxL5MgHs7M0k/P
CkBXbL4MfT6/xtLkU461kfua//L1gmYiJFKM+sZ/UL2+wgybiXMCq94+EulAE3esAgL2phTRARUi
NIdbI1d8hRJcQMy9RBLQymvJXVrbWc95GRODY4RBTgd8nC1SgF3DDeHqdrkNeEpP4T42TmuRaJ8v
Bt4zAi2Ih+S6iaHwH+ZsvOvIxCbjKILpdcrrWlSb3LoD+XyrUx5OJXN1X1jcgEBR9F2bc6MDXCa+
gwKNn0RGGL+6kXZlRvomOlkxI+ZI7CO7gbtBNS1X1jc71+QVbZtgFGRvkQLtkttThSTShYYiYSsY
CBKnm1shq8cuCLi6q8jJGmudjUU+zEB3RJcRnh/ii0wTWPLHArcumS5kX+TbgVvU4QVIpGZZ+Y51
AKyJtzMZyBHC8MNxx0uPXzHXrkNTAAKDXoamakV+d/syTZqVXZA0HK4GfZ/M/lQ99foSeSbUhtzu
yWSULT+sq0W8923lb10L8fo8DP62ol/zBBwjeDjdwrHhcn7TlomeftjR3FVPgTNMlL89p2RUeEcn
/Kw3+aJwt0YJM2/lWP4DymROXFdWJnVd5nHD9K4oz7PC4T+fHok+gw8OYIiTBzWMiy1YOGIZ10/Q
2poDe1AdY9078t4ay+DBSMQAsrFNaBWDiicbgbwBYH/lTLAaugo4ODab6jHO+ToitmBbTFzQWsz8
KcRa3GCGyUMOH5rzEzQWTliF++1rwBKSHbLyotK/GMvMv1hqCEurLp75CSXUQayohocBqnfbyLxJ
6gFUvdG0M+sp7qONyCr34NiN2EG+9C/sejI2Jj0jNo6lDtw0pyYcd0s799GWTjpPmGpyDmgxWbFy
VY4Rg46pusRlqhWb1DAmsSl3qc/yTCqZgatTZvwcmA3WWZqiJkk6lgyBbOmeio45zwxFEzB9zR9S
UVo/pYStHXy2pPugi9S9a3LPOwDWg50XJc3yvmVmZh2mniXSXPjCU6oD4ai8uFCZMuR9IJalOoYl
MtutyQCJ6Ff6A/tELPG+t3TeHjuO5pDFgfXc0g1qtjRRuKcCKAYDXbWFy9q0mf0sRupxuqyE69U9
GXeJPY/zBikTUO9clNwvssW2yt6lehphuensvFpexSXhV3mOCgAhRYU9YvD1nQPWqZyPVtLw4xUD
3RcU5JiNI5u72+cjTH3vAbqSCVGbfXPopSvq3emetxCK024iBN3E1qrv/951SHuNB//BRtXO9xR6
2RtGZOi3Ax2tCZJ6y/rWtKCws8jU96OvPbVVrUOczIUL+XVJY/cW55vKHXkZ2bTF2c95LV3bGv1S
s62Qod5YDDK2WZaiF+hHTi97wd3picsHz3oYi26iwVXbTbQ7raxlGUnmBZFXP0hQ6Gjdw3BOP9qj
yTqRWXqVOgUtW1FnP/sZdmXGffmtjHq19sLipYgm/6ypKv0yqIV+OQchK7CfLfJqXGwWsoz6oSeC
yasIIYqiQkbXao7mA8uPmY8bGdJ4A7QOEEyuHbLIzvOi7SL4jcGE9wwxT3a7JNlfiYgz1yNLzQgf
eJU2h6Kzcy5RofNB035ireWZhGfCElOumKLYyRomu/NSFvlDGcrm6AcTYwOE93Sh147Z3CvLOyt9
/SJqnSK7j+ewArDYezfoeAVewmYwd01twhmVsrtiB48znaxgYMJh9CGGJUxEYhF8qhHFG6qsL1qC
t9dN52INTHgGVn0uc2M8dN181kZ9BX8T32VwIyIsk77ffSywP1ZIgHYGMZ83FaL0JAcaqixbfCQP
hLgGwvZy9MYSFgCrasITbjnOZjFFr+hDV4gaHLWASm07uNBObSXrSsdfyFMSRqxDMQwr1UNGxXTL
JTND6PAMItNAKqCunkmmLJAH7WYHlNgBAXzcYOvv6UXALfTPO9Narr2pc49t4vOai6eaZrJRYTUe
5QdcGOWloeM9cCN5R1dHfmTSoiiJvHIbeljxVoIeGiJvtz+HxiYuUW2THdIa9vScWWXyYXbzD1YC
Uu4iwyl+W6fAX42uHb21tdC78gZzeG1nIkoiHVbSjmQz0nVXuoccg7Si9zMbiX8QQz1s5onIk9zT
6SeWhUa+N9vk0muiZL7kfDkvSecVu6Un0XPOYrEN4/GDrxnXDEabvRuMn0jQJQGD4BUiAOa7yMby
KSHh7czUpRHe2TS3Bc0HgMjO1p4IcmHDf08YJiLVsW0vvThabvNltulc9vmuBDC3D/wBHZ4fW9uw
bu9rHx8xPQadH9PmdXnZLQFLFMQ5HLQkp4TUDcc+p82J88A42EyizlJCTy5KcxFrTlqBE7a234O7
ZMyJBQMxP8GACSuWpkWkN1adoCH0jsaSymteAjicLVhLoWc4Z1lDWA7ZEWuzMIsDU9lm7+k3BE0H
XI50Fg82WnyNHjaeWsS4GzQv/uWS2Ld9DBAY/b24S0HoX5Rz1n1QkzIu5lOmj3HK9wF04nzuTqk/
gVKIvKaihnjWlY90tskHou1KVhCTufReNQQIuTiKrwQI5DVvXheCigW5BZBfUqb52Shc99lI88fJ
qMklYsKA8rQhtdKAdw1i3R0FcFHCjISONbKx069Z/ENGPRkvIgxpZ0Nhv1Q6EEl1hFfKipAkVitJ
w6oxn4MG/NEmKNvpkYp4S3XdUAnqsCXM6um2Qzl7H9SsKKz8Tb5FsxivDOzpB6FDm2DYzptWBznZ
I9jSC4ZKSAMriBg4ZFrHazh3nY1Hdkwzol1sZt3U4kDVkrsY6zPkB4Z72cFd2iF8YfEPd1Gi6g0Z
pxXQxQGUYhgFyHDL0KTd40QGC1MTOwcv7ccHA5mRx2svUPQUexltmqpjBwIcw3Wa8jJueS5i6B0P
gB+zs4XgA6ZTc7pbyFrb9pHgXxM33jkqEx/GcPK4xU3mD8YxpjVFezjt89j/Alc/vMCXfYXlqP2o
mcvneeNdOmnBaJRq4H3eK/EIn9fBU8PepTumdT1DY3WqXpzlKTzwo1HLRfV4jBN/ZzK4rUfMoAaV
U8jGLbgOOh+nUIWeeIXusvSesEizqGPHGvHFG+Ms/IBZQ7MgPUsSJC1rlYE4X4WtAf0B8K3ozScv
ynnrarC5AwaVzugOx4idn9fYmuodqkO8keKUGDs0yE22DLd8jN4R1VYxthQizmDxborrKpuPQi6k
hquRcF7Xz9Z5PRL1jDCy+upS/EcjGy667xs9eutss7FXbKCVyzZa//53W2e0vOTndHFyCEoocJu8
LM3p42LBfXi05mWpYZz6VCNlgarPWcFm/lOnSWczvD0CLSriQFzP5CjetJrGyJHlorrwYE9MvlZB
0YYYvH0ZqCtptFFIsRlU+9iMo/C8q4KFWRUM+6uw6OS9J3oYN6WOY/quEXLz1VXwvb/vF6cF9ahp
C8p2JOvuG69BYfYBHWQrPBQGpR/pe5jCphiuOhVZkDFaUVQ+fb5QHBlDWH11yvzjRZG69fe91YGT
wcc7+n+U4NJ6I7cqZjfti2HhnMwZW6FE1jPywLb2cpz4eTQTr7OYo2feM4U2zqQuvwuLnKrzwaor
dQ14YUgR3eAfjA6d3kFXdVgkrzp99W4sTBba35+uX1xEmzg82yX2QghXvj1fA3oLw0RdC0l6YHLk
zxMjILKzUTI36NPqdVGR4uVMbf0MM3e+qzt6FWTE0QEop+YuL+o/Bai/TcHD5EkNZJmOaWF+4TX8
441t2JphRN0A0dGgbHSwqNx1tKQeWlo8oGINvf0dFdglSwIRqgb2F8UIUJ+gHl7J67at9B6MM/v7
U2X+6sAcnKuO4+FDtU/X/rsnzh1EhaOhjg5wDahQkWZiCiRPe2zciarIbIv3UAM862xmtks/wSwZ
qQ2WGu56i/nuKhoI2RZiZreMmYK6GElRvDdiNlGhtVC+xyEOuCzQ2IVG93oYZ/BkGyABKU3dZuov
ZxqDL183pYiLp7v+FOmN2W66i4IYhuaQkCyv67jnuEi5t5bWI4AcZDM7oN+fDvVGWchz79BvtxxJ
38ByfOvNAhRJo8at5xp7MyLwC/LpQjo681d2LcXE0bPw+xcQ6gfjfaEWmidTHnFYc9wv7yff4WyF
pmR3Yi8G5NzM4h85Wfw6uRlp3af2EGMdfbGbhC4NBvowPpSEnOXr2K2GcBsOoHCWOefToajQvCHC
Dkmax4bg5fRl/9uJ/lMnWtgWj8E/d6Ivn9v2+UvUt391XftDI/rr3/zWiHb8d77y6Gq72gImwf/9
j0jWNd/ZtEpsW3m2883q9rdMVr3Dr2piJndt2Oqefsd9a0Qjk1Wm5zN88AjgZJ11/o0L7m0bmm63
izDLtFEp0Yd+a1DzTXw4aWVUBy/OXqMSZ4PhgcqOPfZ5352dX7yefvVJLLSWKbCzA7Z5s7hlhVVY
C6hl0qAX2syi+lQVJbbqIOr/8Hz+6pO0Zd4UOO0x5Ovf/261CjuD6q9Kq0M3pj3gO3HdDigSnHp5
+NdfyTOpQ5AaO3ytt2XA4GYSB9NSHVAQvKZZ+spm/zXh//+Tj7FZbFyu+E/XiAqW6Hh7qojVpHvg
ezWj6cgBZzXF/8Gp415lRXMRYHuAAt6cukogI4v4RkOQNxeTYLQIl8W7aHgT//5L6Z/0fbnAjUeh
gByV68QwxntTQrlD7hlUsNUh0nRAp4cCF04P0pgfTq+133/Y29Lo9GGm4xAsrxgNvp3aGQQG8myW
RDDUrbdxWwB9iUcaamnEz8KjRRlbjQlQLuj+/a3oOcRrMejhffGT/5MdRU+juagoZqAL9vRC0LsY
KT1S/un331GfsJ9OKLMuVgWX0Zb7pv5a+oQQlTKvDkbPuyHvq3mbKHYav/+UXzxbp4na35/yxhTp
eb41GDSED4Y/2eeqmR6GfCyOBRlP/8mp++77vFkv4LdH5VDwSVHWzxv4V88gMPXr8o+P10+zOI7a
Y5E9xRlbkArf3PUwFWwvxyYLCVAhQ6N9na7mqptuFiuft34ggKn5jSS7wbYPoiF7giG4vzWhzx9p
P8IyRHYPYWYKeyLhi/EL2ECoSHoY4LtCE1XT15np4hkZkMNl5SKXaaqFBiophjVta/7IHIGgFOmo
2M2b9gHCRH5L20ZhPFBEgwawioccmORINtkBkxFOrLnw92PC/ZwiiAjX9KyNfJUSP4umhnZ019EK
gtRabDvlFu87I7GOCLnGL3XAKg9TnGN3JJ+SWOX56LVDQjoZcqUtlC3xOSG8lyAPjsdQvvWMubjU
WKFqh/q5YkAHH66zLUiPzPmAUMoeQQ2S787fO0FT7WoRTNukhilpNECYc8G3W3IWrjxxu7XbFWod
aKpaFAKkdBxeAbCw5K6LaHWsB1+aR4tux54GeHkuQXgiWaTXToiqAftQqI9oye3zKZTJp9Arswdn
hENet4zSalxbHyEWneY6DEiq3ALm4AQDs4XIxUqxNs2ZZ31yLCpsBArZA80ymwzeNr+l6O4+BZya
8yipq2unT14F3VVoWo76mHvx69SOwXuIiCUNFn30LeOWOVOAShtCRZD4+H6GSJUI3rtkYrLBit6t
2V3E+yHMTMozB0cASbrFMQ7Zyq2IMIivQpP4gcQJi1fsrfJKlgknsc8wJipjJFnjdNtnZIocFyys
F5HDKQO9wtfsIyxtVkQgNna8e2/Rk78QZfwnf9GT3BpRTmBHVIcA98tljfTPyfYxav3qUvZD5W8w
CpDuHlTsEZUcKEAJ6tGbelE0UKrj5aNnFDaO2zR/ZVtSEjwQgt/uWDnx1OPfSCRGRsXgB4ME9w9z
FW32tewhJc0gGjAOTlTCzUSOFoINLkEXTKmN76ZCVcNuxtBcf7Y3eAzJnRAL+FMyTbbL7Hv7zqyA
fNrZCN+iK4xw2PdekTz7oyK7oeA5IrwXVVXsD9keECqbRHQZj0uzpHsGLR0yQqNRoLEr0160NQSx
dNOG6C8JA5KfF79qXxSjsDNyWBmBgrBrPwxuVz2FiWUDoc9YQ5kJYQLoDfPoCIuADWskl0imXAk7
CtNPNXPq4wkl20ytwsOXvBIJ48PadswjByJ3MgS1aswt88QoxxQXpgz2+zDz94nBFerhFvILq1rE
zGpjRxAXk6Eh/zeiCftXUfn2gYwpPaWJQKsxxHys2nnY03DSG9aeG2EZveI4WjH7ZA2fMzqxbmVG
OFn4V9cToxC18ClrdYBE8Jl2ZnzMCwc9EUEz57wK3dsTShcY/IS+KRsuh65hS5bynFtex/CrctOP
tNWWc+FD51pgaIbLVHXrfEzJPUpj3VDvMm5qVkWaPTpDraCNd21SVO5qg6c+1c7hYajok7bJvF0a
Vrd8JNYCKGjOCJ/vrfLkmfENKjt0js/Z1Hq35qAFCyGtpMQKzOPUc0fRRA4+6Tn/WmTkMQwFX99u
Fx6j3Kv9667oxy8o6fEUhmip15GVerfSQVdmiezZtlkom4b1g36gSw7JpOme5O4Ebs1Y1jZ77zYo
0+ZCjj0r2anS6v2m3mci7zcJ4/B1rkDXOSMf3ZTIB+LWI2FGyvELts2ziuwmhMQITQdLqG0TZ9dm
BXosGk0sGW1eXbe1rqtLhq/g9biZRkJPAD1KUthdzg5D+nGTO2RZn1bdMYqfuhQ/kxhZrQZ9j9g0
48jf6OKrxKbnOcwRUjjUYuTxoBa7SkJ711oJ476yUWsbwhFT+RI66uKUH5g7+NcLPJwNXpxmbRkt
yQ9cYUIJBMPBkLfB/cDwbu05YGKCpc9v2561xwhZPUZyJYt0yDnnftnvzMQmkBJv25UZKPHZl313
Phg29WjZX3tYRQhLF0B7mdHucz80LrsmvjZjc3g0kqQldS3qLgOiO2Nhjh+9dPY20ChigDvSPix+
jMc9qvPrymiCmywlP67Jacji/Qm1Gr+LP/A8PzSDQMPrlcY2CkGhogCori3w4BmvxXDP4v7ZsEsc
ay4vvdNw1oij7KEuWHlJ3aUXkXvyHhtLVa4XLinR2Lq2cKyWxE6uwY691wjSZ3LXvLexJqEy6Q+5
sq1mXwBqUDKqxlV3wjfMJ5RDwiYPE59KcA/IUKDPwA3s455xIQIzQ0WbPSByXGWVGZNf9RUZccJH
oDhEzI8hYazN/FgCRgIz4fX10dRO1/6r65VmuvbAzqOa8oWXT9aw/uEICu5qBTV9I9IkwjUfD3l0
pP9jDsyfctTHR2vogf8ETo8CCXcIEQAOxOLGZSiUEDHgkWXwV2U76Gri0D2bmETI9Tj7TUt1Y4tt
3U6s6zME8ZkUsabrbshMpz+WWD1wxtYLk21XRY3FRK2XQ87a037yGAEA1Jyy92NiTshqJCgBXVxb
Wk8wk7KUJekmrsRny+sPFR76FdHHcDRsI0KSwPPFwjHc2nZiXEqEAMmmc3OM1paa9zynylyVSQua
PfO6A/zCbjvVwXMa2SDMRoiyShCTV7q1fMw7NV3BVoKYMIUNqVSW6g3mHOZyxeMafgkzV/arVIIy
ztzJp7Q0jLN4QgS4c8Oc9Y0pPot+SHXCbgmR7Gih0dlUfOEDowTkTR4A8P3vC+yf2pLQcODRUMIj
MVPaufrjFqwlVcaCNpUdal6gG0Kwhssu7EF0ew11wolIPZs6o1At1BWp36D4aCBhdyaebXRkf9qo
vW12nY5Hw3jATevN7tuNWohyBKlAdmhy+dCL+bxJWVNhnT4XWX8XzLzmfn8GftoZglqBFsQnSSj3
vnjTXWutwc7DscoOQ00RVgRAlGXB67goovKcYLLy7PefJ3/a0+gPdG0fSTBEoJ+MwkVDgWOhuWBB
qcHGs0pAwmwL4sSSJn/ujNIHd03IDdy/8eb02hnLhZl/xKhjF6H3gNGLfuLE+J5a3uu/Pz7zV8dn
S1zRjusKOklvtieVbuJ7Vo85P88tNPxt/lqClQWO2Y2tQDNvUWxn4EQTQDPM2QeHWlNi3riuJIU2
yIJnSpni6KkawIhi54maj1ZiBnf93FIxzdImaYBU04PtBq1gw1VmYzNhVTYnNq5bixH/e9MS1jOy
DQYXPr/sEWq7txhteAEH85Q9iDjGGqjfikw6ESqOi8b8/f5cyDcIQwBD6KypKLWNlia8Jiz+0Nth
+gwes00PnYNsyjbactWBRl7jmHkk+9E4gCwhMy2J1M5uEBOETXf8/SH8tM/2TSztClsKl4Tb9M0R
wIgYnQr1E3GOc7y3jbA8r0AU/mEZ+KljwafQqFBQfi3FmOLNNe/jfgicoowPjkXx7BDowjjCgYWj
fPYZTlqa0OTYPJCpPTz+/guqn88xJQoRJB5QNsko4s1nzzK1hiYbI0AwYxgcGBj7F0YQ+J/yntK4
LUd7vvYNhHeFNT+kaOBfyZUat9082OG6K2GV6vUWa0+d4esGaVJRTlrMJqm//YukLNoXSPpBd2YE
LRvX09H/t1/9h3419C/uoX9uVyPELf760sVf+u77ZvXXv/a3aFq+g64m9HSDGRS6ZHou30TT9Kpd
ZfNWAmPGrpVAmf9FOqh3dLxpUdPo4iB+6FWLd77nsy7S5HYx3vvy3/Sqkdm/7XG5pp7WISvSfXEM
hz8+/baaibop4wGGYSiJiIuzLRlW/truusfZST97YkhWVblgM+h5oaeJ05JsQZabJ9MKRZl3jykn
PRpZRyZZn10g6EJZYABSr6myydDA258MPp4XnYPeF8vOMnOxqQGarhB4+bsKreTad3p/7frqlhwu
sRERTOHE8tKtrJmGhQTJUDaLAYwlSgQharFJ0vYRYcd9z5we+ECp1o6dfHZAKG4IeyfrEEf3Gi5A
w0iveQS3ionZHvBPLbaxzQP3wRjFXWLKz0PDxzt29ZiVMQVxRx+jJN7VdRR6MmjPqtDioWrqtqKp
Hx2Z+CtYyWSRGXw9aPWKSVQhNoOBnbTxzphHd7DeOTVMiHlOcxP4cPqqUhKqHYdTWXoNTNiaH5oN
nAIrDT/wFTgNIH7yGKMUCi8mb4JjGCqLYjxQ7aqPFPGpFl2gMguzjVM7/G5q3QKb7Lb6b7Kl89i3
Y45dlMOuaeYUVJnZbe1OLihsslss7MM2w0QKuA42tW3xzipGk41rzQGZoCAg1YYf0lZv1Vy6TH5Z
vM5wPA+1qTc/pKOQcDcraOXUeUFGAhwb23sqrw6NJAESLWSvdZQnXGDw6qsSAx/gZ7+9D7wgvQBx
Dc/VyJZdtYjlMHqcPRMY1Wa0XXC4xv3pJolrti6zVbfICbkP5GzeohCk/yH8+9GTA+ZVfsmFfTvE
HFSYpOTsGNpQmEDaLcN8Oro+yreh0ndRx59lUHMV42Tb1GWrti5xE2sncCZOEzdWn+Vk49r2Fffz
6+RjbuTdRF78GH9mDefaL/xbwrR8NUij2Iyd1wL8Kfk7OWepxT+2wUO0XIq69RF8No+n651DVkJ9
zG3VkVW5CyNuGddvuPQ6GLtHA4OsI3zlIeeudvizHr6/tedyq8DCI+K57uYPWcS/Ol7ymSKS648m
YjVUKck4nC7Xcu/nhSsPjZ6niy3LEZvUckm2UbVG2//oUqisHZcr7PXcTCityOzhZBQVD8VIIssl
svLPeTmqbSDc+ggf3SZrj5s2S9vgSBdU3uWEaa6xxFESQZ5dm/qNQ7IE+3AkLJscqf0GuT7HEEbt
udca0x4EmLww6wCpf7eA5HV5KJFsX8QjRD4KQO6ygt8kFTW99BQPqilYCLwhyrbpHGZbwXMisiG+
HSLSm/XjBfFuOQjC97aTlXmbviRGt+yTckUDod1YkZ8ew0gU+0mY6XaQ+jFMPbaf+toS5WFCNsCG
TiOLJYRboKhqf400uVqf7vLFTZcdzFt/TyMw3c555u8cM8o2o8HtfLoB9B3OI34bW0uBLJllzB94
vq3FXw6ny9z1EKy6htsIwT/J84kMnitkSwebCTrYBD6r6KVxCNg/rhM7/hzP/MMo09cw5fiYt7Gu
4Jhf5/R516qAzyeavrhA+DVd2RNcizH5bACOWqGMLC6ww6ZbFKfxGnMl5mCb5xQZkiTYBiM2aqtk
BX2uuDBaXIhLwfLlJvlz0bI4yAVY8GTt/ShrV8KY+GFyHNZWa2KUZbNPJwcrYa3a5gz+CROdAiXE
FOfiINDEbg1wl2s3JMGaJB+xMVyoMUGvbiMA3PtFFvO+6lhM0IsOa7vmawcDhzD2kqfIrcpD7rGC
5S5V9GltUv6kyKLlKg6xM6yN0LjnZ0c3gA7FprGtWzUnMz1mw1vZXalfO7TN53qqdq0Tc/0AAG6i
WhQX9CXYkDIM8C12qxm4XDLUOcXgQ9NNmvMje8l1tQrIghbBTxvCFFkCLfotbmYENzhwmfSXdbb3
gvq1dvnPeZ9seegrwDasJ5aRxTvZNF88AbamMLBvlrX7gD6t3KZGdGOMmHfLjsDs0QuPczyxiTCy
NgOA389iq9KROOBiImplg2zhU2rDuFkxVMPA7eNEQMGzNAlwynLaYDCnvKYNfW+HabZpvbFKLuew
7Y/xSJt6ZYoAFGMQSqsHw1izNSGC8wZBoUP8CNiV0N01X5sLaQc/+NRyoJdN+8Gpa+NYBf2zAcX/
pfWHL1YsaOaE5pS+Qpc2FodVYlnaNcs/4uACQJ2fp5NP8CFp3OsqYa+fJ8ypSF5hnqOkF1z6bNkM
gkJQrV2xLfHcs8KH/HboUEEaj7irSNvuIRmQb+ab3YqIFwlXbcaleGUPjgLMp4rAuCsgTR4j17n/
rhT7xWz8p2rfRXZMw58BJSBa/6fZuG+oxSqbHqzNPO+bJXqNdV8MqvZ931Dq2x1PncXeavP7z/1p
q60/F/Q9kjGMZAgPf6yn/Jmeit9V/UGOp8WOZ9CM05diZAA2VX8ctP1cvWlrpnQUO3t2gG8+bRlD
w4qXoj9kMzeIrgT8NDC2WEnF1+/1303AHzYBSCJ987tbQCdpfsu91AGc/+//YOEG6Zb/aJz8+pe+
7QF86x02R8prek90Q4DP/88eAJvBO73vdpnKCiVPM/u/jZOu/h29V8TPSP/if02T/5+981qOG0m3
7hOhAwkk3G0VyrLIohMp8gYhURK8S3g8/Vlgq8+RKI349389FzMxERNiOSDxmb3XBuVMjiU/OWZM
Wsp/U//j5fj5CkKfQodheB6qPRQk4m33r3hiFqMt6uPidPZNmbEx7NutCf/sxoqYDx0sBs4kFTXR
TEaZsjvtA7aL5As4FAMF3cg2ErU/FVEc7DQWO+q+m+rsAqJnnFwzBFfPvYqdJ4vklWMkIHu0Q2L4
bOwVBUQc50e4EQAKabr9tk+KU1LVGk5J1paX+B6qeQfGjehgKhfC8Ixqm+O98Z56HqTu3tUJ60Uj
Ntkf+2HEJEF+nYPaPI5OiVG2cmPaPcgT9qtu/KlvtegjSQccUaUq03BbNR3EK2TRURtutSwno6vT
05g4z3xAuDtcZRGBFM4WUuRcXZVMPZHdjY1y1k7BijfYQ1PFPk7qXK3DMC5Y3kL/gCbvGZafdgx4
rhDmBIC7Aph1JCrEU94hMAbpoA9+1/cONMsoEPoLCZrNMJNiEFuoyFE0W8y1i6QM0nVOyBEIC7tD
Ib8qXIM84LH15LJ7dedaAgFOKjmvWWmFPPtUWBkRAHj4u+WcfEHKPzVWum7zcLL8PgQ0DKuOyKGd
kY4Blu681Q76ANMK4A7ACU8zVwMEY4KJIOlFmtbvQlKt7oD6sFgxG32mEi6GG8Fub2t71fTJqRLQ
vxgZ11M6RQAXcI70bp6eaKvMXUnC1wHzXLdLi55kg7oobfqerDu4/bh2ugiAb16UPhbO8GwZsL2o
BkfflmHqy5YHNTvcct/MXnCjliCjoNDaapUG5FXNWl+ds8T+kJY5oUpYGa6HqHdusirtn6IcPEeI
ePioqmi84Xoo8RuV8QP0TlYgRgnNIKo0gwKl61mbkyE6iNi58jg9H1gUmvsxsrWzhuC3XWF78LZ0
kuYpsINsp2HjnH3hqBRdTQ0zBSee/QEaVXGHJ44ELBSWJOhZyFHGNeYfZ1yXSKgPhcIbvfLaJoc9
ULSHYSSyeMjS8MGsSvPCmx0W7IKpzz1iSYbxbqWCxO9SlX0Tg7RJcHVmOhE8Seyq0UeuJtDe14rU
gYMarPsE1m5DqAMtJdHpJ4Gxk3ypGHTKKlBdf8ZBa1yIcSz3UuIJaBMS7GiAoCNFmV08UDgQoU6a
+OfBiB5Frfp1m7nukV86JyrQlOupqdzLma3NTWA30ZHEdkXNZs4fO7xg+UKZM16SUukX2lw4ZGjW
pnMcspHaK6m+AugO9sLS6000IkkG/ZbceanbfdTtJHucSER7NIc2JnejdtPHWis8mk3uMFtr1Q6l
sQGkb2i3MTvWoSS0A+VAhpTBnM6FV1jHYWyg3RYTflLosZ52FklMjKQ1QyG0bD2+LoJkhDdcjWpd
wiLmKqZMiyyXXUrcQqiRWj1tyqGr1sCkaNKypqWxyqJ1qOnEkDTDsdS9wjcny3iQcLDOraY+xLO6
SyrN+TJaJeFb0LJJf8SkRgqTUc3JvcNO5yLHg3nSW1kBWSLajsTTA1WSczkNqubW6Jq7OXMznz1/
+WJ3BFNUw1xemwRBfUZswFpAaNkIBnyoLsIklB/CSJKHXWeGXA15Taj47IWX0hDdU0v0d8F8YIm3
A9GRCjGvk1Edu7gKPzVmFH/NhiXBu69P5LABlbGH0Y/6zvxo0KzsTQ0hFKi1YToZI52tJKm8WbWt
oXHHyUi/Ejg7t6oUGn4N3S1voHI0uCVagcy4w5jSNzFrXwzIOnZmos7GvRG14205LGLcNBzMux4Y
4ud0yJEkM43FhAi1z9sEQTTdIhnAxYND5lOHR/2CaQHC5qldnPSdTixsSMYeNnA3op8YJKatxfA4
4Qy4crAJTauQxT+2EYwtTOJhYecuzp5qwl2vCaO8IkU25RK1Svaa40vNM+9WDPZ0CJmXrvmjmDcS
CLm4jbwdVpvxpLUGUym3cl8oIq1vpSa/xFVtnIQDQp5OhDCRzEs2NbJybnItvRzGyL30iHo5RYSb
JgyaXiLdQD+gZyV29vFDqas7Ikv0NdwqKH0B6vu4syOy04S10+PZu6kFNDPNNoDdMSZu9qEWXWVp
H25lFwe+KpR4jGtL7lhL61vu9xeyjd1bWrZhHdVZeR86ghMkUhX7yhQ+sQqs7NJC0QGiregvy4IF
rzaMEzL43G53EgffDVdu7rNbGK5j5OBf6hErCxoFQZxYJt2H0A7kkXcIqXyoFsBgRV+UpVZ+DZjR
2mYGqyNBbuVab/TRB1sVnzQVOitW3uWu7cbOl93YPiELiHzQMsxFnPS5bcRnxEApWWXGfOrB26Eg
aYboWrqw/4umTH3U3fR75th8E2afbjoxdXeJblsbxCyE9YVuipqCpSRoyuAuJp7vytYhgQ6eWfMu
YnWGSm6KTcJeFmq4keM5VJF2GLD8xRJ3VjF8VrrMnoGvQKEb3PRL7jqClEkCODn2niM3+6rSuFmm
S4t1MmXaYfG/AsvxVhMQlz2JEPpBR2lOBytIoGljcZorLXnxEthILXEyu9aCeSibILtJWjLcMOXH
26pN6kNHQcLcDeamKctm64xUXtpQWjvaqP4izktQANmIHawVmubr9FPrsSr7jek0xUtrDeQ8Sqyh
XSjW3RTZ+6E3a1KCL2eJ+LOQOXlvlWdsS2G91Hp106HyIW2tSNZoGXYc0dqKdedHEctpFaF9WiKY
qTAyfeEFlldOpW4cvdl5Tb0EL3dMW1LW4VFxi7w0PeJ7CreFAg9Yexj5kU7BaIsiwKJZuA1kdmnm
mkbKzzjsMqa6e8JqMMGZSMHS4hrTWLRtcx3QUgnpws6mG/ILhZ/G5J83bYUEbq4KFsQljX/UQdom
V4pD2DHPBP0ZMJk0575lwbafE2DmniW+1oGtbSzglKsYP98K1ILFgyyNeB6Y3c1gCO+FeFy8aBqX
X9loe3vsixtb610exoDaeqsTjAmr7jDmyiNrI9To/Gf3mLfTTRZbzzJwPrw2CP/tpd7ppRZRMh3q
f96oXHwt2u4lnX5cp3z/R997KReiNWc7u8J/+qJ/EDTeX+xDqF0Mx4NUJxZB8j+dlPcXljaPBafO
OMCg5fm/bsr+C8I6i0ELVcC/joMTNHI/C4ZBJQGfsejy4Nkbxpt2nA1QpNw5CI89uzgScBje3gwi
nLcmHvddXDvesUcIyiF8qGqJ/IEkRI/g0r7dKydHhVaLeqdD7NPfU/4afMY3b42vxAK2hPtaCv3t
jnVsrMlKWTgdnB4S3ZlKVz+7CHN4D1BE05XoyrtYSE1uYhWQHGZ6K63qAQqSsRZ8cYtC3DTCcmsc
/ZOTO4+cdeHVFNVDu5ZRI57yKCIYbMNSY97Ova1hu7YQS4PUt5gOw6BsNXdPlOzsSz0t2ggb8yDT
EU4dAWUfoqkP9+Wo5cnATZ3Vt27QIHJjCI+KhYPDO8IVEJuSseBmZChbu11ETLKH+e0a3UD3wStx
xlFSMVzzMtiuq25I6s/5lOtktZIjs+SywG+kEeCEdwHbiW0fGFF2BMyapVtoxtmSiWbCdWP7QKTe
wBkXPCBF1HbU2OqIOEDsOvzbL7EeqbOXW/QpSXMBzOxYAS29d4p4BEBGhKzTIN+iqumpOJmYxc5c
o1LyEvuqluZ0KsJoq8XATlcccOWtJr0n3UzYBcQgav05zaKPBpw5Eng6a7hkGa7dzB0qx7UTTc1m
iPvxFDrznY7o8awm+rJx9sj4agZbhFs31eRn1eDN8CpqpRFg/AwiR4/tW91Nq9sewOg6D9z82urp
OBjsK5FessBpSP4LFdBuocXnea43cgqMbQ1d4X7S9XFVRGZxGG0OVzAtxbZy2ihdC8YB6waQ/Yaa
X+xHMig2cOa0Fd5wEK16hRZ0bvE616F9w7deX0B1VkSiZPqR3sE7esJ2mQroWegHhZ59pJps7kuH
CMJ6YKAChEir7mpcsVdmYYwnk73YlxB801YGbb3Jaz49eeItuotebYy4bEGGR73czhhl6xWGlehT
ymVPfI8a1y1X2goe1HCrO/1wBe6sv7CGpttkMvZ2smYRARCW9KABgvJctOZt1OZq2+kz/jweXFzS
KneCLdkgzUTwhbQ/Eq0kF3qxtgpcr9vAahSfjDCJgHdO09clF/2yziPpE2qj9pLp+LBuCR18wqo9
KxrPSByM3k5w1g7mFK3nlsnCri8N4n0dqyFmxKhzh+2bR3230k1vIj+O/R3lUqDdW2ODhokBdXvw
RiUuvMoqrc3I93joIRM2KCEzcj5Su7iA+8O3B/BnXsue8XbTg+tmWMK+wA3kSz7IAe92NihgeVVx
8jLAlatqrtNLNGPBFjwS4GE3Xu4ulrZyFULh6HeLKgbiMp6TG6fQY2vnpKV9SFv1wYuG+bPTzyPr
gkYePJulTWzDAfbhgZRXnITDE1HFLnAtlxT3VR7O5BmlsUq9dQg8d+JJrZznInC8zrdqBdG8FMLt
r8y8kodRzEO5AulNnyn6NspPEyI/A79p3x/K0C4tv+EQgXIMjvVslSWW8D4OjXOTyeHGVtSLgB4j
FH1T0WRnFs0wXdEZs+siB5omh9Ve75OGaF/ZHAcXBEll8Yq8lfwhIEmTxFyzLTcjueKXQT3UJw1V
aOM7Zq2fYzcp79l8aZkvulj6esn/b3ONApoVU3TsZ0td0mJH17ExpB8qAlfuXZa063AihCqvBtj5
jAOIT2nS9CXBeMXaRmK/BOCj7GtICJn2sTLDeQCYUnu3BmuHeOPoIKIxsStbbaWee1+xqNfHKRfD
EyTnDLGl6G9F29f7kcTuWbOh84RdGe11I+n1VUsy4UXk9QlW9V7dER0yJwCV7OgG4ZDxWKK2v3Wm
MRf7Br3JNSKDioTgqU2zNRr25rkktxOxIct5a6eWbGXEkemnqPZqwp/FiNoOPDL0UzjkZHyaLviE
dGoj5iutlvpW3/By4Lj7b5zv3q2nRcO2dkAGI97nJcjARKjN2bxNJjM5qNQYN/Vg1RvOhvGQOGnw
sU97wX9x0XHOc5OnZNgTJkos46qbcV2AHTYK9m81g5GQeebKmSAFrfSGuScLjzg49G3dXbQuIJPl
Z9trbkTnrmh1O5MP2Qtngz/sJTEZ3A2uZANVj+ZDLNrqkFSOc+2ZkeBV8xfgOvBAWD6ZZ8YNp4T0
FeYQZPJMbvAyNiXuFYpUUOHjOgTE4rs6QQxVJZOrySJnQpZaxT+YR+MMj43flEHkcAUiQF+Tq2D4
mL7JYlL8F3ZC7TkZ0vpGGeZ4wUKL0K6mioonabHf6ZG6XhC34fgqL0dctcr9nGlp+cJVatFfTk7M
0ZEQzrXBJxOdGrDpEQlBprowXbpA5NsR8lbRkJCz6SZtkvhklGduJwZ7gEnnTn+wk7YtNrVdp59l
64SsUD0goGjnQuZpSaNN86rN2hzZR+QMbCHdbN6xw+61NVRV9URaR/pACcfPBQZaJv1Z02V6O+n2
HcNJa5ckOYxoUypnXhegpy6beLABi1J4nYO0kAdKrPJ5KoN22+LT8ctW5/cCHT5hhDCT4tm0ED1r
etx/MUSRbnR62eUhqvJLt27EqeE44y5qJhqMGVQ1yCvdoLtFw80F4hjpJ8SUT40mbN+aEHVBavOq
I3NSjRzawdXkClBVEK0JpR8gxJR1fkvERHtVJsl0g9M5vhuznsWq3ZAjtFKQpbYoZ29Db+BhDRD0
krSCyB9LbrFTjD7P8r2xaRpg0zCPSCyQwFBhzPtBMjkvjFPqz65Xo8RjHuwdHSYES4FpkcWRJ8gp
JzG3cqUGNZNThI9jha6c4Xauz3JVxVlHgIM2L+vNJOlPYDDo4wfOkYQgOWlba8oT9WgkzqTd9KbM
5a7joY/4osRYqnMNBBuvzOxjnyieBJKMhXpPvoMcfZLhImC/jqT+KjPTvRtHIclUdYjYkDAwLlyV
ctCyAgTEXdpZcqmiKR0ZgDj5VVK44wMUjPpWmIPzXAduAgAegSE+iFR7kSLQji7C4wInkgIKrYW5
jmxIzDwyaifqdnFeiWsjDqP86FYQ/MPOIYyjwFqyhtSnHyo3yXQsONDTwMzbuj8S3Wq2F7Y7GaX9
X50c/VjcTu+0dYui+o9t3d1r1PfvCKPf/+k/Yjn3L4s/5eAqRZL6uvX6p7sz/0Kru1i7/3cf9k9z
Z/1lgE+wXNCftmS9wyL4n1UZKjoaTgubOHePYaJ9e5Pt/aesb0q3Ny0UZFEd6zicFN6H+GW128VG
iqo3LokDdcSw8ciJHBDmUjtGpNts7cKQmO6gYd94sYmk14iL+Gqwsfn1GZx1ENgd5psgNh8ZoE/X
pW0Ud31jB8+EkMKQBOVRgSCarX2lFjbHItu9iDUU606KrXs9jGSF+2zp6BUilnrmyc2YEKaiZLWM
osE8dnNNMkLtxVSIapoGQf1sg/cm3KT41uQMghEiTXKbao08RyIZr9MooH4txx4Yc40pSwUTT3Ja
7yIhgikyokNP8AC85cm+NLCPVOvWwILZ5aZ5HPAJUXiCKKIUqvsnPedN+XUetF95FcFBJRESYRYv
GoRIuHUj/nCG+XPBR45BYSu2Vm2ZbmJtsPaxThDqhr4h/wYDmPw0ZFfXdmHBKxRzHHyZbQuvYyqG
5rEijoS/yzt7lMzmH4tBT2/pZ8frYIwjcliC4r5q3PLcNqqfLshyCYFL8wzl6YAfE+VdngmykUSN
NGOOKvdmBNPNg6zii0TBQx64bhJnwvk1Lr6muXoWoeteBxmQDrotpQs/8MBG+nRH5dZxidKwWMOM
FZ6kVNTetUXGLytIidms4fvb9mXtnTI7ZqAWRQudiencGPXYHWKrKO+EqN0bDUbcFR7RfO1NLoYu
jG40agoaYYnKDQKWicgSA+TYOeU5VTUkjHnx0tpOIo48DYY1sKJO+rFlWM1+1vKWzyzMrVnE9ecB
p+iT6krjsSIDw1x7c43R1Aqt5ovQcncDIZjWycWmcjNW8MSmSXp3horDmxEgLg+ikSXYGgHlsxHw
kFpx5VnwtyJt+OTCWUNQJbxTVZlEZqB6IYNyTIoYUy1KsEPXTdhM4qDTTgYsqWE9GA7PdR3QE2gv
00vI2rBSayA+qepuHTjBzNDNEfgccnhU94r0p0JM8jL6G7NkvjKX3L8BTPYrjSkk3RE0E2aoYQE1
vVKbpleCU73AnBZXfL0mZhHGU/rKe4K70wF/ch2o36F6hUIFpdLaY/tKi8rqhRxlVA3MKHbxFstY
Lp+PDtOAOxY3DTrE4NLJc4a1C4wqgkqF6ig8Za+kquRvbJWBpxCIFY8sp/CdBW5l0YfDL4V/pS/o
q2CBYOkLDqs16dnqmQiWmL0DEPCovAT2WW8aSFpJB1IrJo7b5uGN8oZyKRoebEQ/9p7bW7svFigX
dRQ74w5aCQpZ/IV+nADwslNsbewyGqheBe9hP+kxtK++Mzp/asfxQoMifyg76OsUb7fl7J5a1lSH
hBaJ9Uc5Hoc46TYOcewb2eKQqSkmyWjSyE7npMkCtSblaTe6ItlNsSEWj7dzxR70DiYt2bHhsHPb
xHpAQEUmU9d1q3nqyvPg6jzxTYMAqZmfrSE3NJT1wmxlyeNCxCH0AS1SYhXEFVTNVyqgK7rw4KlW
6bAfCXu7K+zePSeA4Fk8L5HoWdNfiy4wt/VCvBniaNrBhafTdAldlHq7jghK2SLEx7mk8a9EOqX4
OBT9UOrOT2XAtAHe4Hmu1GXLnAog/5LvA9V4h8qSmYWt6ZesVIYz6WBobZvyM015vSti4W5iUiG2
0HQSyhqrWZeC0Oa5LClC+l47JiCZ8TQDNuyc8LmMjcYPRQTx1oHmZ3hducraUj0ysBr2NHLthwTu
DRfGoO1CNX7rFosxzsRp0yrcm70wgmdQ8DjTqT7lwU4k0x7NNfRDZ5dDujdzLAUFnpOt51GsrzAG
x7uqIyGD0pX0UA2zZldF3i6eF9t93sRsKiRz/t6enaupqQvWNGxkk41bxy2T/Dp48GqLW9bKA4Dz
XURMsFt/xthcsmQd4/QjqR35Fv+zWgWx4W7zBtN6Ofd4xYdAf2QHo+GCWQKqhmK+QsSAxbsecAOb
+eJL7YrLxh61M963BwfQj74WHhTKsKH/JpdKINQd21QcLVwpJy/NXULRCqsGuxl3zjo1TGKHUEQz
WRxYy1lEua57Q5h4KYNoBZuLvA6tAo7klIG7c/DfHtlRZb6q2DvVSFYe2kpv0BY0Re3HHYtW3VS3
dpCUN+Pc6ldmkha+SzIuDnIuAzls9dFo1qOI5N6AG7jqG8IQFSvtryZ6h69djr3SjkwIiiw8B+zO
0gZyjG3AXCdTbfm2FYsPZdT1tyhY3S/EzISbyqvdUx0Yz5rXfaO8Dj/aBjLlJdZg3UjrQyEtXJ9z
k+I4THv215xz81QHRLnJ3Wgmz7TcL7iRrN1ckr4wB+hlzHj6OPUT4VMZgSCOoz7VOYkOvakfUtbw
DCSM6msYOKTxJBqiPrB4+x4nfbk25kluiG8X1xk4PaxaQ3pTCPuqCNvilM9MXjECMkgl0JAw6SFS
Q7VpRD5fhVMbbKq8+dIl0T22Q0op6ot4NsVqMHsAg+CEfStYFqPecrgyElyKmZqYGsnAauQpt4lQ
CX8y0vReM2ykIZg+nyPDAdYUu85XJdRt14tvxEDj3othLGrOUwHOlf0cQOMx1Z2jNwUzQdNEztDs
PpXhjHLZ647ojgPOzqra9CRH+27Ym/tknPKDSayLNbHLSmzxIR6m9JRxzbMxs7Gbq8bbGQnD/EpP
dqrPqmPZjndyjpqtmKMCNcsShZ3MX1rqz3VrMkYP3LEH9DDzXQe5ychuiQyz7LJdxk35duzIp1Ca
+xKExkcmo8GTTkt+hncC4M+1WANjwjSsFwys4gDtuiGVKa4uqqIvL7ra+Orkw5q64AswrjpCRoRY
WRQNMXMV3uOGIeMmrhll9a4dEY04OLcQYEI/yoZkq1M9no3CCa4VCXuKH73M1C5muc9oWa4tp+IS
xUVOJs5o+Eok4sokumRMK/s2GOm3qiG2OiREBFN2UVeu6fJXTg96FJ0OpvCRdXvd2H5jzw8txOSl
2KxFcWY6h9F48C6MqvxmxeG+NnIETJpOKmNznhmukeTbrFXjkGqbP6vMKxjUjvcMZ68r0aK2KC6p
1sCx2TMpwSAP1tPUpdSAHWkqcOBXKK9olS0ztggrx3Z5KhLXPdl5XcCfUytjYpzKIiGfrw1VpBf/
3ef9vzR+jm2yZfvP67x1mZXq05ef8m7//jffGz72UEvcLegti5SKxR71gzKSWFsYXjabORIiXvu6
7y0fuC598W6yYnuFdRk/qCNtAm8FadYoI/9mg/2blk8u+7ofAED6Uv/hl2WhyMuBy19Exj9gr/Q8
qvRAm7ULZkI1zFDhee7UfVS9Jwt1TPTcgRBBlCGjY7Y+KIqtk+ll+bAJc/ToDklc5SQrymEvIJXg
stAMdiUUqG0U6kiVXBLum12XkoAS7FI3tghrtcKhxybCxicJun1Qz7zWB90ijHIOmdnmZA+dsIVb
E7yawXU0ZIDasNZ6jCT5Eecj6FDa0gzHQB3gpXoyXjlCpHmparpL6hl74saV4eDcuNHYRd45jjFx
/K0oRKSPvNB6lRpmf+sOGQghQiQHvna/M0f/uwV/Z1wiEP0yWvjPt82Wuyb+8pOg+Pu/+WcJrv/F
n2DqoWMQXG6N/7ttXOcv2zTw8XIXvGp7uTf+mZRw25CyQmvDG9ANdOr/Oykx5F/MR4h1ZrKBbBdz
xL+5bd5K7z1wStKUqJTZgpvcqj/fNeEwkkZZlR1PsS5kN5d6NLrSAONCwDHoSsdSBdZoWCu+F+Ey
+eG7uv777vyR2coH/PGehdW6GCc5TLh7mSG9XXTXNaEELJ4QA3VGv3Gm3CbGjpRzJt75/v/jpTwX
26QDEw+bwc8fVJm0SSK3FimVIoPBEMPKxNW+MV3CXP/9S/FVepDIgLzJ5dz98SSaBc/gSUrCjseR
Msecax90BMre0ekOf36pN0qB1y8Q5K0udabH5i9+8LFvQVxZfIEouj3WPMZNoTr729jbPnEbCbF6
Jo7+gGOh0im1//zibxQU3198mfJxFdPqv/mc7RgFAZSXdqeVkhyQZIw2hZD1O/TVX68RC6WGweku
bciPb+3YTeiaTV8H3U55kjGUNAr0ntZYO/2G+gMf/58/1BveAx/Koi9HemFi2NXhUv7841l1b7Af
QgWN96ldRan66pjGNzekDhRZfkGr8R7P+devka0BJMCFQMlE1X4jRAkiDFOuWXZkVlgWTSns6Er3
ys2fP9fyY/zweHz9XIs/gkUrEE7rlbLww+ORdTJ7lTrtdib6iZWpaSeMJ+cJYQz51Lm1+vOr/e5b
/PHV3lwattTDGnJ5t3NJqYChCJirz9sVAnTCdYguWKk0/fznlzTeuCNePyFFgA2mA9Igm6Wff7kp
SknvHbjtRGTLsyxl9hDqXXAgE8Ldd0iJ/a6+dfrJZfgmmy92q7vHyjL3XaiW3Fiv33SjMbCWcaqX
cTS1AynGsG4QL9zNTEQIdwqZRNTzOwfTWyHS8r4XVCdqJMt1gFe/ueLcBjNm2XIbxUMnoa5oQ+pg
27b6jaaZpKyx+FxXbjn4NLfVxshG+cyWZ8Qs51ZXTjub67AKvTMgiu8wgf8ItbZ+c2maDKDM5Q63
+M+bt5Z4mZ2yEW2J2442pE5bfqyicV27drtp6rAhfNJM1vpgexndyQwOrICk0QR5n/r52NL76gWC
5AaJOc3xyhQVoaCFi8kOqspF2BnqirBT7TDjvPPrvm39wbGqdY2X86GDNvbQ9m6w9kx6RyU1Z8sY
itwTU7mbjnFXm9KGYgDt1i02jdWYWRdQrz500PyuUjmBiDBn0HRmF2MTbc8kdcx7IBmo8SXexjHI
EHtHk/6oMaDdEQgEyMSavqWTedu6LQg31qRwNqL2zF8utn++Wn+9QVzLojDgrpceYJM3F+vYhBaK
oeVHb0jFTLtozZL4IOLxvpsR5nREf/zrW5JXtJaVDFuW5bz5+fbwyM9wSXtodyogEKSRm0yEL14h
T8osgHB59sc/f8Jfz21yEjltqPs9wp/e6utgXfQFv027S6asWhmIgQ+AsyloDbBjf36pXy9TEuvQ
yukgLPVltfTzRws7q0+GvuQp6MJFLEkOOOAPcN75An/7KpiIKFNMlrVvfzIgjszpB75AzVa6Yqfp
afuuDt3rP38Y8es5xqcBPgtkxRFQJ978UGmsoZKrvGbHdpamXzTJ1h7zkN10Qd8eNA4lBRe+ThbK
UbmPygh3pUzj944l85cHxqKNZBnnCssU4rXf+uGBUdelnOPeaUiKzpzNgLpsGwxJu5V4P1ws17NE
TT4ildHLr6+ji7RNBixIen+Zz7N5tFKAb3/+aozfvifHoQl1TVxwbyuOUGqaFkRmsyvCrjjoytp4
OqpI9F/1VdBUHQhPQsMyi1s5q7Xp3EGaW9tIBXzPxbrkFNnXDI3LVYrlaJ6H5y7BV8TgtLqbCuRp
pCqwzCLz/lhM2ZWmt+8VF7//AB59G7wxyf2//PY/fKmBUF5OfhBfKj6KUDnVthtk+CHiFCOsyUn8
oBH6OnfslieWyo9TNH9yY+e+UbZ3IL41WI+u6jfYFrybcnbKe1fOX2crKI4m6MXtUIWQ9ZgQ8qwA
AcnMrXqnPFqWxW/qCC6LHz7Bm6tzaJGChuXU7AjOITQWOeOxJVjGTzTdb2PFId/RNSeJTk4fLIKm
kvk7V4H526sA/ywjB9cQztvb3Z04Syara6BIRljMIKFZnymrrh3ZMOPz9C9l1o+PDpS6l0at264P
10lpRH5qMgPsw2Zr6A0UQ1s67B7EwA7VwEwU8YK70QKMIZNQfJ0IAuOodO4ceAWWnsAi07xHNApq
L3pLP2mWyJa9wSfgF3f2xAuFACrX1UAO9Tvf+a+lm2vTDQIEw16q0y39fNGA1kM3BZ1jVyfZYxHs
nD7JfG1mRQpPwHynTvzNsW1TkdB5Qg+nVnzTJxGCiA2UQ2dXQWT1YpyGpoBLIRGuvvNKy1/6uSLl
YwHFMTwpMX6/Lezh8HaVwwpmN6nwPkV385hkMx6ifKKbsKYUka+ONvkY2OI9jtZvnr62vlhyTZMH
E4X3z99oGxLNHCT4Jjpnegpa93p06ltdBt8yp/1My2u/84B6rT1/+ayYImEK0XDbb890r9eaMY65
ZGnDi9vOpO6ZAtMnB5LRfz9/BRB8X8bYKcOporiRUCP6JlS+TrXy5zP0txcTszqeLEyYfmEIxV3b
kyfN/Tu4ZevrlUMmBaKyFUoxvEfRe/i83zw0bRQYC/uI3psm/+dv2vaSNGQOxo88KbAjFbv8GWfY
Oz3ib79fHGOoGZev9xecOrF2YSlk1ezokdUaw2oEIDXx4Me4OIkak7uzlx0s2jrbDAHbeqYB2QYp
xcU82++dkb825a4Nqx4wPvcQiIo39+sAV46VQ8qb6WE7RCGL9kbNl6x3sK7lQltXTV7sokUFW6ad
/s5t9ZbnRz/hci7ioWKoarvy7bXWhojlzUJXu0nI6HPlKM1aDSpsz00srHw12CXEbgRn6JG1aQm/
7LEoWj5DTsTXOVKtFO7MNFz2kQnCwmhbPDev6oM/X4i/OWjA5tiYsnWHOuct4i3S3HiyCrveEd+K
cBuk3kY2tbehlo/f+Up+81IIcKRDaARjOL6dny/COBFNVSun3pGXln9D149SpIhgCGu23nz51x+L
GtQil2IZqf1yqlVwe9rKlfXOMmJ1g5fFJsnNCS4S1X768yv95hDjlRiLUCKC13/bN+JWD5Oy45Vi
slV9xM7VXR7WxoanG0FCYy5XZBlM7xwfv/0q6a/RRNoCdeqb+zkM9aL1IqveTcZCd7LAPcaEsvlK
N5p3Xoq9wq9PCCoNnZk+U338N29uJDeVZRfO2GxsueRx2dPUKmwhcmAvmQcFxFrVGDCJ0/9h7zyW
6zi2rP0u/zwV5c2gB//xBt4RxKQCdOW9y8yn768g6TYF6pKt6OkNRSgoA9Q55XLn3mt9ayjWrT3N
YsfOcZRbLX08bMzneLhS9NfhMepV8WQ1aLvwZuJl3jQFEh943G3yCtBPXOaEYvfwnwq8xn1lon+q
+Er22vdq1GDh5MK6nG3DVmcwrYzjFUrXbe2QDriK88R88EaL5J/Cka61y8xSelsbU4dFxhmBm1+9
jGZJvGrYwSTo+zsbi2iad8ljT2q1OhYV3bV9kpqlsxVGY55KLaXYgzyY+iu3hLpy6Qyjim6RpxbV
jn8W865E25IzbndCRt7wiZ34MvArRMToSupsN7oILyaBORfkr6gPZpfj+FVxZ4HOTtKnEh6Cs5Ij
KYpHpB8xVKuxhuSucmIst2WjYKBnE9tJiGthM+P46+cQs+fkKoxAk4qMcyn6yKDvUDaESZYAKBDu
w8d7BfBPv8SPBolrFEvufeMSz7uvBwjYNzMz7PuKwIlhq0Qb+ncG/t8Y2fIUj0eKWLlrAxmmUIBi
r1kxkNF63ZMeua8WMTMhSUv7z4DKn69alLmPKG/QSRQlwYS9k0wmQ8kGRVYw3tLn3Y0YqD5EjVU8
k4tr3A2VB+CBROWDWKTvNlRo+Nw7fANIvPzqDgvDanIIMMs1GgTLwUuZI2LYxeN0sic14xXvX7Pc
c1bIvKPNmEl7h7zui2OLmUm1QgeDBHrv9bOxDZ3U2zuhRjEyI3rJqjA+M/GVn/wBHrozKvwc/vSq
W889TLZEDS8RRKSARLHokH3V3rhh2W1No0pvmBLhDDKQpgQk3F7aMCj27BZS/NP4nrTtAuI0b9MU
KkGCzvkYhU6+llk+UlT0/ppoKlwWva9vyTg/tgOiA5RNLn/LFw0cmC+nO+WSMbI2crxAQ4e/CjY+
qpe8PM82kiau7A2RuXelSOTWnIOERMBOr5UYxk1kKWuvKV3vorhoXkBZGRekd0OHG1oP4vbQgfZn
uCsGmLIBDWvUHbV7ZHKsV34VySNSK+vYKx9tm5xOlkkgltuYu9xVz6Uxts9VGh1817lPR/Xsokbc
zpigIdNHz6UnYuwR6EyO0+hXu0m0ESmO4oFBX3TqIzvdMO0O4JU5UI6Zy6ETDPUG/1tzl3Ziumnj
Lrjr4fSjeegvBhX5uHl1ulKi+tq3iDwDe0iBnZflocKn/s3ph3GlUhAnIKsQVDDiHuu20jZbc8vo
yP+t03B4yOuA6C6Lm+dDaeGJ3/gt+wgWU14SWTzOHxvO/VU7c5dlCjBckJtHTGIKaTrUdM/UwZk/
4FvhgdhGqARVfxEonG79R5V0ft+ulBU5c77RvdV9RHq3M7KYKD5h8Zn3PmmynyUpGc3BzgvkY2XQ
oRxRtekz9BceBKzcD3Bbo3NyxYn2rEEod92mh67jTK2GvCrIkyynhzfhqVVk1kNUVnl6nDMkJm6Y
tlcmJpwdLEpsHBKh2SlJe+OTZ0TUk/R3F2uZUZwbFtnPA1ohD9xXjARhdlP7Qsreu3emPPoW0twf
cXh7JZvvhSapVSAfmTOV3zoMMtVKEU//Ukm/27BFc6/Dymo+pmE1b/qkV/uBiuUhUE72cUIxzs1Y
yG09WO3pDWeeSnwHlmP3H+jCMQaBk6J3SJu4EyChtc9JHLSf28bJdzkxoc9+i1M5I8ilONpImHap
QmjELFWxP6zneeMRDDlsRt3zcOAPwO+GA2ITewjyMwqu40gQ88anhbxlVxp2u5x9U3koG/LpcCvE
01MbzbHeBgiKcDPHC3GqNhwod6UREmZXJcVyD4r5FIdZcs84G42+343WDu1NI57gdfEViXMLkzP5
I3xUL5+eJkuO82UcRTFuJvDGtQHisIbpeOEkDr/VJrrcwVB4Pw2Wq6HD++3Ja5LkOpt7lLIMJrc0
ztxrZPytt63qEkPoKPPdXEun3Pu+H18XRTP5cDUS95qHqOWh4urShG9POYPzax8g4qduirtbRyOA
7UnD+4BhUu21wh4XJJxU0TnqLLg1bxu3az65yw5zXXka31beojzhzKYHV5b8WjHiy+yc9kSWOenm
U998GlTTPU9oXLba99vPIBIAbWgspeB7qjI6xXQj9iOsli/kibrXjm7FjAg6jK8lQ3qcE15Zqi86
I21MsgLPYJOwhBACfmGyLDebOYSfLHDKLVR/cuF5Q40RdL3aMB8aU7nXqVtHjw3UmyvPHesXL4aE
OYwJdnRL6MhEvEMR6Y4Q9eIhwMnVGdEmFuN07kq+vBP68jEQGe/FeCF3LPDOxhDx9Ri2nkYR4FKB
V0bAxMJuCxxTC2wCDWyebdIcWmQC9iddQegLVnE8F8Mm0w00OEyTDW2sqv+gFE3rANTFFz8GNxJF
qjia3bDc5WPSjMxcLPc+LZPpyQHu45PVw4csXGTYwdA1r3aWePfEALeQ6qs5uVZeWZlIk6ruuSBz
9ibw+vHJaGR+R2C9c71k7164CK/vWmfiQLlQO8KfEGRRZCTXTs9ZAz+tboxYqG+GRs4opONWK5r2
0R1RF86xBU9w4ZH9cZfWOkdEbMjH0GAio+cJDa5GZ5FsBe6pbz6qvwpRehLhEnLNHmmvJ2ZQBKKG
6goggTyLVHjRnZOw5Vo1Y9+qYzlNXsJ3507SAjfihgYSdxrvrOS6yDNCwksTaguuI5q4WIm51kYf
JNPRs+sA/lQ/fKsDwZ5pMsps3ZYzfOc6M5+cuJk309ybX0HDjiOyRdne8rbQOOGyplvjEECl2mXu
+NUKRu1yzRDCiabhtHis5P3emHOzWxFqZz5oq4C7MBi8zXxv+grDpb0dIuxliMaaq2FSzUeJH+3W
HIL4OvII/xlC+JFpH9hH3mNE0b4FKpELM3xokSAat4jUet7xIELcY61qTl5g+5fsiaNdM0bdYhSw
fPqmg42QMrKDFwIih6uIyPr9VBTTwfFKLg3L5oUNL5TkGT9Ob94SIRqouo9dM5HaBJlviOsGGlfT
EDY8NfYnHHruDkORJswEESH+tmrtTra3NzlfKyaazgaTKc/hYJfqziw7jAwFu4bKyaInzN/OuhD1
PZqWy8lfIHyGkbKX6brNPIbZVUv/xxhxZ2dl03HY3Ls25tK8Snzg/94S8iGNVFxKYMLXlXKje4KN
8e1JeBu8dEsNOp9hY2u6xtFNh9OkVLFJeTYvjXjucHf7FVTSSq0o9SkBQ8Z/tFBfQzdpj7lfybu8
nuwvU+Gc2tQweaUF/M3u223lmWBEB+csZeZ8oN4mT9qQyIznZc5UD0QyC+vYRuRirSFsUuFlcKwC
Ocd3RoVl0ifOzquLdhPOIiXFB3RvMOtX+n/lx7z0tc+aw0myBHm2mccOZ+0j80/WWZ4T6S0MqEgR
iry8dKBsjnDsE3NsNlSoM2CW3NjbRI3cj63weNWF8d3Yc5DRjfybETTSisa0IgQ7cl7DNPSevH4o
DmnqP0lUUnvapQl1IKXcqoQzs6rTOblMAxo3SKWPka3NT4kRzZDDhLEfYHJuAjy2m3niYcTTOKzm
nFZhrLCTUVw4HzLH3VeurHc8TryACa/Qq9hrw/1iXP425aP1QTaOeRWWoUa1UDoPYMCytaSG3UEl
cM8leIEn0/Wh7U9cJXfqZbvzqQuhyXVkgUrZfNWMmqx1E5MO02bcBikBF+kKcipOt6ZBtY/uGhkw
bMw1A4RVqMHgjL5HQe/E2Ssho9Bp5+ow5G2RrVxHEFKeyVttWB+GVJQ7HsUdNiHYuMzYKMj88Qrh
dvRY5PUaUOu0y3kFgt4OhvQuMDoNzdQOzr1KeXsZyTYhiXmV2517XWL7rtfJHJoMLQp9VKomyQQP
QkWNJnIeOMh7TSwzcGl2Ai070/Blug6n0qoQGY8RM7TpksTs7Lm0HG/vmjTgaa3VrFi6oaUxpkLe
hJHdXiia2QureAKvNXZZfgrn1LgjyePUZb48RFjxp6DPL9Gf1ee+WpyOTl0wHJ2HJd16QLqWgZrp
s4MpRfgcMjNln/NKwtu4JtBVr9sGHGzmVwm8YwKLnqVyumNt+Z9M7X2Nurp9oWItXoD41by0evHo
F67YoSEnIBpn7a3yqFgKBdRg5YB3Wcdo5OE1GxJlM/FnJ2HDo9pM8G38g5+bJO9if6yvxbzkABO4
XF/TvsEWZAUZitaRCAhCvkw3eynLrLq12qC89VL6yKtU8QLNkpkE3Z7Ingq7Bgh+QwNNFvzCFhXA
ye2y+h4gaDA/d1Q8XLeUTU5J0CSrhPDsY9EErCihbD6yWtI704UJoSumIXmsUdI/UB+zM80hCJzi
XPZfyrwevvRjTxOBbLryW45nCA+NHqIXo8/MTznmViIYHSVvetKqX6wcIODaiVLMO42O+i/CbfAN
WIgK/a3O3eq+aCUvhj6Ri5EJC3a9c8KZjgYyw4WQZo0Lcrkq6vsES7dLjVlHL7jx+JmwkeQJ+1mY
Y67C/d/A28ESvpl6PuU2w8tHkjIqLWzGFmAPWHRO1Z9T7Q7sG41qMpP1jJw43lG88pu1CCS0iJn2
4yZxQiX2Qi0lwMCENMIAQOhZlhh4rryupGgtIo+rRCq3760JEiLKr5uwp8RjuvDLY5d0tXHkqGNr
E0U2OzZRC28n051EPK5sxpMQknsDZZpPxnq9Yj9R7+HExGu79ZDZ0wvi1ONfrO5d9GPVvkgz2j0o
C1I2mLnMDw1gl/Aayf2Ssudq96y6ob53YW81XELmrbDkWr5f7rv0Q7qGQKFzj4phgmiJ8OMSlPT0
bfLoja5Gy22SS0+YyQOhw9aeUKXqQ4n9+Db3IeetmyYwHgBX9+ogacNH1864pCdZk8FnpCrnU8Ne
4+J5SlbYjGFJFWuuCc8uvf9EbejLcBYnMfD/64q065TdSwqsjopY9VP/Nc36jIwz4jQZYIRlmu0h
YVoSFy3Pz4oQMaDtFf0//EALIYz7kIrOTZwmOxpeRxOlY7YC5KFNXdy7xAKZ/Kxg/QJgaUQ5mIkR
WZWlpS6uk8k21u1SQhZ+ZQ14F63k0czI+IJyYZyYSXcHuFOw3+NAQg/O0yetk/lxBtjx+xjsPxrU
X2hQCVFb2qz/XoN6mX5O0vi1+p7E9McP/SlCtX5zUFp/B2P6l3Y7NH5zkPiETPzo0Ljkef9LhOoE
v5GublikXdgePe2lRY9laEj+6/8h60Z4avyZhhH4/0iEar5rZSOoYCJOfMbCnHIYm7zrKgMrlENb
9Oa5ArtCjPgUl6k8dC4ZmBHQeK9c0cku64tscQSS5sbGXrKqg1/oAam8+ulUWeZGGdmS/OVmGA/Y
KjiFk7FVbrGYhVHFktFWPVX4d2f65kcF6/LJvhvsWUQ/ISfl1BrINRZd7l9HC0E/zhjrdHe2Y0Pe
mUkl1r8/qCxbgPEV88yfH5DMqR8O6RgQih1KZxrxP4y/RVrYjUDPdiZw96IefJFhXTMJZMocJ255
3lvR0u5lb4GTMmzlenQm3zmEHpk6O9QNZn2M/JQ3ip78ZSH1IiJCrcFjr1elvr1lfSfLEM3wAyrZ
Qe+dqKrPTNiibktcKV5pM1+Ajy0AJ7125VjlUPko58/Cm+RdoVnUqQrdVwYSVCVZG3CokG5ivO38
aMnTcyOW8tkToCY9rgi5cQM17C6CQnGpPJbSzrS5CWabVKnOptBXjmDHw1zFvOoCIjqB2y9N6jkN
F8fx8smNxGGBa5PYejCBIulV6vd8t77L2o+CluhNjEMP+pKVBhJvHF0ka6JOXXu1xbZQJiWf6M3r
TJ5XIh+71k1oArbCMh+sLDH7swX7yrpCp+aLnecrr3m27JHY+6Hruf/intJDWL473emush6EXVgS
sQCF04ttDZy5tJd8HjXULJzw+FjKJt7Ceg0Qj0NTcPBf8f3x6aC88PaVujUww5LTkdxEGDy9Vd1V
ZYJtzub743JzXzPSiZ5GImGeprHjxxk1YGZrU++W9Z9fbbAbjrepAlu48pxh6J+TmVSvg6NZSbec
x6X1li5LSyoKWtLSHVp9rzRNIDa3qGTPrJlFctLLJfEVRvCwTSFQzo0N9BN5jYnTdRD+Wk/TfJmA
fb6lxw6RmexXebCRQwSbtoW7su07WnMoM8gOXXWeP/sMECxMqpEfQx5rzWxlzVI9eIM1XBGsROxg
mUWkrmj6La9xNriXSsXek8DKfzVPTXEDMiZ+hS2K0UyAvlyz5vuvVZxPHxrbyCRuL27ZZMZlPs3T
EKyTbOaMl0WUq5MlPUp4AC7hE032fri1UiA7G5fdOj34zuf0zmnpddfGIF1717sQtTF7UZyYi3KQ
vq5NIKYjrM9zKbl2qU3+1TciEFAe8ccy+9bIWdItoROSeUVBmy/mHumtinKRUEjzQVnLlS9y0Xqk
Xsxc23zWBQnBft185MzwcPlZxUOZN/Uc7XpDNP1zj8f+Dts9DwJsEE5wajWWt88Loz67Fs74FWZv
oizZaObsVyx548BUOdCnUvLCrkZOvV+PHMWTeca+mKct3LJ7XYqqcEEYjAvLtUpyq3vItRbiSYzA
0C4GqxPdjZIhn6QARTk/6hLr+WMKuyi/i4CMHGSJghJ/l20f9cQcF7Njybns0LwvG/qZcjMMY04E
8erdASB0IXcOb5XkhOSJ8vjtRqYHy4WrRchz7E3LQzF04PKB3Nq8QyuntoBo0ugGyRok3rMsgtG6
zqKQF0UQm2+wnJm+ADEsMV6dkmOKPGbQgw+8y16wIjLiYmoTD1/sCHXnh443BGWtjIA8XddlVXkA
dUHMhlu/iAWAstzkN2HOyE5963PNh6IzrzLktvJDMEZt/tWlIMIb6ShsgdvSmCzrumT90e3KGrPY
O0aVFZSM+GvPMI6JZWP5ds0lupodv/GSSt2v0jQOrirbCJ/daWSDrc17f4olELayHh/p4ohtDswd
SnrTr+0xTo52EUYbzLLs6Uqa7ysw8dDCaYe4BwFVbr6onawVKQnRpCjSl3G9ChxXs8wYCghvS3H6
1IMJXxPs9CJIMV0N1bI5VRUzIcBjwcHMrfhT0Uf+V4lXfVWZXXU9FN7FOHdwl/Oik7dejTfatadq
Wy79nRpoxF2A8/oFwUG5s2DXRmtfIyo3Br+7CWP6YjSuWyJ7IOZdgjguHq0M/2BISbzTwEJXYpJg
Zjr64xP05Oup0OWFS3jndpz94pbXevOShWNyPznFzewbEntn2+NXVK1coc0Ch53W6X3ce8XjXDp9
vOuGakGjURUUSLZPBXSqXWATwTkxdIEq4RNMmk52/cCi0zxXbtkkdFb7ahcQtvEhoeXCqS1TIkxp
+tJxpLF/1XiSSBRCRjcYcftvacdYohgdnMU6i3dzYVlXbtz7ziYxXHpKUlEObPrOms4tW+B9ULRq
CXC366NPO3sXu+YtYNRmb+DW3HR8x+cs72iaSTBzx4powYmgG1oNDOyie6bJ3l70CJpdhrpryOY6
2NFk8a4YN7RnXtjqYFSVOs7CDI96yOctojTkbwvopGXaeEiq3nuY0kl/MYwiO4Pa1Oeu6pBu/7xC
+aGYc1Bo8hdbnhBa5/uUgram95EVTXSSQ0NSaLUkFs82i5AjSDvODKyxeBy6w8+P+k5oRCHmYyNc
ZMBUuj5o0b8WYk6kEz+Z3fDEvoSuqpPyYmgGixrj58d5J4B4Ow4BcR7lssWO2Fg+x3cKzimpvbEP
4+jkEAHNO9XoeGdXdAUYTPLC+OcH85H+cTpNRK/vdWomz7CIKQJPb/DtugYh0NORwKU9/kqN92Mh
S/xnwHkLsC5Rz78rZNs49BshDe9ke8q8qkZKb3fGikKXmO6QD7/551/tb45nYvlC+BMaHmEL71wv
ZlDz2Bale9LYiJ5+X4KqhI0s40AGrxvoeZzenx/zneKQa8eXC/CawRfi4r0v1hXgPSZzAw0wr6K6
8oVB8cMLlRW4kgQGr2jmsB6JcuLPBoQS+Y9v0mAhI6FdRfFv4dv6681TV05rSBSWp3FM2TfPAriO
Ode/W5z/rW3jx0eBo/gm4hzU29YPEs4ismZs+b13igeiemlCglNgePyLk/l3R2FDScMT1T0P3jtR
lUeEVOsKvktIkvrGS3HEv7Hof37J/uY2IYMFYU3Aboft5rszlrclcIy0dk9WhG0P9wk3BW1uX25V
REb60MhJ/2JL9+P7i3c6bxO+Ft49DvvXi1SlU6TmwnNOoo68Z3MkKkobE6XIWMBuqwJFp8vrNbfI
z7/qj2+WRQuL1J5vixvs/Vdl+JDSknStUz7ydEfQLc8D4JSNzrzgF3rJv/mK3By4eqjBfbb81l+/
og88lEOV1kl2MIxgT9Zn3Q8o550l23nZwcnlrvnn3w89IiY3hNsMiN8ddDLA2Sb4xE+F1xJnXDKf
Lowg2bPR+eWT/qYe/Ou+HG0cmhAH1R8azB+etCTowDUmBuPEntEpkiygRa5vFHfNpDu4fwVypUhR
JsuZuo5Ye9VfTe0kox35ug6bi9p9LWK6b2bS21SdtOuTmyD3muIXp+XHO5zhpu1jyMFFycD93YJS
ESMDMCriDkdJZK/TKG0+Zgv2ZjVl6HdXCL9/tVa+t5zxIkSZyFPF8oyT4gdPZVzQL4lY406CSWeH
ysRm/wBiaPgSdCZLZtJEy/2epeZVOxbtx2lyEa7Y9Gvv2t4igK2N4ZftqJIYTCrItf94cSCVYtHx
8jBw7d57h8hoTPQU8NSXOqDoNujpmzFQrZ4Es3Q1tyi3/+G96S32Zwd8AVFgDkqdvz4QbdovRb/S
p8lhKtYjpslWqqW3ycr+S4vpDw86B6NvBD4AFzfLwbuDBdoKsUeG6iSZXd1gPAsvmECzy3GNhl3S
z7/ZD6/p5WCIRPGRLyveezVwmQuzQaanTqgs2FjGKfhbuv8Ju8SfH+i9/xLVMa/LpXhw+XI4PN/d
yAWpJdJr/JkKokv6G4M93LhmKj3kj5GodX9usolOiBM7wUUyJ7BGi8a3MVIVyzJYt/IuASRZrMTM
Zmndm7r5qP2uO5C5SCuLrhcip2LpfszYWPV+xkJ4M1RMW39lMPnx+sCxQJmLWRZn5g+lUFqpoPHL
vj+B1gk2M3GY53JO0n1sqH9cdYHM4B6AU0jDFl/Tu1thiA1rQKzenTpE9MfAyvj+bY0KWliyPjsV
JsVfrDLvaiCHZW0hZJCliq8L3/i7q1Tp0jbbznVOXiudryD4p1PnROHTW0PE83u6Oq0u3McaOeAv
HjLr/S2CGh77gweQEZH6YoNYBL/fFc9OEQ2pA6XsZJp0kjSacxjjeAM8jXwGaCKRM56Z5wz96p6c
ECZYPIF2F6cHa1DIV2FtqztjLOki6nzp16DqXjYWY8eftc991BEonO1Hfv+NPyDi4zeBwTmEIs7h
T+f4rG9dJtBPcORY7qDm6z2iYrM5TZ1qyKvxennjzpLWWB/l9P1IwGGhT9sp9qEQzRaQbWOJQzPM
vLyd6TZcddDy9xKx502tTEFmBxOnFV3sChE2mjLjgra0Ua173x3DVeJ0zcWQOzAR/aLR86ZWrWYD
rdMTbGhzjabGHQEhmwCZKwZiqTvQ+zamuX5dxs81z4yJS2Y9kvpifpm7IKcpLjKeFwaTSzNUoUa+
mRRCg60vWl3jfqZFuQ9BwSYHb8rZFVUtUYRbjSDx9+ITIR6dl7BY6hpGus3HpCqQFNEtT+d1vsit
cNJ2RO4e40DIu0aC6bqBl1fUF3mMafe2t3suiIWZh7gXs2xy2HQG60U3Dma7w/GOjgLTwgVauRq9
T2P2X6Ch8y1mO3P1V9urRueya82lFTUXXGY0HfwgX919dWc+7n2zoDK2uZU5FxNnE5lLg8qZLJQh
lzuvIVBkQx+EzhUhITTCg1J59nayI34j1L3I/KRniPitzEZxL/HZMLvONatWaDD9aldJYfdAnOfJ
He7MVCSECnC7kBdKt7lbm8qfm7UQqXOcJrBH+MgHuMgaqT+qQItXuKtj7qCqmthIWP6c+hfORGLr
MZGC6f0gzSm9QgZITytAowSCr2APC3I0pMsYj4bsHszK7Yg1hQeZXzJP96wrkXasDW91AD177j4d
Yx0/JB4B8ycizFGiRzRCArRwqpbfmJ9HN4GeGFG/teDw3vNh7ESaDw7Tu9c0ShKAcGOPpPX3x8qz
eLcYyzMz+3YWvFZoj1HduMp8MOGlpQe6vfTmrcHhNd55LncRvm92Zknhcl6tfumZk4UwflIpmoSd
TOnD/z6aMQPnNXLtpZAgrZd+XO07r6WZLZ3YjvY8mjS2P9I06MC/LX8+SYXdTULvyr9wfeYRqxz2
Ybar0bKAdA9jHtOyEUwaCuVwYgHaOyDGQytObyHB8UFMEokRCJGOfFfhGJAvIx4AMdHocXOUbnUo
x0tXFgj1swy789hFqfqK4oJbNgtay7lVZkMXOFHUxmStmbNfsh4zBkCEkdCu4F5xmObkPMGD7X+g
MM+HeMX8tG6IqE0n0oRWUaRLevOCMI1T0fV061WB0nBHB00HtCSIITyVhiFptdEhHwIaZJrM5/k/
c9L/FdrYJDLmu5Llh/DP/1+8fnr9a/bn7z/y55DU+Q1fMTWgh/eaJBuDSv1PpHHwG69kDHOYsrF2
vSVv/knqcSH1EO3Jnp4wWY/dxr+GpLbxm2WhVmCwyn6HTZ35T0g97wq5ZTxLg5JPwdKJZPz9fjsz
G8vpbUewlgFgx3Wj9GEMnf7hu3PyNwPNd8XP22HotvghRzMWr/tfl2iNylJNehIkOTIBJLBRbezR
CK7LeUKi8fNjvdv6LMd6cxLTjFnmmO/LAa5FRr6xHR2UWYfXaBMWLZRpn5hQwVhGFP4r3yeFBh//
u30hh/SXuB8XO9jCtTDeGbBl3jNv8rvogIMHdHzU1sMFycPoh2pR1u46COfwyQjoA+3Q40/2xkUq
ofbAOpGVtG7MyGyaCAMaJfvjt9dYWEveaAQ4IyySaXfRAksEQxqH+xkp6770lAXURS4qLbO8LfIi
3BeiGx6ZW1ancOqanYjK9CpSaNcQo7kkF6JD3qvWKI9p3MM6JobyFiWg/hqSEfmU5E73hDL20hhV
uqU9XlENFMZBA5u8ZGvjLeMue7y1ekRH2tb1NbDq7NEyUgwnRlTsiPyu1riSJpwLFRTTOoK9oVsL
VotRr7pWzVtmoMD1B7s/++ZQXzGwnIkHyO1Xwl/EofDmdqM7MR9oaPtktskw8tbBYjromWxeeLqU
t2GtE+LIWpK2V13g7IzFqEB9j7J5Q8G7WBj83w0NNFoXe0NSNWRaVD7BonPEfb42EtTsTGDK6tPY
+WyKxzj4gITJugtjI0SRZPThlyzoGwq7sEMQXJJwx3QlS+WuQ5TN9IZ9LTor/OFIbpzimsT6oFmT
WFpf+CP5cmqs5qdA6WKdRykWA4vkN1TFMRVlmiH8ts27RKbGOpKUnVRkHuBMwhBKv552Nb6WXUB4
kruStVd+6coygS2efFZd1mxi+lnnOAxGQv60m5TbnpMDLLO4bItSf3BsS9yyldUXho6AXPfSzI9e
NRmCXJUsQixVi3sHRN0xooI/TIwstrZK8ws2puMXxhzDp9xcHEw6Jqp3K4aUeB7O6SaJvM8tbrjZ
nLurqqBSkn7xxbDRknq5c46WWUuex49hL1JuUpoZAs0Rgq5SrkmBg/qKq3UdRikjyGY4Z0j3IaUM
MRQFI8heaVqRPCv8FztC8kkrXG2l77V3EcOPC49NH37A2VwB6nO4tXl6sMNNl3buWNvMROZcMj13
QTdf5lalPw2yVmuurPsJeXl+ja/D2uR6GO7Ag4p1NZCX2IbpFmn3sxg7+4opJ+5Gpfsr4Wu9nUNv
vq+qEBGeGU47VZIHRe6sb0e1dUjzADU52Vgk13yuvBRrKwDKERf/mMsMlWPQkNuj+wwPQlzm7taz
RsZUqkCUfxHMhZJHSAKxKilhWsNYRULE+gm4KoG8DGioo2JORN1uMK712YPTZUE8FAsEC+IR03J4
OSTDMt928evkiE7z1KWeMJZUWQK69vOkPf9Zou8Ndr7KLfdYgoUwmKgLFez6rE9bQmLKwdvFDIfj
uyl3+T+xc0zYENpuxPtfdtWMroEBgb1qmGQn5xBkN6ilHpDtR6tJEH2uDGLbk+1M+W49ZeNMDmQr
eUd+8WXChUpAiYtTrtDZd/c5Mrqy3Zthn39Ee5jfhxPaiw7/2XIwHw2zMRRPfqQEaUi2FanVPHoI
J+WEug9D1IxofPFGusMCnLei9oIIW/dglcKAZ5SrVG1KzfjbSurFZNku/9onpvcePOj8Gfk8qegV
uTQ7h0iYY13Ah8fdWKlNPhbOsUGHeEolGaRDOS4h1gvVDJQy3fPWwTi89lEH7EwPsgOkxmrrNuFA
FImBJlIompwiisKXt3ZnC6H0HjkhBFZCHxfZNLGWsNOd5qtDS+qCD7IoAS2nPjekIOnN6MVFsu3U
XB8DowivCzf1Xgsa08nKRnmDcMUnMRFqU77Og5LPRsOC/+aKAWVj0BVPNlKCG7wHHlppXdb3cQkk
dkVG9Qjguoaux3P7xxTuP2q5X6jlICNalGD/Xi33QdUlTObvxXJ//MwfdaBpONBMbcsHXAB57s12
/EcdaJpwGZdaz146ePSX/0crRxkIIRX0GL0cj8YqddOfWjkDzmmIjYXlhlIRBMT/oQxkfLXULohb
6RSDjrKXAue7FgoJ5Sbc3Ha+GksWgoLd2KfvzsbfFICcrO8rpB8OsBRt3x2gk3ZRNpIDBJmHPQlZ
bviaTldpuE7KLz8/1Fvz8btqDN1hEKDeJQ6Ewgwezrv2lzLxM7tshi8zl/YDZL3yD+pqGFh56770
mYyDzwks8MHYG43VCxTeNCfS6kR7tY3LL3VbB5jU4pHU49DfR11s7FVQjV9T5oBpeTF2Ti+cs+E1
+lj0YRZ12JMMdfYcpjsPqh12mZW6p37IzJusrbHUgihuq2GNXIeNK5r9YcU4XhCvPE92OFAPlm2S
37fsPSdMP041+ZRPdQDdLqXUo7c6WicaSumjksV4LqIWz5XGZ4Rje6KJWZ79wc02rgR4HyCmnl9E
zaqQE5eT/jd7Z7IcuZFm3XfpPWSYh0VvAjEPJCPITA4bWCYzEzPgcMx4+v94SOpWqa37r9qXmUyS
iSKTDAbcv+Hec1c+apuQbsO2HsGdieWUYbbXnkf2lHa1sYY4CjRiPX6H0Hp3Iu39N/LvU+P/c2r4
KFD/8t79H73j+mfxbfwmf/711Pj9c/44NDyef6DDtEy0aHSBSkb7x6HBhzxWLA57elZfrvnfh4YV
/OZb/Af6LQjD0KBYif1xaFh0nIQ6o7xnZO+rhu9fOTRgj/7jU82+h1wd5i6M5xF2QEP6x6c6z4Yk
M5ag2c9kWLx1GeLMtSss7mzGeXWIw7bstqKZn8DPk1cHoDvkLAvoXHSxzUiipFjC+vMWpX0JG6HK
3TAN9PHn1LkEo/HFQz/C4Ewy3FPFTglzdvFx13tA3xPbKoZeNIOpwOAdgIfiRSRxBPHQc9aNFYbg
bnkoMqcbVz4JjnuvaYm6QSsqjy5DonVfE/CiEfG+6hLMnzR48jQR571yS4t9AT6X3cg3xzhKuuLg
EUFzqGmxblju2fW36UfmNdpbWpTaS9xUAG+aqUI5b4LyjxnfCHqIx2Vii11O7XXwyd/Qcn7IiJ/U
SMyrbZL9QQgr85y7jzgmH1aP819E/6RY3IKuJpV76Sg50mVrNp3YNgt/ejKYV9eaIDh63aWrmaL2
pnnF/ftCJXoxIga8yVQ9Y0o3ztNIF1PkFUFE1K38rcSBVJ5tX7xF4PvDxegm6rT4A57DwW3ISWEd
ciUW46OBfYeyr36eUAS950Wlr4WVALti1EgcJggu7IHQ4oMXEj9xLnGo55GrvoVm5Tp8aRTC1g7H
mf5o5Zq27YacAqUNiq/13NtfjcmqdkSOAmWMCexwDeqpquuYmRL+0y7iiU3Qso/wbXYI4b7VtiFf
qLxIlU8xRYeWgLfjm+KpIDYo8hcfA1XXPM5DIt/s3H9x27Te1RN9stHO8dmNcrwuqA4YPrrQAAr/
S7EIDZGdNX6JbcJ67bIGaIDglpY4iPpPTW9kFXqNbl072reHEpsnHhIzmXw0482yYc/7bGkGql+0
TsnarK1bW3TBloUbnbaVuEAfXagREA64S7UhHMoJcxpDb8HAWxgGKzNccBmcvFVHv1c/YJfoT3EM
+WA7Ss354rHRONmlq3/gYhrWLY18iCmDbBiH17LeGr6M5Moi9uY0EinRHXAL0gs4WTf/0ipn0Xa+
rOvo1xx446UwpYU1prLzTeGllgQ6G4eizIznfx/0/wwGH8GRz9H8v5eHl7rqvlWgeH6fOR5+/Od/
/PE5fy0P2aQi1lDSLFaE/3XSI7JXtwBzSDBtLNhNzvM/OfgQ8nWdDzF/QRPpqvHdn/Wh/RvISkKy
OeUR06Bf+1eOevvOEPxrUYWNAz4/f8G6YtPv/23DJ5Y6J5N4Th49Icj0KrSS2TQ7VSd0Gjef9x7K
72qLIDih2kG9fIkxI4cFwXw/Wh7ReuXFpYlxUE+a6ZAsTami2D33c5FmsCmr1AcsBB/mXDe5LF7T
BeJz3S76j8yKp2Bl0F8z90HpSrunMQPY4dCuv3hd58H4aJgKHCcrleNFCiYXCQscKA9mMSNBdfOL
WvSERANBeJ61MxMuQWiw8AHvZtVirptZfgxQYzcmcdAHe5j0mUgJH0u2QwAzvNfY3gL+YExAzKOT
hLabpJeCFeChL3oPEEEvD0NdUmjSIk7XodHIC+nNdW0Gr2PFOZgQ0ItQPK7VdzUv2evktALlrSVo
9KdzEhgsLrLFkAaHTE5wOHdTkRHBySKbStFQRaNJTkcbLrT8i7HiN8+rrC+9QYgshSbjpfapFXA0
TiOhyZ+8IvMp/70whUS2HFA9q4LVkzGpL5k0VqjL3UnspC/IPDYhFF/qzCZcjICWYoaeVG1dheow
wtEGa0JMSjolLNPDNhcgUU7gHNB4LiGltkEY65jkxL0QDRxLZKYHo8yZnZwKIAgpuOvJQLFw3/N5
nlgLMIHvg2Uat5aUqKeiCbTpR1B5IvsVgNT6BQMInMKDWbVOiXC5jIyt26VqIcsq0HsDGkSsS1MG
wxnHZn5kzceG1YNwkDBn6bNDapNByiGfXw2jlpu7BQ4H2fgIrGlY6Wma8bac8no9ixxEAxv0o5/h
VwRCBaYiTfNdjrfeSMV069zexjeOCXidBpL5ZtF08dH3yboMuTsyNzQJA0Ugqw/dprBmxi2TLoma
WdpvtSmKT7NrgKgEeeuSAdTAduh88ohXcZdJa1W1gXFsLcoT24oLlRGVGXu76j+SjEVvSIqP86Tx
CjrYOUX8QcyPfoozu9yWk6PtBgsnpMcfdylcgjWNxZiuVd0Zu2TM/ewRi6AHds2nFMtNPT+ZRtxg
QzfbYY3cqDoMo+48pF2UkQraFfaZnfNyrKKFODwaGYYjyTe+x2zr66Wx7QvGQwngqHVvu2dUiJg+
pjz6SCR0UIwdAzNry97kTV4de8MTX9iFP5A25lzVO/sxMhhBUahWG7cxLgsRo9zjogt9Szgoo4Up
eQWE/gtolf5YO3n8FlPznGRjIzwf8mLfFkCb5tSNSYQd8h0qxIgZu2h/EKAMUtKVwXNsMzJ1sT2d
/dz7uhA7X1kZ4xstcs/5MjhnkTbaHv/6+Oo09Zissnwaz4CmzXeSNCaIV1hU4tVY6NbNRdy8IVDH
+qV5PkOejldjmy+k1PVd8YnSJwhlGlHYaf3cBKt8cO1nit4pCU1vqD9tf45fnMyOdbgJ0vneleAq
qqBt+RpCO2BUQCeP2WrVkNxzGHW3hpJEVDV5dtkG68NEYF/s7yfHjeAGVIO/6l22lp0TE1rt9V16
MoKkf6FozcOC1+cF5zqUpqy++eZ8DkbSjp08CvaaR7AhzWbjHX0oV8EqsAuyptwqeQoKP90PUV39
8FI9WBc65pGVYIvobubaVtQB4xC52Y3wc/8wYz+Acjo7z4ZWC4D142zug96KwrFbvpAeh0ducmLG
bl5DfiEqsBVxctZHXcTjqkx6jYRYw85ANrnOu+OPAVt1sdxqeFyh7cnxNU8grDpWVl/MQuQo1Lzp
E5P9sBlMq/vFpFILc4eiqy4S8MWsfd6Y85aPi0Hc6zD5y9NcORREqkswpRTMo0f92SMWMA9b4uKa
bV23MbFljf6N8lWu7amvb1Bn6i6cx8RisdFrZFd38a9pifV9NVTeO/6qRVsvvLU2C0dOmHTzQDwi
FN91VXPy+xRpK4/K7WISyxLyRFpbOzbML3ETiJNPzPWxDqR4agxCiTrEiLyyQTL/ZEHUPTtD3AAB
AX2OD5rhMHm2bck+AOeOYQzmATD83IdoCH6WJUH0xlQH+JXN+jJlIgs1q5FnrEjjtfA0EGd5cGkQ
6mNKntMkOliull8Soi3XZNBl+OQH8yVrC3HxhD8/66PR0vW4SXCzg6nbD343HeopSu1VDfopHJJU
f5SDyF/LoG5eY7+STxX5xl8Fy4xTP+GMSEZ/+QJOZ1bAYEL/5DBv2DM1K92tcJXY/LS0fp2pdwdg
BANwAa//gj+TtLAUlu5aI/EyRCFbb2C26E8N82xr4/nEUVXkCnZhmY/w8LK5VOl8oIT82rZ4Hbvx
zZ48StwBy8I8lQPcCpIHj0ZquJ9MtXQtrCOoZsiTx9DN9OB1XojB1O2Fi96vdAQwbdymW6b27tlL
hXiBGQetSkPAlq/iyCer3R+nc9/UctsKG3/Gv4vjf6Y4Zieq3Kb/e3F8qH6kfyuO//ic/96he4GD
UBtlqjL0Muv4Ywri+7/pZEcFLuhrNYD4yxgEM7FH+cs8wUN4x4idivXPMYj3G+QMCJBKxYgomsTg
fyEWGPHv38Yg7HwZgDCdYb4LJPXv2+3eJOx1QZajOCbTGuBS8c3JoGeBzdDJE0d1Srb4rGLG217F
n+axabDYkuWFhD0SyQ0VTg4aYvjh9QYHG3vdj+CeYh4HOcQRPqskJpyY87Jaqo/SIYCXat18lPc8
9GyQ1mUxCn8J83tiOn22u0td/5myqLjJqR8e9eFbqYLWExW53qnwdRyvSm80FBWWQF1M32hgUU9i
7p8X0tNVgvt0T3O37snu7ILy74mWE2RuyVIJWYE2bWpzTg/cXtSqURH0lxhOoMWAIFrstSPpIzYF
k1QrlBa13SrzM2vXBApyhT0jOVuZSp+37kn02CFdK8xVQL3iAL2T5b489O2sh70KsmfUM35SkFbv
dpeCNmCeMp/SMW+us8hwbSYmnsnMrKl5+u3QE4Hq9qYeTqk/PixwYp4ca+YUHX0mPPDfRo8YnTR/
8C2WyuQ2LFsxd+u5xUTljVB+0IKGQ9XDVbJnNKGp92Q0bYBs2io/p7agAp9K/wlZgSCDPuuerXls
4Si17QaIuLWPFpR0sKuoh5wOlRWqiv4Ep4cR0kLwxnFAJpav9BjM0Sp1Gu9MmWVWodRm1jql6J+J
7JCkpRpw8MB1Gm8prO63ThPTQYwOoKAq0M7jwq6xq1iq1oQ1Kp3jckYy1r8WrN6aUHEez2MkmxPJ
08MvtHoLVNG50/J1iyL/cbCrYiMQBGbragyaiqvHGy6FNtEd4OrOvzVqFRxTXDi7OC3Rw5rZ2H5k
GUQUxbVoBJ5wK2YwF1TGnlYyvSUit15NRs7XYHH405DBymcUJnBDm8Q+GZiQdRhadbLXrI59+Ez0
KkrVZj/OxnAjwh32Kjifd62K5dHSy+DnKEdPbl0yUW2cc4gZNyPb21vA0msMW6hR2lsWW+5TYqfo
I4n10CpiJZf80xa1Faz6xMw31PXlOnA6A+yWUb3we8y/cAsmTx452pfWmJOjJ80h2Bj12JyTqLLX
mjvH5Zq3a/1C/aQrkF3drrWGjxt1bHPf2n29SepSEGDv1Slj/JKn/G2qjAwVTRFjAuHlmUxfF6ys
U51/1JURdzRDwTBn7q1FO6YX5+p34RYriG7ZlyOpA9EAJek2sxaYjwnk7H0zuk8GHcpa2N5C4Qhz
CSJO8DwVPD2bduqLd5aQMyOdaCjWHuTWNsyFWYdV2TrPfe+gFpjxS4dqlBYmVao/2KKczp1DOqQN
12jV1i1aBeaAmyAa8o2PBT2UPC+3qJ3YpqbDUHyZotFCg9F3evbkqWTLYG2LpdfJwWzHEmqeR1I3
QyyK7LGXX+0iGa9a7iu2q7TGgyWH4xBX7qUWQu7KLjfXxVQsO9GX85U9h3noM+qg2nfigz+3xXWU
lrwRWDmFdp6l28gKig2rCxSZbrCC3ZSujCZ5KPEc92VHmnKXnofsCE2Gr2RpDQj2qNkEqfnuki8D
vIEMXlod7nZ9hUyr5cuQmTfh9vwK0dCG5Cvr0OBl2bKmax9T3X4PehGvx8UKNugQtQvtebSP1Wk9
9/prZRAREMVkFefzD9kOp27hNYw6/ZSliIpDgzByxCnJl8nCEQIW5avvzR7bePEJ26DYTKl502cZ
ACUjT8iSj+6YZU9dU73ZOLIJqzx5kCK3pV4/D6lVrsrJI2VVhxoJ7m1Ym1UxwIwB8Lb3EgOBgVsh
7x3aBoBQ4l6wx7dHic6my6J4O5NfsjOtwV4b7Zwz9WQCtfYYPB9l7NkpP55Y3hMyvS8ByNatywbf
5G0ECKLvzjpoX0xrfXXTAXLuNHbbO3teeDfN9fKA2imLeP8YwwqVqbg28xzcsCQz1MYSUFxzbSIt
OZA/vBrTTJ7Gxmkpg2aDqdgvoT9OZBsQxYoEzOft94LtEWmD4bD6QuKxWQCkgsKM5wfgqVCGB0N+
WXLEUppjtw9mkF5RfTQ8EnkSygGocSnzMpRlUT4TIx1dHWCmSsXNRr6mp7X4NQWRDnzXtJJvxRR9
S1q9uZqYC57MKZhOqcRx7CIYeQafQ9tnuUd28FU49bx1SKJ4JdS9UWoECvZsIkHI5Ts1c+9znIb2
5msBK7l+mrfWvARbZTH+5bZR9bCMKGSX/jx2NnsF2bf2A2eMds6YaqCNTsrm5hRJsW6QeJ8sstVC
JzLFLpja5NMuCp6toG7b0Mv7G2/C4iGo9eIJHBn9buV6m9Rd2jUTmyfPbu11Z2byUC6W9VT4VqA6
VPHojMaHM0h30xha/lyidSIi2QNCVtvNtkV9bvDOSCBaURe4oWFDvCXJm/7GsQDuCZmeCJcMjk47
zvvKT6eD23FFTvniHrQCoPf633XyP1knq1yM/6NOButQcZn8dYpMoaw+6c9C2fsN8id6AWyahhJb
8qE/KuXA+I2IJhdf1h8lL5vJP6fIJh9y8UYRBeIpVg717Z+VMmmq5EhBtw9c0hYosP+VShm16/+o
lE2UkqzkA1sFCShZ619lAKmLXrngzXacGgOv/ChqdTgD9RONp1EQTIYNxDoLnjH2ww5V1P4o1Aff
IcOiZdu1R+1IXI1fF+5xWTw72jCHXZARco9eexBX9s5gvqRd8yCTrw1kNycchBVnIcwchkgDA7Bz
MZZ+syoip+dGKPXFhlLcu2eKCq9etaNcDouxdPaqynBmLgVD2M2gcghDa6zBP7eRGFa2rzXfA1Lp
P++xw50fwAxcmHGtElEQZDz76A/XRjza5jkwOxr9oHQvo819Wg49yyJT24KKoJpmKqkjCHWN9Flk
2XydEr17wLdf3sqMKcjGm2qNVtefYmdVOXrsr9xM3ApHDMAwx2YDdnTexyMPqKkeVSPxd9wuPL1J
ndZbp3KYUv7+dN+f9AmZx9ZWj3+hDgKWQcUzI1x3EyT2Rzyo46ImMBz2tPXUq8NkIMB2nRjmU6IO
GqjK3kZjFreahAYyxdOKB6sab44+tiGqVk4rMXnJJ8RMsbPVYYaGMj/hwgCR6U7NjV6FU68HPXXB
N2A/jEnFqdipA1IfN41Z1w+RkOWvjCNnOxC4BiuFZKhYeu0Np+OnEyEsNSLAka46iF11JIMNfEVI
b6ykOq5F4RyxtmD7UEd5pg51Sx3vljro4Uk3V5En3zN1CTi1O2KBmE6F7sxrR10VGBjsFQtf7TrU
U/lcqCulygvuG3XNqOM1jIL8Kouse9Am2gQQEe2XXF1QdmtOD7O6tIS6vgyH75QLMF7rQxS/LET1
lqsCW0CPPaEO+LJZxnxaCONkJY1+nPX+B+X3qGQnxdUbsIYyWIuCm6euVh/02Wq537eKXv9gU0KH
mRg0mrep3i33K9rkHY3roTubuW2f5sJcsU22t8yU2ktNZOg7JBpyMLSuS9gZsNKEU03ZZanioMnz
cdergkFr+hOdc3vUqSW4V1VVoQoM6jQW8rhH9qxuqT8gfgxM9ShKeiSgobt0XzWt2CbtciOFQ99G
3skegPG1lDXz2Gfgn+SjRsFjqMonKOyb0egF3mfx2QqP6ogyab7XS2b7UXqy2AKgo5gqU/Pk2Azh
KvWbmn9oqu6qVQVGAfpq98EUknEf7YWq00Ya9U2kareMIo7DsH00VV2nqQqvyGPnMKuqz77Xfxni
1jIiXkqzcF9TJHqqWoS7+A42ttn0Xil3BXYrQJPHhRKzU7Vm00HsqdKHSlWh2KBXyFlLlvxZuRlH
kW7zP6pWSoLIKq5C1bRkKwFXX3LrwBhhupaq9q1UFQzxVu6WfHIvNiXyrGplOdtRvqZDGa+j3X3t
jVnba83sPIw26A8esLq1R/25yjSbKrwxpJk9zffyHHcxNZD/HfkS0lN3CV4ya0b5aNIbJX4aPc2W
nz46SfutsoV9cLDBr5bU+OYKPEqrROrdRyv5kVXq9VpieznFRVVuddPhLa3HdN2lXcBcT4qnmWMX
oQHnHVHGwEe9av5Y+gASSsT5jCa2O6fzNH8E80TDUqZ689zI6bnSXYDYflUCx0nIwRyCohdPMeyu
gyVGxrvYETxE4g6NYrtkoGVyxtSrtOqIghRVcOsy75eo9TGMTaCLY+IXPcnvBiHcAOh9FKtVWUeh
nZb9FId172SgqlNXg90Ept03u3I7J83EI47NCoDi16SYW8Pez0PVHctKT3ruFq35zLWsZkthZ2R9
oGk13ccc11a/ympYNnnPsuQ82dK9Ymivny0Z8YjkI2+9g+wG561l63FMlnJuV5B92ADw7k9ZQDZx
Ehpa5NlwyoR3w6Lqm+sI8fexNokNbeYIpUSQVTGp391hJmTkMSn64hnQt+Wt5EDcRZIz3Q6DZUze
yYNpGZHb5d5gy/oNu65Oa+RLssZo8+0zbYXBUNgWwPOXkcjSQfg8H9YwDIwvFu0qONp/VbmtE1ps
swHshraFyWQ2tAdgJOVqQTcbr2BPW9OKqK7+VYcA+62RevrOnRxXdL39pbWYxUeDE/xSxBlSEIrI
umlALl81gFQPpe4d0DYVjLIt94dTBQyq08RqetBQA/MFAi0OTj0cSk5bsCCGOeNvkggEg4hXkci3
xP/aD7NzLty2+KFleobdCckL9DGRjteosd2v3CPBBgdhvO3n2WQOzJ4xIlXVSOKDTKfpM0/TwOYw
Am1GrsmggrkQ8pdzoj2lmdsSJGmV8p3MhPzBKkQMDCLqbC800ekegr7JfzDUzm9ihJbaFqMZpksV
HXLMmmsjT3hYRY38ZGksQJ3t2PrzyiRCo9zMWLIvglb43Rnn8WfkJ80HPvFhW2lZQE5QHMQEjDaz
hrQvG56IWQHXabVS+7T1mRhdAL0EpWF23vcevPq9p43iI4inyg/nJeoPwuiscZ2lWTOTK1pmrw1D
bBtjnNWx34iYeGuT1Ty4nSgOPHMgPZmJCZbb9tRgW02CjeVJ/R3cVWRvGAzk09oYNGeHMjq9RYHQ
dw3DubDqe4RajW8z7LeSzAc4NZShlZveeR675mgknYvsy9bX89C36wIN7Er5UMPJlzZDfqdhHm+i
ZEqIG1gZrbgafdutW8cJzmhjeijiEalhk5eJA6AjieeiqOR7LrOO6UPct0ZI1lf9ls+mqDYdaNgG
r1+z/HQpoC50dGLNXPa7HSfBFy+pym+g0eqtlRTMQ6bMi0pax7zWwjHIOREdJDOHlPioS7DY3seA
RXIvEkGKlhk7Cwt6a7a+e6NMTl1kWF+DLkmQUJbWxNZZDigxa7PegyXlX/MFtt4+s0hd9POoGcLJ
TIxvQzAAja4c8YG2qLs6QYf5JJtM/b1fKCCZR4097yW97Vd+5Rk/goY9zSYq3Vg7wq+J3oj6qL7Q
Y7stm8BkOvVtP++GTNMgaEsFNiT045DF+RMCgPStqbyHeB7WdYL3Bnw2yihyX6u5C65wafSH3rPj
dRyUHsqhQJiPoIe1lW/E3q7BCgK9TA7298BbTBRstYi/VvbMgjYrR1j/hmYZDDPaVIerHccPbWfi
kCAj6mCy59stttOtF2EVTHz1/mzgCXB7Wf5MMrMnUql3PTKKoKushrZCO+Z28kuMEfO7a9fRFn0/
0j5+m0sbCmn3l8ScEAlQZjFLjhxMOqlk3U0Mi539EHrAWlGqvwktKThaLBQL5Cy9FtFUvKSOnuz0
1NHoD6L+LMUUKF+2659yWQZhrFMjliOr+4V0oW0lm37vp0GDGs+M87eWuFkm49E4QPjHGx1thDDp
lqNlOSnQwXFEXXPmJyzOpp2mn9GSMolPu25fimbYxoFyARexxSxgeRXzNPahYRryW2w13pPVNNpP
Q0/l4d9d8j/TJZsGGvX/q0u+MGavseb/tUv+45P+7JJRTQXwfzwT8r3aGP3ZIiOp9QLAtAo8+1/N
sf4bElfD1cmKV4LZv6pp0WXpUD08/gdU+Gj3/5XmmPb3H5tjlOSeiZZXUY9Aczl/D8mUJIc0qkY4
Lg7DtlVRxO4A3Bns4kxhYw/velx6oCyd+paSpMVgKUBE4IOEDPErZRs6ah3pa77MG8mz9Jj4XZav
XI3DO/Dkjn27dewq3CFIxkWzdvwJj08NET9ZRfnoURk5yWkoxpqpH+OFVW0WZ4HK4Ik2zt8RKJPs
IiQ4O3oG1rRxqUVrNCHubkkTechty72wryEoaWmRIFg9BIRViUzzRAc7fuRYFhkGA04MraQnGVsz
2T5XdXSrcdqM0ELH6dDr3/N8If00L/wL1XJkreTkdxv+B8Csgztt82hyH8doItwLVVGhh6R46Adj
jux9Lk3tc6xl88sTKAOsrPJhqJfyZzxhG8JnIFBLJaLf4SSSN4Zl4zHLkaWs5pxlc2hl5s9Mr/Uw
c5gqi0JY1JQAQh8Ip4tPrVg0HF8sAlaGqDHSL01Fhda80eA0t4wKcZcn/vAlEV33TFQR0U+Ftsjv
ikb6JrU8D8LesQHfuzEl6VIFDK79ClQRwImVqY6HxAlySg51cDT3M8S0x1fXdE1e5Kr4XqjzJlAn
j6HOoEWdRqlOP7XEzjGXnThKdV6JqBhCComWMAifGDsJq57x+Iy8jd8nhx3ZDJx7vEo9X02dhmZr
FafZ8KJQ1qXLD6rOTri8nOfqQIX7neymJipe4Iwlr3mXqiTHStAwzRNZUqVLbssa0hAHdnI/vIGG
54dGnejsIjjc+/tBz4Yn2iaKnV7EZCCFo7oSisUy8Lszd/7F8o47Q9BREFxTgDMQWVI9pVBVEVbP
3jmW9bJ2lrlfmVSHF9Fp2dm8X0/5/aoCec+15agbLLpfZkEf298bJtrM6IXj7jA2aBAe9HK/iIWd
3KDuRbJZjAeYksE1RtsYjlyfpEsNYcKF6koUUkUwfFbqvtXVzTveL+FB3ce2upmX+yWdqfs6UDe3
dr/Eo/uFjqTN+NHcr/lE3fjD/fIf5tx47wIC58K4anoqoar5kLOOYlqMxrectQe3+NzNt5YBsr+3
rRyTiPSDGjQr/URwL0Sie1HSq/rEGvTkhJDC/t67jc4WD6BAHHpyoaqJKx+ROpVOfi96gG0EL0SM
UQrN97LIvpdIQlVLvqqbQEIEX2Rqf9dUTeUyO7gYvTv/dISk5ELqV1ebCIUzOzdVlBX3Aq1StVp3
L9tmVcEh5OiURpOyrlMVHtd6txadvIKAovxrUp5nqWrCWVWHvqoTS1UxLqp2nGyRru0k6DeLqixz
ssWOjo42e7kXnlLVoPW9HJWqMtVUjUqQSnozVd1K4hglrHYvZ1EW6e+mqnEXVe0O98I3uBfBnqqH
45nKOL8XyYGql+W9dI5UFY1ZloIaxQnF9aLq7OhechOPKD6GeyFuq5q80QE2rhxVqduqZq/v5Xur
KvlZ1fRZviQBBnBV6geq6tdU/e+qTqBRPcFsV8bFujcK3b1psBz2KdhkreYxYZ6Rr5G4l2s3GSNA
rxpth6GL5zhvibvLg/Ekoe5DH86btVt5R1stsIeqKq5BgoFriNk1ZznHJgm2zW7Sy5e4cvpdK0fA
MzCrBjDWqSSsFUhrGHTok4AILj8WxF4l4063WddWX270GsPBCqJa9jjpRjH0JxszK04mWzLreF00
JgT72bOrXH/z59xlpJhIy+i6t76f2+wxmiJtZTJafTQyWL/sL+TNLQv9BhAhfuJYnKAI5sthiMev
jl1Vtwbu1K032oi1E6blryNUxTdLk35PsGE1HhNYNF/9ymX33Y48VugHqye9n8qnwCPNs41LJ+zS
3AbzU7ZhPSyYhB1yalcGt104lXP60JtBv218r8nYCZXlQxbofLtuzpSgxaKyaiH48KgHJs2KbN0z
KGkXJ0dnXhwHiSSBRV30bPvSPWSEab3EveZTXw5R8tNaiIcnPqkvd53W1EB65oh9jRDPC+/xQ8wP
/okQcTmMs3R20On77RQ1ywcl7lSHZIwt+9ggOjKzZ3SZRtdvmi7qofU6nEd9aiwnZGneIUmTOizH
7KkpkCg4jWk9RnXR2qsZiPptpDyvabgu5LeQjlfR5fCs9fVTDOF5p17PF1lPBvPuhdRxHGG7rJHa
Y54jq0YCPTpXIhSTH3TARBRO2ojtppkEf47ezcd58eYroSLjLpiD4DDQyX2VUV0+DYYz7Hme8OGA
tqKNFV5Q8iuKgQEv80yMe0ZEEWKOoLkSeYotrc2sADKCZ5Bkk+r7rCnsxx678AWrxnRouRhBupjj
QxX4nzr5h59GayHwcFqneUv7IvnQxyg/tLUmdpDHNJ9FNUcNb7+ESxpNhxNaiIO26ZDlT1FACcKM
keVfZ7jvZp36j+ZclZuOyStzDJi+6W4ZR2fZSGma9XM1B2/wv2EwD4mfiFPTNgQW65VvJkzBxuA9
RYn97GBrbp5czEDtnm1HozEodXMH0DiTzbOJbpl7LDAq+g+826kIufh55TFDzc+yiRHYWD77wsT1
toI9DNt5uPlhFo9XfEd1diIysy33faclb46wnPSb6fKIh6g1dWcjIUHE+G6Yqi/uxcAWPXS7Os5T
vT/yljVlfmSIDBD/G53MO2Xv9JrnWvWZDZNJW9t7L0YTiyMw9Rd6yHlTWk15wCQlQq+nv/fq6eYW
yzsH4C87RQ7cue+Kb/Ad6C4VhC0dSPhO/+4FWrZ3Pb9Ao4ctxy61M78coEQSq0sFGuqXtTj0bZ1g
wrwaG0aQq7RPi72s5+5qOWNO2CVGS3p6GcTxi08LuSkXc7kmCKkhSZOkW2qr/8feeWxHbmxZ9Iug
BW+mCSAdvSmammCxikV4BFwEzNf3Bktqqbpbq5/mmmk9PYpkMjNw49xz9vn39vQf3Z5wx7KT+/sd
402Wi19uTj+/4I+bk/7bBrHTYSdiqsPuxhLxDycenBsYNjRmET78jCT+eYUyfgs8h+UMZcsMrJ/Z
lj/2i/5vQFqID8Km+B2B8w+ceP+LwwIa2tgaMzyDFaj5v0IqyaRBZmgc50SGo00is6AJMNug0Q7P
3xAL8/AcWAVmL8huewPHFAjkEQzgQFmgwx7i1XaL4Zkt3vCczrTR/OWV/D8y0Cxf/5qBtvnpTJ1f
nx+QpA/+vF+Xn1Tt9fC7AvtUKFu8UZ0z3zK4NZf0mDEWd3m1HJhnVDi0orR/vuH/lt4LlfF/fHfS
5QjhLDypYCdPvkXJ/7p6Jb5Sta7MO6YZGm4p6wv5MOfBVRn0YpPvHO8SEbpxeZlc72K2g5xGnj7/
Oq/Nii9x6FTUrot1Tqt0iKELVAfY9bKM+064d17moyvO0oMtMtWUfNERurf11mZlJRO6G2oyQzbF
UDeZueicMAbREt3vmLMmw6NdWqKWE9PMSOVZVG9AKXXNVxYFJduOApTI4IsLb7A5nkUl74GON3v2
kiQbtdHyqQrpAtgt0OiK0KJD4Fnrey0mCfAo57WvQuo7AYZ5bttc9/acxlqmkYfshaWOC+VS2A5X
a1eso1zg/U2KFUXiZmELeIXZdF5emmLDamkENi7pYUm4Gizjsz/Ba9/lejXpOx22Dao6ad2jb5UL
iwkcmNAx8lBDWacL0jW7+0BqxZ0+5PnW1tvpr1QduVD6cL1EfjYH8SQtyqWVNSMg53yU7iEXpnRZ
dZ1b7VY7Gx8NvHNxM2JRPLHlr9KoMZvxnl5Cn8WCNRGLyIm27mvGAJ+k6Vha6Htua2jwMVfropl7
tP40zc1px2TMOqNfbf6sbJKODk0DlBnbbr+bHOfFKxaf57Lb3JZNPzNWdVwgJf0lHPw8yXepzvqF
HpF+34+Tc8uqUTusJiHXLjMprtPzPTOlivikBicqIuv71VyUxWEui/OKsS4isem9ZYzix5UVfBxU
7QhUmkvefjTHlArnwlzcEKPdTKEc1MADYoaBtd+fzwG1gU9c1xHxpmxiW+Q52Q9WYurGEMZMAXXj
1T9Mzy4F1QAEZDsnb9gnkIAhh69Wx9q5Xu8WEZ+9hyxlt3Ity1wihRaIsNMDfSc5oCLsOILCNivp
UtTbpAFA047le0OFdU5osy8Opi6md8ammrbWkltjRtdpq/Qr0ld9/kYsv4KK1yjbvBmGPjmvct3Y
xFahXlyWYtRuYel/W9njSlbKcu75VHTa+L1J8MJFfTB2Weji0cnjUfaNFsMrWK7UYjRLOOjeaMRS
0X72sFhiWVhgbXtlDdYK7W8NBl04iVnaEh6d2Bjy2KcslSoaKnLTqQTrhMzEo2BsLvtsytuIpKt4
GwTwRqNfKt7qsy5OCyz6e+Jk22GY8fuXa97cFKv0rk3aqQOyUwHfrd9+tyVLnAcECIMVvjMkA+Ow
PdBy6CLg9rnip59Tbz12Yl6PcP3aV4pHxOukzIArraPYI9OjZ/nxwCSv7aQ+y2960Uv9CvnY0a8D
1psybM1WvPVDFTgR3oN1/3mUB/zmRPLI28Vj4XOOlhSCX+OAWJ+qgRoaEZakuIkJzQloQiQEAvLL
myNljyfT/2nNLH/6NQm+pbg3hbFO6oVdc4Wvk8rW5g0pi3l16aHNin51r7vB4CdWsLS1/UQgp9hK
CFpAhmZ1szQZbVGuyNlQcRfElZKn5o1NX0e/ywl/3fRORdiHHnrhRP6iFJBab+Syo8asvqy13iNW
yU/Ae7dmR9sQv1fXNrvTLSrvJDKibsr7qqlmQqTPe3SlKl0bAyXDXXR8Fdyqd1nnTa+CtA7NJbBm
It+lly3B+IO8TuMxioL4NhjjFwBO7kkFQeEcjDGY7qRbWVWkMcWrg5/5sIIMaBcEx0XAThVL+96Q
OuESSyVoY9rSXGYwvx/NUs5sfDLpfGfQc4udsoxsLyaShqaArVEZznxpY4K8SDKVXVIA07MY7fzq
NHd+68Q+luMLi4zkKTBNegV5A1G1znMG+qoVLJEd0L6A37P2THIjw0AgSsBsZaRm63xoJgvlxlBu
0Uec42nopI7NtYoDf6it4fnfwfE/GRyhEJowW/5+cPwyvmV/HRx//4LfB0dDR3NH0WYH7dIeYNmE
MX4fHA0DMA7yOuwZUs4/3Wd/GtN0YwMjbnr8HxOjt0We4bCQ9WXWNNDv/8HE+Blb/mus2Qd2Y+kW
BA1W3ORB/geXBqcEd+mFgzVoVo3AmD+1y7LnMRA81RtLvpzxOdIcl7YXA67Td2NZaAfeoKSfIO++
gxTFsQRUVYLXr3MD3jTd2beIzQPS8sabSvxyZ026VDi8a9dOpnvNo6SxC2WgUMS+ZMkc1O1R1ryl
3ZTpA722SrSboLZVfRY9DqYgNBHf/A8u1UsujxPB5FmdUtIiqDyJR8nRGTJzpx5axYv8oDXCM+PW
zkw7TgsMbRe8ltBfWFLOoc63hQXQgochkZ0y69jrgv5V22Btpwpm4Mac6zxztdB53eSxqc3scR2F
xbrLgIO1Su0boO0c5I1NQ1NbZ8XdjPNknPvutDpQrkDryLeApRcPhxogVl6iVLn06IWBgFnjgRVe
PbM5F4gDNELvKEDjWJp4gncXJhU/jYFDyp+vM7q3tNM8iYlEKiyb5YF6MLnqEZwMunESiohonzaJ
JsuDSnSW8EeDliAjp2S4VF25XWCR1q9atscNf4XaMc1a/buI+wkp+H/gNia7M+4Yf38i3P5omi1T
/dbkv4IPfn7h7yeDZ9P5aHJ1ZOuGtMc//ffJ4G+3TVCeAUuO7da4XZj+PBn4n1yfm6gFlsZyoC/8
cUAEv3kcMVSVEMsKPnNf/+CAMD8ZNn85IWyogjbpMjBcMHgM0r2/3psqniFr3erLkWaucomkIZjf
HXi+12ZCMDMOzIL+MIKafb2fRiqoMX/0/cn2BZP42vVTEWaVTv1uRyE2pVrgS7UdJT+UMwXfWzUm
N5PrLhf1YuiRncuZDufad1jSaaSJCgPz5epWpMg0a2CO99alhR0FfdqM+yJbD/DwxVM/LP15KUhE
cNPWY09b1y8J2xH8afTMxn2gt8UWV+mQj/u5Oeo0OPqRQbrjbS0gZQPkFhmTD+cj6JmW1Ab+qSSS
WXPMAd/80Awj/T6xvLma+ZoXZxGFjAItsC/J7PABNzwGN2gFwUAMwUnNWGhcCgI/rS4Uya+bXGTj
FS332sFICuoJ9cTGxjaqOeYSRbGclxYqdHhRwpntOYY6lzKtusY7GLRwK1XlWF/8npfZ0FgNQrwh
TcAyTsYNANgjfWlpbAa88nZuG+dpDerbUbPc/Qgz9E5fK8Hp7Pc3WeLb5k7pWyrLg0VR+CtXvynz
9tRo6GO47ZVY2qR6vHguEfG+bNeCZZr+zBV1vJTCfqG3b3wwhqHxwasAcI5MrUgBjEm/PDS9tJ7o
4TH3hdz2pW1KekWtSXJlk7WLABXRKQyUHRWZuIDn4qbEpEdFB/V3+segAa6wa+PeU7d1UFHxNaHb
EyK/tan1EeEgTOva0Ab5agBW/NKzB7qBEemE+IpjSi/H0KGVgSlsrCHrzNWZMqzkMmjprEa4ta+g
ZT7nk+1GpYB9tLhy2TfAdx4WSZ7M1Zz6OOl1qGOrJApUFPeJJPcktcGLktmeTls3clkwodf2NIWZ
1EWUrCDxdoESybEIEmcv3br8CKbpOxAibS/o4gNyPVbGPW9yZrF57k7DatRUXAdkmn0HLdYybZYX
zp3g3RYaXnAhKBvGw9a5Ebz0l7UGfrDO4D0z1CPgHT4/5ZA5YSrZvBg8/c6VyrQXanfSEz6rLUjR
tlcLWJSz5w9dVNDSGffGrMLK7rNrS2GzbXjb0oYGVe1A2SsNhU2Wb17RpAzRR5hGmVbJX43Ojh2K
LdKDa9dLanyhSmPO90gA03apNlYbwGIxZWnm34PSwFweLhpo1gfTBL/24Ayu7tho82VmPBnwG4qY
vpH8wu117270ST8+z/YK3k1C3rf2TSC4ulQsa/n+cN0DfzGRqnA6Eh4yWAn2iZXRcmEIzXlBNW6K
0yRM6lUqsRb8NgUu9ubQw6dSBIZye3qgJXG70kIU4n5bWroqXsty7NcmYgPYeJg3ncEMl9YN1kgN
iBxoMHmavtaYCemTy4ycv48mqNLC9b7ggqTDNIVclc/8+v60bCWbPKT9uKutsUyPy+jbrxv6d/zu
lXRyuq+8RoEEKSVHceamabHJbZJyxEvIVIGBSRcOab1MlyMzRsmeMdQ7VELY8D3ZU3OjK/07u/8n
szuKrY/X5O+f1Ccx/fKE/v0Lfn9C0+WMquuRNPkleh24v7k2HzvUGzr5NivNn09nawuUbCVQpE22
J/Cf0WtbB0u0hbl1wik2/Dr3n4zvECp/VTVBYlpMrkwiqNJES6xN9fwLV3KpxxFcQ+6f9a6eL7SC
5ehUmuX9bDnle90oVm2fVk6vcrB1lp8Oz0+v56ftEwFPu8UKhxkUB6Ci3HRMnsqVCMBFt/lGM+72
6Ul8GjuThmBh2H26TDnhYnxn3tMCXe5O9q3Fjn7hUXjGHlm9q82vqjrpP2WzKPDRfhpax09zK20b
W7SMGofN+ao2D2zxaYd1P62xzeaShSNf/WgwzqYVDtoimBVSSmff4/3FYCtVm3yMm+s21dRVWfGU
3vzoBZsa3LngzNTznCIxYBfIPjTLwsIbpE7XYaXxbltXIQjMizUQIUtndm29Me2C3l4+vFrT7kRT
oIx6qk6vlWZChfu0D6cYc0nrCMu+NLOiLEKdJBrW1QlMzIrN4Fi5yRA7rEB5OgFsCi2/9g/DFgHC
seBWD5RWZjdEUbH60jF9zKcqPdAD7J8dYg0HXcytFa3cjh7qLF3ZxDVZ5YFKwjuAHGPS3JCVxGcj
CluDdwalmcPW7z3cP9tGmoAhZM2k7M4yKYuYUml3RbMQLryeObjoOfA+Q0bNTg9a/9omCE6iVHl4
Mry6O6ZLJo6lpg/E20GChkFeVwLJ2G0fumoaz4bnYyk2Z16coKrGndY21Q1+GU+HB7Iy3LiLgBbt
eOqlkkAugAaN/oWRCQ87IT25KLipF5BndgE7paxt44p++5sm2zySc44EbrnYsWwAMoKd9zCex6IG
1+Zmc3rrj+0HtVWLPOrj2uWRRtfMB+CjyuZOuVb4puwVybAnz3pMkJeeEjkXJ2U1XbwGS2Gd2sZV
bwCwSKtPPS5RjKn7QLPY/BdWZ+0NEZBBmnNjulnHIS2eOp1LorpbNT8XVWysZEUOqPX5PUd+dlub
AcVc7/x1zcnGUoW2V+5mvDDaAHS8X0R+rbswm65TRNCoNgQdGvaoXicHpclfNj6Kz/dItmdztT7Y
A2L81ADcD0fIJ80RmRVyPa4twlfglRS0tDNe9nI/1GXNx9vqw4XylBYozM6jRHYHPVOgGrZ12I1G
si+ycoHpOJpxPqNv96lVU9VqsDYPjCuhY2qbhX2PDnFEtXcu19ZOwkXvebzpzXJkk8rrLue5rXfK
xsrW+BjpdnbT6djuxOJGwyDBDzL57XPWBZSr9XVMZ4J3ImE0XUprzaOpq0uY/iQgdqCRuguXzfEZ
Hlh9j3RrN7tcuM7BLdDttWC4WzM+mKUoPlbf+mJocudWfvnu98KOCtfFqJUXw6Mmzeq6mmiwppYk
2+WzYzz0dsmp5dfkcgLs72wYmDaT0oRsNKU+Vdv2uFOyvAUT9RTY7EBSVE0I8KC8xvTehQIU18Io
QrC0uJNzXUGcHzAcoW/SE16626stpkfdsrJIJ15z8gTbF7NykQbNwrx3283qXa1lvLAKPqEvUALt
BDzkU3uQV5jZ9JhqnPlyqUlnWZVtv1AnXEQZeDeyYxmhezl6j8A75EU7uRWjfjpwpnh4DWugCIn2
XV9ngamsTNcbvXR55Zq0oIiGs7FMST6LleYaCSHrcjK0YAZVkM77xFxlODaMshOzepjmZXddb7Wj
oEg3N7D5xoZu2UkKd9EI6xXzWTfG9cCtgI9hk91NkBniZCXhFALo5tU2rYIPKune4HtOP/yG71XE
TfJ5nDEfas1lTqDmphj86V3pjharpqRWZjT1WPfbJipsT+77wa9fiE/5t9mYsihL+fO/FL6zNx2p
XTvQ6m4MJbkjVKn+yGWk+hgWe3zlLmI/eGBF7zpK6OMFU8G+gkxzpdbRZ4CyB9ioIDNiB+WZQzfL
5UNuW+LsZ4P1Zg28pS2rA3Nlds2VT2PbcdYc42YYnBJAD+aTgdLth9SoaamuNSO/HlVA5BsKwOXg
VIDNMqcIVTGUkbB9jswqvcHwUBzzRMtvtVJ6PvAr3yNuYqWRVYwwOHCmrWe9arN9DYvkOjer5EvW
EFfZ1a0zfCVXTMf0qqn80lTlcBxwZtLIbszf6lGWuLza9dFStHa1SeH1WGBzrg54Er506WRerni0
L5HGgeVXyEm837rs3nGl8QA22dyvgo6EZeqIjLnYLZ5bEGG31opWlw0CGgsHU3fkiT6/ZWVXPVqZ
zf5OusyZ02SVIQIAxUG8K88U8NyxC8S+lP70Mumdu4UlF7Lx+JyWT9OTmL0+f7YJmeOGGoUreRKV
m09q/bRMNZt7Sm4+qo2fVcft5q7yN58VdfHwFT7NV9mnEavfPFlptsgDV7DHiYvSAV9RGvMmTU78
KatIbr4ua3N4QVU7y1RjY7O5v/6dj/+T+diyDBuB+e/n48cf0G9+Ebd/fsUfA/I27lK0GRh4dDzv
F3FbZ0q2TIgKDHef8tZ/D8mWS1bb5V+ZNGxhI9+y0L9LWKYDwdmhIxYolv/JNfonQzIc981Z8BcN
y0Alt02sVKZt/BS6f52S9VHTVCcwSk+d2T8rzfYwuS3f/ZnnympoXZxpsOXmWlCkNvlXw9Cyo1RF
99DSGNJhfT3LhYcRnrkVMUNqpyWx3OSgBHVmGFi1N+kRnQ5coXdH208YfLBApMMtCMDFurPtvDTr
HYQfwyNa3fvmdUAZj/gyVCwtCyyIq7AObTlyd/dbLsjMl2paGZzKQI018WzGOnu/Amfz1K6d+r77
UvnNyLPGa+rKOGfB7EJSMAkyxV7GsbjPKttsz6Od5mRgKQNDSNzNJnSKOIcZYpw9sZhP9sKUwmkk
DCp6aEOfEXVMD4ojeotDJQnlEl7xSDOFxjXW8FCUKSdxxFtBp8R76haYiFdzmIcu7jPa9CirGTYH
Po4DzqGRH2E4lLMwL3zd2mzQbpBdJOCyFdw8lqp7xfpcxRxa1EGS+znCB21fKQCim69qrPFI+tuP
J913XheFlOBbaXbMB/ro2Svzx5LFVWc24liY01MhcutQjBNKHLVmRw4PFvVdnWbPDJicJIvKT54/
Xwm7v8gmKZ+xSVLwU3E81nOW7hoVkI1P3e8jnBcQFdPrWjhDaLLkLWfrlM7lE+YyrhmBUcC/tL+l
OWhNKynlw+pLMlFUvRwkL6lmNTj0vHZi+EdX86k3og8T73P+hIj5ITjP6QQW3DjK9JrZxwtrOb6K
ejjXSjRH3OVtBKA4mvFL7gbUiYu21Y097MzbLK0FLMvyqYVbH8leE3FZqx9uDlWmdumpmwLh7nDy
aLtA4jkZrCQqF1kebGVTiLGqGxOpk1oONVPtQn28Td7nkpBcf+WPkxkzwegMOXm+b+bV2UmNsOY6
dP63XJrqUCsn/4Z/dz7PwPnilpLqe57kGyQg/YFJQNw4GmC/MSfjWi/VgYkUH3ve5keg5u4GAqM3
TyyORoZf7kd6qU+cC9ket2Gwx7Nqh06mBQflTj8gYNYnKlRQ2Dg7dijFoLaTOf/G9UuEysG1mKaA
6wK9HiIhoMMMDY88kM8uHk3uk6iEJNbM+dFwGn0HCfWJwsDTujbgGIcWgsmoPTtgVncWpTXnrHNY
5bd2/mFJp/8qVy8sjBE+5mQT8Vada+/kopeXtSq5arkjn3jZ+11k2av2IUa3seAuIZrtBD3b2A4K
tZIwrEmJ41KUDL1q8h4qu2xvWQJC/e2SPr9uaUTbW7gwYYdzCQ8NyK2Pg1vzJNWNNT1AszTPjUx7
eqStke/GG6tcdwnqEs3BVqgnSt0WsHJDpXhbpIGCyeXP8/LekUPUY8A2y5nNfHM0RwzXwWHkrTWH
2uLqc9jx026+omn8MLpuynfplLR7d5Yy+1iKAZM6kMoOp4vetdO16TvDK7u/CR90ZpMiJvyoXxBl
rA9TTvFT1mnmQTcFv1k5nTzgTgcvE5wSM45toada7FhK4oddqY5qOytOgnWrOk7IffjrC8SL4MmD
NguqXnvjI/VsrrlOBAIkbd1xF9Q6m65is4z6yiwuGi1/Bz3aR7nZ5k91X7AZx7uVX5k9fByE6JWL
tFEbt12dfOkqs/R3QWAFl61dibMRjHvLs9Qls2Z7j9iiPZT24L2ZtZNHaRl04VoHfcF0nPExZicH
8Vg0836hRuPKTRYRj8k4RGCsxutqyETMfwcflqYvh3771G723ztwsNY+6Zw51rC5E7tQtxV4rjhf
huNk6DhDE/o0eZas/m5J3OaO/f0rlmHnyLoz+N6bw50329nEjgR7luWPLy5NnPisdC2GYnSyK8OP
Sgmoejca7fiRoDTHhTZqFG85GeVZ0ogA5xMIFjOmjdTfFoUG54G/XOeTX96smq6ulpyUS7NILwLZ
jNd6KPhoeaYkXmqmB7SZeadPph8GBXGd1ugPDH09Z/B4RR54iyMsRG7pXQ/1cW5OdK9C45l6Z5ca
0730V3NX+qKMhV2Xmx06OHbzfNCWjoA4MIgQm5KOHS2ovy+tULGOByiUhqZF7YCdv6AFNdlRVjI8
BnkBLtVn79RtYf9h7E6sXeg+09qPufO+1ICRuehPEthUS4fxApNZs7kSZ82c7aWs57NWdu+qXK8q
nOQXxlxhJZtIX5DSbW5MJpNLtF8RN/pS7Kd81NngOu5RA+2/69qNqdY0eegjONCKxO8sS2quzLrk
vOvcr+uK3tEQn4yzcvxqirK8cNoEaX7hWppYWFTapTAueQ8MhyG3CdiU5Qcuk2A/t+vXtOW/Wq4B
Z1mxOMlVIgxc/6rg6C+D9Bvb5inUq7G/5VqbhJkyBhAIvuLhzjrM1VMsLs5HG3Q/QAJW+8phYFCz
/VzjfArrcuieKp//1Nrb/a6V8/jRS9sMiwGUms0huvOGKbsVTlXcBaZoT7pvrpf0b/IyeOVXWSes
mRWfLk4p9ewvggfGaD3kOdsylQIjp5OLc93Nq2948Ex8gos4SYD99Fp4C4E8raFwa60vTcOc4nFZ
7RCk27cho+FKsb3Ec87PADi7jHWWcU+Dbq63pTWAHWhWdoS7zIOxzQvW8uMrylle+diX4xXNFv5j
5zl8raXjIifXz+V5CrUqSO8k6fRbAqzFK40MD47rThTbpNe2KfCnSz8lAJEVbYzBhheaFIH9JXBK
OGgO5iQE/NheE9dkUeml/KUVW3c47XgR0QyNMBUm8f25cSL68MqdiRfgRsHJOXJN947e7Phfp3Ig
5KzP34s2GW+g4WhFrFSmjkU7WjdO7SoEpQIIOs5QyhycbAkDUwXEDx2Hd4Re33d+4KA06YMecmpq
jBhma4YYL7gR9xaMeD6oKX9T6J5it+DiO4BPcfjINDjljhgluP1LzLfRkloPbQ5F1xv1S1wpxcsA
Aelbk3bnasqSNSpEltI+Yb3DFXAe6HIzvxtpodUhi52ACjA2sad2SxPiXgAQTOfcMn/XgTcT9pfD
wzphdkg4PK9YQFWHoHFvYaRcJHi5iJbxOJiP1DbDDVOu8t4RAKl8MwfvJhid/Jk8lU2yKneivp6q
2MmtNmxFu+L667w6FqMl7uG2cMEjODFcz6VJm56ewErCLylTUuD+WEdqHgib+Hl1SI2+gLYykQ30
2Au3/FyHsXe1A1HGpMbLUeXPnGblM484+YKQpD9Q9sP9vvDyk+5MTLxJ5567RsH0zzU6qrerLmA6
E23rQmkQXkiE9OdAM/lAkGYr45Zk3NkkEI8ISM3gpgGSGFPsTld96O9G4jLPur/Kd6ed1NEHd3gh
imK8IaTffxGW05d8/kQxRha7vrJ2WGUxXa1PSLm1ANjmDARrcAYEIfckGURr0FoE1CtUegQ3Pg8X
xHHrOmYr536ZKBhwX9JSy9ll+cCMcRLbAR/EnjzI0ruIjHZpu9cuCB/ILhMLeOHJh2ptFiMaska7
qijZfKU6ptn3iV/bVMrN1Ymcmb5BIFN/Z9slARPkkhoGxpzcKf6vx7nmeCVf/oDjuWEI6+S3pm5g
/mReAbN+TS/6hpG0alQ37sZa1Y8GDfU7qJjmAf5deVmQpKBhEDqUSLsqbLW1GsjjQ0WfjAa8s+30
PZlH1FC6cspYFYa8hAArQfgVzVF66MNmayXQB7yiFzdzms1OBB8CuQInE158hoW6zYJls8zBzICY
zriZ+9DbSq+b7Acxpm45cIwtUFr7gT1uVgNJLXDJXlSzrYXuUBgxZSlNT1Qq4xydfZQ6MbjWccxc
59nEHyijdUpb78i6vDW+YdpIIl2DI3QJOBKhjLdwX8RYg7daa3YXmK29idNn7MWlAml6lOxU7+du
5C6A//WwwqWMFC3r527q2xPUkyKSo5VftoWTh4kpvY8aefS7DrmELFaOHfkw1+3jUFIw+YrbTIY1
rterkc/jzh/W1Yncwfd/CL9Nj66sGcGNkYByR/rtieWpDkGP0znGu4DMbA7rm85gfTEtrbOruB8L
r9UPhOjkeTW78a5t8/Ylm+36nk5K57wCIQnN2m4jJzPYjBpZbcVk9BB/gaWw0dycpxBcEXwKcW3b
3dYpbthfBqbIeJzngEiQUcRUwmzDeUfzpdmPsay8E2sG5Hou7vdjmgf7nrLzN8ee7WNd9rAnS06m
SgB49zBXHPLUUlEvHP/Sysmg7sohm75VgaYOlWnfWHMWvOvsHKCyAMkaSZu2prkcCex0jFIyvSy5
0s47ajKmmPdNRxppduJuIYbQ8KaEmVnkWTxRXYRRm8d4Mmvl14GZfifgjhy1PLEiqgqnsJncBub8
RkDTdG3Bl2tZe8Di6PmBp92wtVru4fwc5VxWV9Cz6BBKG/po0kn7BAtlP1qS7ldJkucctB0gHIF3
vSTaNkvQ5wucxBBDfx335ah46EzLXTbqwbWaU9ymsHCPJVALZGqdA3MQLJ5149b38bDC5iViBxfq
bfA25C3hI5D3Rudfl1rXEwzUyxiEqr0rsCe8fubfMdQ31HbkWf2qtcNrZ3lglJR/sOFWwvZv1Tvk
rQGShL6elo2BanDxhIDkjPRfNWzRFwwOO8wtxCtWkNCBlcWKv9bObOaX1ucSkfrRsnZ4yquXoUCB
r0yMFbEcG6zrs2XFGKAIX+ZBci7ywXkrhznZ1SmQRmZmQw+1htJRsv4881JCrpek/hreLYN3oN+K
LHlv55dgO1gCrIOuRxLwvR8rIiaAPJi3qbyn/GSTf4iKt6cA4h6xW2yKaeHrP6aGK1oxFupY26OM
Jq0z7wCyoAi0/fcxm8ezB1Fmp5OyOKNrRVm2EP4FE80DWCvPeP7ZIpVZuk/z7hv3NUYxtpS4edei
PlHaocowVcPyjAOKfISariyrTp4YpR5zraO5oR+9i8y1pm3lyuAoMpIlK2IxhQJ91Cj5NTC6q4l1
IzBO86nROPLI1dj71u39cHIs/zmbcZsAy28i2IcqNGXiPFJjA3FwLc2LZskuc615HVtvOLIqfehd
48PiJN1PC9NRk7akA4T5amVGdbJUY7+jifdYD3sL+3n9NBOE+mjbWlv35KzdcYfqwfA9t7SoskO5
95eRBQ2lpEY0tn7yVemQnHezUsTQg2W67wzIffDg2NqRbZimvTPYC06Uuja448zOoSQred9wYI07
sn9sMwuVeDBj+mwkwM1nwNXL/mw2jJJrTk5kSZOIP1VL3Ltw2hvl2gzWBh4OUhBlbuxcc62aWPnw
F2OpZy20Xtc/8Q/8q7LxP8zUvLcLSjBKP8/OJJHK8+LwcCVY8j0pW9kdWDWk8cx+k6qHosYEN59X
yNR81I0nKGT0o2xQNmluWmDbpOESSFohDFdtnwmmvNxwDqbDJJwOYKt27tyr6VgIefRU9zX11/PM
G57OoFY/lal2lQQDs06FP6mgw6I11LhHp/dir3Src+sg/3UBJIGGUT9kMjXDhNKgPlV3QTG8kzDl
HZ8sThxs+xObVQzCjHeiAwtGnjZmB+4uCIgwEG4m037ODRteboKyPsFMCNOKhrJMb9M4F7VxpAZN
i3pHDqdmTHWUi5FVbem8t1MS3ElNR4ZLpjzESvy1TA2Us3Gx9h62110xWt8SRxkPk++UkTsvUx8W
Ukw/nMFTD5x9gOdch+yHzpqw7xCjdLZyRqLZV7gGNHSWPMfqp5flMXCbK3ushpD1lC0jM5/IyXus
b9jl6ll5JucSGsEqwOYt7dtgCPHq4OmoN1v8+p3VIO7f/2LvzJbjNrJ1/Sod+x4+mBLIjDh7R5ya
SRaLoyjRNwhKlDBPiRlPfz6UbG+Jcsvuvu7oDnfbFokqIJG51r/+wZpS46X0cn3jmxnuDhx4aHV9
fzzINNFHH5rYGp5mEm2QqFxqkoS3Tj5NH6mzeLXCKn+JE0velIODTreNiEqLvS+hhpO2IlOyuayB
oe/mkbGqiH2Sn6vYHN7JUXS3hCu58wk7D2Z6g5+Xe1BQovBU61So7JXHKBrR08ZL43FT2TFKlRiu
4454GMSmZmCcsAMTsAQ5DBhA9Y9TKN5RIYgHUtFLBGBTe+A9mLaebiyaK/k0SI8dPirsh5CB1LqJ
IECjK3/Jx8JYJ3kgYZzZ5KllNOnG1WBT1ByzAmi1bvvoihqiHXehh2ugJsWou3QL9p+V10Kl3IfB
MC4gEdmBA1gYNU0OP62guaG8G8pKrKH36SddufVVXWO/jhmnr5BnwAPdY1jP0Jl94dkjA8U5DbgX
Pfb8Am8j625+36VEPvMaB4BGANRLbtvUXDtd1R19Vk+9Nquh3Q91ETO/xj5ww4GlECR1IRUTxLWV
ZeNTyDG/VELsMs956vm/wn8jM52YpvZANne5qo0Rz/dGuhIxl4FpiCud8UF0VQv4ZKaVt6INkzwJ
Qz1ldkN6YRQmMDBCzBA2YGrT/ZT2Y4rGOo+3cz1OWM01NN5YYDFrxm+ABGSn+gJdr9gyIribDMr6
GVbcZYUR1EZU3YCtfFDfjYzu3uMqX4xocxZ6oBbWbVOXEE6yupf3DdM4Kl4dlrcZg8P3BiTZSwwz
wWUIfpbXejLa92llmCeTaeberiRT5K5vnLtGSP9eGQHtC7ZQ6goDLfvjlMXpZdvIHqKeAxg6YjsS
I5liW4UfLguEyw1Bh7FocPr0B5cTqxtABVcO6uTkBMLfcp4ojWlKglmdgGQ6CJ50joVXi2HVZkyb
W8LeERJ5U2Vv4fCNj+bsh5dMgtM1pp7Tl6zKrWdSkSjUZq8lIBKA6RQphVNimMT1+w5j6d1AFOAm
ZPDKYT+UG5qdeGuGTbKvjEGaK6DRKx2M/pLk1G6rxkuPlQUhm8reMo/lXA7v0OkRzI7WLN+gd3TX
nnYDtpMW57+0rk5iGuQhjyyicfq52pMT7q6JJ2SVGHporyXM5w+gtwaH2FA9mtR3R13Ww65rqf6B
M31QGiO6nyK4u9jfYgXKLGMdVk1+3bXqk9Fb1pbNKTh4ETZhpEpY16rn1UC5F23jmjDuyJK3xeiN
2CGI/tIjf51AeTKrXaR+LBrlr8Gb9WWDVPEaYVR6xKb4I8IAa9sH+IsmcnohS53YJTelM8CUEX5i
kIOV6enJiJ1gB7kp2lYoGbYGC30f9VWz7vVkX6RNCWZTpgU+C0piWuiM1sazcOdtRUktC5flOc5c
vM+YZx8mTa4uB1nT3Uq/BAe2IAJtCmH32f0ooI9OpOZsEpGWKXhWnx4Nv94MgvENGKtFpVFGOyuV
M0be5GKlM//cDO4awhtvBgIcVozCn1Rjf3AWugqkyC1D/HkDUvKiCk22e8jAY4BqummMzNwUvlHu
bCt1D4jtYQgn97NEjla6AjIwQadwPucbuAAO1NH6fdXUyS1U6UNg2NiI1u2+R/P5qzEyBrEd44ND
5uDOnKmQx9qI93B1CeeQ3UuuEowauvoOrRU5emYJE2llLY1glBk3uGFN0Ljt6KIuTPvo9sYrRhLd
dWkXGn8MvPJixmAAPcr9gD60Q2oyHvuK/Aqd1f+RZP0tAQZqYhexxD8fW79/IXemCNuy+G52/fXH
fptdo2j4RVkOUKCQxH4Llyn078Is2/3Fd5hen0VWfygvlshJcGFl8kOue7YA+G1s7YpfhCsQXaDU
QDRh8en+BeUFE/hvZtauFCAFqD9QZjGzxhftjV59Luca+nnHQKHP8nldxGOH63LT4jw91M2v39yY
v5Tmny+GdQBOBBiTI8wXb6T5oRgXoUTr3kXGVD1DM7QfJ8gwT2kMjkblbFbPDJ/dF9Un+vBvXBon
EhOTdd/jpn4/m4+N1Bpb8IW7WY1cWmlDbftp8MetDzfl0WG7YxRqattZNwESjL8wBlh+/f9SA5Zv
DivAxr8OwTgP7u3lbfJECgUF/Y4cY3ZRafQtFQZ+3NVlXC6XI+hGHn/+lW2W6Y8XZam44JGe5Z/5
Ct+wdosKjXNYKftO2IX9WDjSubCZ4dY7n2nxU9WCY7gx4l3Y8Z1u9lHbta9e1cT7zIAKvK6R1+4r
RCPjoTE0Hi3zPLsvHgOTmtzd3rSuoMgC7cVzaZD6VVk55SwzdecrYeafmirwbvzwNTzHZyBiI15E
RPj9o5ODdLrRj+w7CxraU4pt6sWYkVS6k81oPWYk/F6NqWhef373vqc8f31iyKHgmkCitvnf76/q
GRAkRqGtuwQThUfwmRiEt4i+mMlImWXN471wK+vEBAcSwBR18f7n1//xxfQdS9IJe6Zi3bx9V9AL
FyQ9jtadZ3jjfby8MDR6423Y19bp55ey/mShoO/izZImF8QY8fvvGkw+XD6zs+7cWI33BtV8uutj
pvdMl5zmdUxd94XQiuXtNHMSRfyBl8VIfPSYKRjfzz/Nn31xx3TZLa2Fufx21dokBqraDMy7rq15
SVw/yMojtbbZQ01M1b/xkiyke95L/oN/yhvhmVUlZmw4vX2nG2pE4IpsXrvhWF51vlleMfp1gSWa
kgYjZpWrbLZOOW6EtN2JZQxAdnN5ZXj9eB8yjA234Ify2KZLzlG7UOKivibLcEp4yyh7x+FSIcXI
dj+/ZdafbC8+ZjGuCcUKpxf55hVJsjDoJLSRuyBIsOeCbq4P53Uztnn1rHVOGCua2+eCGMNjTku1
DeM5i9fNRKp8NeWouDHzqrP9DNtZb6zAbGDHmuP9zz/nn31MeFsQrkhgcIX55mMadAE9UWzWnZh9
bsj5NluVrp4tM7Ae60z/1cq23y4m5D+sas5c00IXbb29Yt6GdmKmU3M3VE55JdpcvASArvzFSQiO
M53xFlI32HwQBwExAT12iKuBAe9DjFtFtXJw+H11yp6VbrIDmAYvAb5ubJzLmjjfooZTg0TJOFLH
pvfLqwnXnKNhxFBPKIxPkMrLq5/fRr7Bmy2Rw9rkOaOXdNFL/qCWnHGmIwV0Cu9KDiE8DadZbxLf
SG5qJ6NDL5gGDpAseyY/tjAybx33eRDtVBSCJWb8bnM9jRV658RmLp63/q6fQ6M9RF6D/xYaAPA+
zCYZ4EGqYhBuRoPxDjgubDcmefWYl0DnF2tSUqJmg40Rb0bSDMS55hHxHwyvy5ULLfeuK9roSjY5
JpK5LE99ElCyy1IjY6zszPhgTX6KnciUfTLTxtrAW6I/tKd5Rnkw9tHrtNDBL9spKjZxy/l9ieNs
jtWIk1S3mPqQPgHmToCrW5J9K/wIh7je943qCS/PZNg4ge9jE1pH5qrGydlbabuvexrQUNMlwFDW
a6+15cfaAARakrza9DCPcwvLretcfWHXU0zcIH4/RzvsGJ5VfXAJs1k9kBxGqJKP17m+MwZ4jPi3
t4VgqIsZ4hp5RVXdEsWdAXlj/BpsZILUPYw6jt2UNeLDmIIpSwQIwq4I6hilgdr6Vjvz6UohXqDH
UCYUkt2GEpCNuK84BZp44scmH/+8TeCAr8gGwGg1Im4j3C4lu4iT2aLfWyzQOtOvLp2QgMNrzynr
ozHi6LILJyIBAGziUV7A24tOfaraTxL6FPweBJ/4O+PwoByUKdp28Z0hbAD5fvU8mOb8AXPJ+NJm
+IfZhaTLb8kkEHHd7DH8DXZ0gOWvuWrEh9IhJ7j2quiVhTJ+DrsgacnMCouN2fF4YHS36OjCSiBe
8Ps1Cys3EUgExThCV8HzAnf19tWtweBHpO7VoyFknF71hWxS9xKarsoffSILTMUCyKbS3+R+Lg2M
rifXXwAptImBzf/CCrAFwJEbGxaU/glqEkYdqaWqD0bUew4fN03otrCSzOUOdQrFz4wykdk7d7ow
+vKKLBiKIXZw94WgZ9/ZMv2vJgYEQfZuNBqe2BS0HArThHlK7yv2FRrQeB9PrMpVJEmd3KFt4Hco
QpuflW54sp4181DhXxlr09RyMxAoXIGGM35o0p4tO3bhGfiSCLB58tyXQAxYCsUm9WqbSXajfBAv
RBGqp8G2m9dmjtwLr/PYeLD1PPpujkuCjsDxa95QiW7a4ddPteDD0XGUV5R1wVPn9XB8pry8SovU
fqzNZT4MBUMdkXuxP7OdwTLJXIXPjWW1/JMQrQDJwTGFjw1TCM9Bn258JwU3R9uc1Ks2w7hupSMr
OYFHscVAspDHsM7VUS1ed7bwONRjgx31vEdSw8ljIDhEffwRGUTJ5pVYdW4lainrcVGCYEmzfNqc
CRphhzV+XiVlJ+k2Ip5u8WDh/6YZMPxNwczuEIa9depmngjaEnZje7AeIVAoPBeT6b6LaTecLCGs
N7A5ntuxGjbTUj1ONvfeyie+FK8kV0qjvnmFojrek7nevAJoAFqGCdWnmfbiRZK7vkU317xWGadt
rcL6OUlzqt8xbqb7c6Ewp3UxXTI98l7skfp+CQh+hmWpmD/K5JWgMp97gd4O8duCrDEjX3tlYJ4a
6ITlkWXEs7OXT1uUNQdPU+oDlj7jvZmYFOEl9kBbYaXVM/xKTvMptQ29DWxFlY6aPlj1JaKpi7rR
fHJ4sFRQhCpP47E2NCO3c4HDtERtl9Tt16/ND7IyblqiGDxkYnKh48BsSpi6MI+4HtAGo0UXLpZS
JBrtOXb4gJU9YuUsjQLNFZBb8DEzIi5enF8hKxBEbfeYVlAGcfK0Gz3cSXdoXjPV8IyqQFLc8bcK
tqjeFq5gb0Oc4lzg9RTvrcmiMIBtfeHxpE9F4/gXfJ3yCtqKdw/zBLIUTvV8Wkhy+jAMnLiwW6nL
oUGfTKgmcJ/cjt8MX2i8dWUyddfVEBoRmFxAD2h5Bau2ixAGbfFV4cNgmYRvDlNX/mpJBSU39h+T
VDK2a2sz3ju2Yo0wIhUvuN1zT9Ex8f3Pm0CaOaia44K7kqWxOnqTcC5qxRtWecvl86GV62R56zNY
dc8Jw4MrFfJUKffrA25xPFUsjeQG9uVyHwZKUFXEwRMK6/F2xCf7BVIK76uJbn9rx5BRN6Hgjde6
4ZOcV6I7JhaD9ZgtQJDSNW4tKI0ONW0NVVzhz0SsNikG2MXV+MnubPz9D7m21FMMnQSEm3a02QKY
UhTZEgbjyh7C/GEyE/HiJIn1aBuSHgDciqNplNbj4GhusmMDYpJQlKiMHExVPXthxYteW8N4e/6G
nETUyA18bhzhNO4uS8M7D0b1PFsOr2hIixqzdZurgZb2sav5h6D5PJZ2qdJmLAyyrxXj+dicZpMV
VWWGc+HIiO8+i0odC1saq6Sz843uOjqZ5a7pqh8VGnILWypUmLz0Ht8ijQP3pYLx4KyLCJewLC14
reYJOrPvzITrNhAg8UgK2Y7ilJfLdjEoXUWNxtgsYsljlIuE7z6KA8/BNN2v8VUTjAuF6jJxP+qB
0UoBuZdhJT7ML+647Cz8afVUjCZta9a5F2ldwq9WSg4ZzGyPn0ZmatcPlmmTxp4FKTd6Xg6XODnv
faOdGHiPWmzylCLh0pIzqZohB7Emzjfg6160NO59YrMvLBsr+ZOcOOe1y1SBY21sSTkZ/Xj6qDmG
7s7r02Vuu08AAvYkRbrptd9Jlog0O31wRdpfRuGk5W8LAn6O/FL50BzWue71wUgKRV5RJV5C/Bgf
z6vCG1NeChiF1slzC17kGgvwRCxoQ9osfmFeUVjYlYqCnYjIJmPt1zYghEa+P6/i5QsZQ87qYxyV
rbU78O8mCiG9Yb+3Tmj99YElZz2KyCuHzRJLL9ekSXHC+PbChqhYNB3Rck9kuVo3OFHMWDYzGVmZ
eHkgXkPfALeH98tNWxJmysDnZjOZXI5vDP3JX4Y/AxjEAQQjPyR6eA1qy6ZQhhqP9dqQiu2qWz5t
gsRu3Dr1xHVhq4/3OWI9b1XRqj2pcaLwE2DL0H96JgoDkkEDvZrGgkRTC80PPfZf46Ht+iK6sRoE
+xcF2+gJCiufQkjcbTn5GQlsTCuY9WMrOoqQ0EjVk4k59L7AzZ3v66vh1mUo/NDJMb+xHfEJna2x
JqGvOeCFBhEWo+KrIQ2TLyH8x5Vv16TewOtP131JNpwzcjwmccWJNMWM2FsgT0WFMnlPGPdzn+OK
B1oKFCN7o0ucHS69U78K6xIzYKRXF3FVJdeO21gWYW0Cj1vHHg8ITTHSwy6igHeKplaNGfWCZ49s
hhSZi6+dDSNyHJvWvKyXzf8SThNApIoiaqrOxeXczorswihtUBhQtm5dZziQPoQJk6W1ziv+WiuL
m+SIebwFARwgEA/64Ohl8697apx8KenqSI73adhS4YHBr7vFU+rcKKcZq2BwFK+qiuoiWJmajxfg
j/yUQlkdNphJ8UnH82ESROzbs4jLFAWBYktKVaW2yXKGW9CxnjBuZwWdG8PQDIvqMssSpOG6ZU8r
PYIZrsDTyBiKSnWMVeheDJWyTuEo1JNltM0rnsVyA4MOEzmWE5YVWHCPO2ajrNY8ZLea4VA+9lx5
fd43VZKyOWJw7GzPVll2ttSbVaDkkYwyZlLEKLJH4/j+nEJgxQ6GfU/XvEJtxuJBY5heGqXYeYvS
ZjXPcOUQGkbRwWbi8tntPbOBbNzxxrUGLBmR1uqII+FSYdRgJAYncw6twSXRe0ZKT8M2toeG/gZy
YKf3Zdt0O1RCcLxl04oXM52tR3QMQHZoV2MUBia3xE8Mjg3YsnQSucfB4vWT9xiBWEON9VFXQwU6
6TlctoNzySzM/IuHyx6s+yI3d2Ga+3KLGtHeceXoMdLd+G4kSfEYQfZ4B5mTNG7eEHZnup15x4G4
UCa8HIrW5FbGrTYYEjPwV4XcOtoZD4QUGZ+6yhGviermz9B7emQ1Y0O5jageC5/JvkLpaZLe0JT7
DHDlwyIK03AhAsbVdV0k9RYfxvpSOGN8iv1KbsLEi9/nVRs+eNT447rLMwy3GmHuibGcTsqpEHHi
vPOprCd+E6qSuKFSLlR4OxcGHWtmhoO1UG0RDxDS4z2fYYX/8x3Q2pxnBZ/KatLElbVv/vZ/Hsuc
//7f5Wf++DPf/8T/XMefdNmUX9qf/qn95/L0kn9u3v6h734zV//t021e2pfv/mZ7lhTedZ/1dP+5
6bL29xnH8if/7r/8x+e/I0zE28r76YTn9Hn4x3Op02/nO7/90G/zHd/6BbMoGxUhWDsTlcVJ77f5
jo9RlscoBwMPTzL58QCaf7fXEr8AS0lwMM8HFPJ85iG/D3lMZItMihgagf0q0O9/f8iDwlHguweY
StqNUNI7m299MwjAtbHuTTMsLwiu4qVLi1DcOHqoTlgbyM3PwanvMb6v15ILYo2i0sU28w2W3Dem
MSP9Kdj/B9AvnFRPGDWppzMsVi+9z8+v9z0Udr7eoutE++mj7nTeQp+aTEleLpPr4ccbrgYkYYsT
MsBJO+IsWLRLfYbZL5vgsnP+/OLfjybOFxcm5ldoTpkT/DA9o2mD7tjo4mLWbftKJDb1RWb18nge
EJz788A2/+or/8ktZv4n8X7EeU0SZ/Q9XN82baIH6ecXOrfG2zSL2teeyA0grVgzIDBBlX7+NX+4
IG6SpsnlWL3AA2+nV4kJ3w4GkzpQUtCoSzazKWqBGKRj/OoEv+9E321E/4BTd1vGRdv8939ZP9xX
X5gOCJIgp9PFt+4NKE9YpDmHGGQcOrZQItjxPbFv5rmmzpeDu1SMxDScZFZw7hD1cl+j13sqKgYT
68hLiZcL/ca/byfbxp2iFwhLqypqjhYBtR8mW/7FKsCm5zs8lnWAT7uF7JclaOKQszjxfOuPU+SY
sCVo63Gvc0L30chtEVw1YQYWH5Z4wOV1aA2XuL9hPbDiHKT/KMIJa4qMKpb8V+8ybmh583MN7TQU
j5GXsZbI52AGMUsLq90ojy5706ZJKDQQR26b3Ic6FbO16WAOIfDVsQ2dyJ7l7nxgwuUADjjXuJVB
VXoeSATQXNEm6b4UH2XvVNPGg0jQb2Vao3vT2EfdggrRVsYSZHAhrxrvkyxSwX2tbc2SC5Kagthv
UGotlMfIsj6zSpf4UStG9H/duqp378ZiGo4EfdI4kVw0rHqiWSDpLhsBDj5LD9I3IEBDS3eY1oCv
BHRUzyTAU1xpk24fiVC9hsZZPcvc6W9N0shoOmsoluvRTKi4LA0Go+kpS52BAOV9UEEibWn6aoNq
te0kg8lYwAdm+nlB0MQIEaylfCRljgb/DKOA8fJNqxSnspyZd70+99p2kqYc5BKELesoPOQMWBUs
aFSneGizrEHd6lm8fJ3MhQ0grgMVdocvC02IGg0axaanOfy6VqMkBMOKnHjoruN0BPmghmH6Ifiy
2HVXiLaGni7O0FMKI9QP4pzO0Khhl3mo3c9iueg9iL56goHCwLXFE2Lcfm0ycAJ2X8oGU30wZ17+
M9A2aXDmLKego/ViZYwQt74OtTRRKdT6sKXQl07Utr1nc0t5uxFFk62bI0BKmRD3neYhKcj2F11E
V7AaFvwZZzvqNLkAFuf7j2s4RKNOugjTsJdXEju5dV0o83T+M21A/lIOcsC+MUcHg+96hxd5vxlw
gt519cL7jpbXw2vToTo0TRIEVxYmIdW6Z5qwSetRqnuEHJZGhSgdpgaAn2ZyamuvQTeAuMMeHwij
NaHgBuUY9LssQSoXOAY/UGSxhRTfan2coolRK6LLpmljY08CNLOBOjSm4J7GRGTQBgUmblgFtcHR
xtDnGS9NfEYmg7DJIWnm+HaYDHt433D7o31TFP2+sSOEvrMJhdyQPc5FZhqvDNEzFAmbR+Qi0XZc
MsGCQk1YaGfrGlXzxQB8uaskXnGCnFtUtcMhILv3qg2hr3l5V66jCl0NkpLpRNvtrdF3Wx8QrdWb
Kpo84O3RujG8qL0fAHdDktt78StYlcIlyGkGZx2qeLzqfaM/4IwZEhmNRipbmRCiJMzF17ph2/SQ
M14WceSdKrNQWPPN7nRECZPzwAG0y9WchEtbObevKo7oOxsDj4wNi1tdErU5Qsxj+qVW2DViEF80
MPVAJN61mLyvY12/FJafnBKyvt1DjXpuEfU7LLqv/ewZa40s/ga2MhANxxxrGXePKGZiyRRwmAGH
poa8CGG16on0WLwL/HBJBhA9Y9Z5jIInwoKtU+XSik1NOjIdSYeXsZThUyI8NszSTh8Tw0ze47zP
i4Uju3PBSJN2Z+nTZKXQLSgVFGCRsnz0RL6d4wQvSL5GuLMcjEEvRTab6v0Mq+HXXBsGYfWR28kL
TM1myPKU/uPO0RbhLzAlnI9z2Atvq4v0MsNK8wiqFd5qEhUuQqke/ShCJNnqF+Tay+4fW09NrrA1
7LhPxMCxz4sKk0USjOxfOyPohjXBVUTaqsF/sD3mOpu4Hy6E0xn9xhlqizbVIvQ7KLXcKbIJbsYO
PGo3u/ZTTkLEphwbNDs9g6WNO9mEJhtonBgsOUFxgtbmfswshz9fcWLpd6CHdvARCCrWtC1VUO5m
WWLtS4pd567xpjeOeRZ33LqcPPC5FeGHyZfkpLmFvPEjB0YeXwnzqkqnROYEzXM5SmqRaqGXOEMM
BLEQKAaiI/Q2Jj6JzcLNQn3SspkuJieRBLyDkWgEafmGWSWk8ixRRxEIjsHUm9mHmMYx/Aohyoaj
sSylLiTWLoxK6/QVja09mz09ISzpqbf5NOjnmcaC3zjrLFsmMvkZqPHlhJVX5fIPcDpjCY4O0J9H
I5xvQgwlX7IFzpqinn2wF2HT7M/TCwXMiI1pyZUTDhNCDHF5uGWgzLskBqbmPlnKh1JzYSeAIjPj
CEbC9bJNYtcO9uwbId9iGswsul2UpcWqqwb3iEWEiXJbMELSrdG8FgjnYP85mhVhz7V48TPOx4b4
2GGDdhzsa6pLYOGsFT4Vw0Rfs//6sayCfN19HSVUEoFhcHyd0R4m6kDLE6yRtqf2PQ/+LeQJ0yVj
MQ8Wazfl7nht0UojotKKrAC7rqIbG485HlZe8V1RqnDJQseTf+/WVdZwWnitW2KfEYU10mJossxc
ISO73mWXNgkIdi2mhwBU4dmLLDbWSZMiOFQaoTg+eknDkWGFj4M/lxP7ZuYd3dmRDfuibz1k6Nwv
EXcYX1pdq33UDQrFFG8xPCMDRMYeEQ4gfVrkOLVqYW7pmuMpxG833WnSKGY+SbzcUTzHaZnFxLHe
VRKhfA7Do3gIlnlUkjg8pi5fphwNj9HA9j5YEbtraubITWXE20yKwASTweZ0sWagtHzwnNjoHvqv
NqTxV1PSLJUKi9K0UrgqcTQyMd5NaWyE1jtyEgKMTcfF5BQv5fEenEls47MHapDlMfxuBOjDYpGa
n91SfeavlykU8pOTtz2tfzSRoTLVm3GxWs2Subrm8df3WNpGF+liyToaKr40Wmxa+8Ww1V2sW0Mb
kvw0YueadYPgeyD9LBbDVxPnV3dqgjVeoncI9uONo8Nuh5e3tdGLZSywV31RLjay4WIoW5y9ZSlD
yAfvYW8TxI3AcrGfhdwgsADAkhYdRE54VN2XG97AYc2u8IXg3y9GNt2oEUdb1jWFQYfLrWorE3Uy
EWs9vmFeM+WHsUN1Qm0cPCB3IY9t8czFXnnYjq5745r46cIYKe542pzLi9suJx9c3LMD7yLml5jy
hiq77vBXWDncqhtzwrW3MrzuWZe2cyr7HMcBRg8UkPg9ZYvjr9djx2LdU/kVW/L+zC/i7A7s9AR+
rnJC9EgqK6CkBxJge/4ssICKTi5GJelOCGeIMG024TdQEaCyNDiBm9WE9Rk7SGSyQ5ypYH6bAI7V
tnHhOVNdXTdMEPAvXgYNsadZkXMf8Owxt4ya2ykdkniNgvmvWvGl6/hf0iFdiaQvIeIWYMECgnjb
9s+9nShOvOpQnZFKylgQPL3MD3/eHv7Q/XAhC6DCgp4Ht+etuz95QC1IOxkzGTlo4Ny+bz0ydAR9
dUeQPgxYaF3O2+HPr/tD6798QdOEVUtnisvTm66LljxzEkwt0Q0xYW2NXB/yZsxGrAUi9q8yL6Z7
3P3Yi+t+qXJ/fvXvCYLnuysxrHY9XnA+xJmT9Q2ogm8Z6InllYdBBDQgs9T2o1ww9sTHYnuFAx1/
NRd203mm+nV+dP4I/0HsHqfq83//18trHkPsaVodf2q/Bd9QyAKw/XNK9v8jWKwsXn78kd/p2EtO
hmsKB4IS3Bw4c3/AdaiCSVhzF94YeJ6C+vkHXOf4cLL5KUlJev43fIbf4DrH+gUCtyRbmkQ0QDv5
r6B1tv1maZlK8tpiFiptgjnwxV/wmG+WVl77yGhTbwBdrhhWcN4NbZ6hs6a6Na+QxEo7Xye1387d
PrWBncz3tEeetU2ZHDWPCKXbWa9glxKuRnysrnDH95nrVfIBYw1ULPigIOOFwVQxGSh2rjNw0he0
KthhDYNBsP3XDAfdAWmxwZHZVbTVdZFNlMnozSV5QvC7KNKS8bI08t4kpNOb8AQPgkccTyv8v70P
9BL9Hh9BP1ybjGCVSKpjklOG58nYYTQuIJ1EXjwX65hzHr1mzniK2QmMBBolGo8MzB/jnYzWc144
F2aF/+wKSKm/js3lFbejdlgQnm4Bv9jms30x9tl+7HUmN0KV8YWXh7V/Iiq6T2A7Mr6vDaNczHym
dt/qFMsgIzMyJqhueqgCPeyI68S224fNwISXVPBxDbSAq5UIELEOk3U/eBH9X9nCrYuaBpNERn72
uG7CacZMJ4eIJ+r+Q4vX7xPe7b631mGNIoP2ZExXgRZ8UTcwO/tDgHDkOAgro5n0FtfxtN8yNa+t
VWPp41CWFi5drj9soT9QF2JWKC4AwvwnlcDhgDShGhyc3LrdMZU2aYJY6jg4YSN1hzPB1m6NApP6
NgvglIiRhgBd8SpuksRYiz7v/RX5dbqEkYWrTuX1OblRAQzusO/kzh6GYTtwiq3z0O7D3WS3dN8w
tiqxJr51+AJKYb7Mwgp3qVhi/tIghj5ZuNNLbhHQt1M6F3vQu+rBKnR0hRgt+1CaCURLs8dwpjLC
9oCrfGhubO3f5PkE4oJ0cvF4YwJZRZnForFGq8eFK8O+ATOYbeRrdTOKmgyoQKPGrt0QUzrUWSvs
udIHYpUoNkXUZa9mYpQXGLTYFy3EsI0n/OBX3gbdYyRmqY9B3qN7o8ns033Y1vZjQIdzMeicjIKs
x1dPFUHzIN3+kzkIY9NPaJcCCXAFqDDFF3gVOECQ4dirdYi84oj3snuZRkI+S4Qee2oxOIkCG34i
LHqbns/ODWfTBPWjcDN9qqU5f8zanOiHOpye4Fjkh2AmVGxtGCaGSThUOAjIjeZmKsfiBGsLBK3F
2GPRMMVoPpuUWAki2d95IZ4Xg6EAuJC1vW/rLEcx2QbZferi6NLMabXH22/fklu11n7gdiuBo+2d
iOpuPbWjo3bkjZNTR7FrBbjASWypRFvd6BzzXWSEGGRb6QSFpSlh2kEE6unVlsy7T9Cm3Q1T8WEN
Nc89oOdX69K1XzALeI+CWyAYDtW4UT0s2HRTOxiD46Nc1UTDe7dDYwThEo8nqPv06j+n4t+ZYxHz
zUHyz0/F9UsWfyn1m5yYrz/1+8HI6cdkAWo2lpmC0RS/8BudEocfsyrXRAC4yI7+mGPZzLGgVUrT
Xd7t88zn94PR/oWxExb0EuHNcmz+S2Il63uhwjK9QjaEXt7zHYQg9lIFfHswthBMqwUMOBFHhn5n
CNgXSydB8Zn6Q49UQkyXyYg38NY00/aZWL/+Hb0ByeSNKn5TxP3tKcXyaVwcSTEjZQKFld7yab85
pt1iqlIVdf0J419m+MwdANP8kkxLbBxLteoHl+BeXmQSmnJJ1V8nC6oazI3vouX0i1fVtuYNvyNC
Z55l1rtZGNLaT54IPluTYY27b5737dfS/9u5ylnM8E1HcP7EyJ+oW5Xwsdp6Q8B3YyjS0J7bkzPy
Pm68cc7e9Uy3nF3rTxgf9eCLySb2ybWcfQ+x8ZSazj6H+0iL2EPJjcaGSPrYgLkL6lP2qzZfyFe+
FngWhItRadqpy7whHX2zyMCemqi+SrOB9jsme+U61oAr+59/qzftB1/KdwGBeRAI2Nhf37QBPpMI
ALesOTHrU09liNBuhf0AS6MqgD6GUauHKrCyDz+/7LLWvr2XPvgm4QuOslmL/GX5WN88fWGOoVs1
IZDawtK20qiDnoicXgbR08+v9KbPAd/2ka3bDDilh3pOvllnFacqCUdReZKVCQkZu6xsH7Rkl6zS
KtqadQfGiUuZLNcJQc/5Xy2aZVF8/0VZKLawXcZ/HrvDm8v7/v/n7kya20aSKPxXHHMnA/tymIkY
UaJE2ZL39vRcGLTEJkBiIRZi4a+frwCwTUCyR+5yxCAG3T7YoopAISvrVebLl7oPczv0722yTatw
e0AiJRD3YB7DDCEA4FSt8OqvyyBBcijZxfY6h925KN3aeFNZeqrM9HIboxyCkOxnPYWyc+khc7fe
c4S+JF8c2jPAmpHemLqF7tKPZ2/Yrpjpo4gKt6ETtTdYqwJtn70ohXYzNCteTtACWyKskCLAf6FO
dnmEuH9dR5vb0vN3X4nU7t9Ux8SbW7FRwfdTC/uP3IYRM6u9jT0z4m2x9lPdfizMvWff/vgmDfPJ
S9YRFNZRI6RC0mB1ciQ5v0vkVHwFzRH9DkQn6DuXOXQ1mteLPTovDodZWiXK+yKsKfP1PM+epWoE
cEz314HY6ne0u/ywD0z2fzsoN19K5A0XIBxUTQBMn2GcOJeI0C9nhwZH+LkOplhus+i+FEAjEZBj
gxQYacQGiWiFF97A1Q4+aNvNu00d0VAmONjJfQ6KyRs8Ywloo/q1hm8wDsfjhVI62zeBgEHgW+PW
E9Do2KCkUvHoe4fR+YtJg6NKAalUAa6ov36gejr/eFAmIC9Evuw5jQsOC2OpaZ8STy1310sb2XTq
B3YEqhsU56OGjHgg0G6/z6gzj6P9Qk3c4NGnToJ1L+AgiU6QYSFAYirgYi2AI/U07tukDKsrA42H
udogzICz4GZWIOifoOgPCA0zHTi6d+llNQGhqmqc37DVaCgvCQjr5HbwL6SMvNda6u4/mnoO1HW3
Ew3EFB5XDqIUV5kCKXpeUOc/n9DNa6UJ0Jw1+PnYYOmowdWVgNi6ANt1g7tTAcGDXA9vyGab1KgI
hA42B60jqQhyt5clzKUGz0P9XM70BuWn4P2NIZC/qEXhSC3OA9vmbKA354SKLMsbMuPHYPn+UCZ5
GMLSDeoofaRHEu1Af8/KSdUIhaS48vhBq0MkVehFnB8Oe+UeXddwV926fnK8LlzSZAt6UhDR2qJU
91GxIeFuYasJSO4S1qoThaDt0YPhexktRY/nPNiV9L9CMVmZpVCfl2+9BFIMDUFqm4haXQUo4ltZ
rmNRJQKVRBIP7IVza+Jtl28Llo6FjCC8AwxO32XhnORe6grlCsNdXsHQtmaTJZXHJjRsDiGzOKO9
4gxBg3I5LwObnHm2BBXMzUhwC50j2Z1ZpEEMp1RHxKlQSNpkRNonsKrjje/8MTkUNmIDSqzl177h
HJx7E8S6vI10lAeR64/Qoz7WNxlHsxTtg42HoOASgYeEg08WEQIOrLC+IWsd7memhhrGDOlGBItT
nzLCGa9V+zLZhwS1dd2CfcofZfKW5OWEmHweRV/IxLrhAjGMPLjaebn14SioynOONZqKtrSHuhZN
yDj+Xi/TAgklNmOdRo9HbTc/7LkD1A1p7EqXq+roziC978u70KEP19WEpZJeLlUVGRyYHsHlZqnT
JM+OKOq48JvIVUSzOihvO9L6lw43gJYa8g/JQgXx32xQIqJ51G6X6Jd+7C8vj3SDoZNxme7dd6jz
bA1agycwRUPoopPXRESNubpfbgiBe669v1Jr7xgvPDqhUCtJaRRHAj6H1IPvIpWNUiRZf5JGx4u8
8if/ThF1qCcXtD9BzVw9RmT0L5zCmOif6qDUDvfW3q3jy4jmEnfmIWJLQpVrxy+41GEgj+t7agS9
PCD1S30PgcGsNI/+azXf5J+MrQY5gOYUsJxVwdw9RJUo7rGOxBJC+oWRGtDRlaNX6fLKV/3k96CE
enyxpYnex8y0yq/71NNv0DmEhu3sTEKrkUO57NwMYhibDUfjSMMd433D92jpk6VFD7lZTtlbdVVo
4da/SZH/LReRvYHg0iQ4IiURxrndiqoq5H8zaP90ukHjTgRHvDLixuIMp/uaHQx2s0MpwFWIl6S9
uepWHHszSp/ebWkav/ugOZFLtbSxhXpA/ZwAn4ISb+6oKb6Ky5CvjuMj2ZJKC/PjNXJm4uEFvaTE
P3FfgohsmBFPcUhMpsqj3IeE6q5g6eyDzc5/H6U2Sx66PezvhjqALg5E5kQ1apQp9L0Hn9kr0+pw
F8KLEJ3cD0k1p7+hAmO1SEjj8HdIpzwRDqRyVYGT8yj8banprmgdTRtwx4N3OmvKH8pIsIarFLKy
nleQU8kKQlyh4c5u+9FhtyA9r6j3TTmOQUw8EWrSvnZLctg90Bk5RkGlTu2E3L1d69d7jWmdKXZS
P+yCnfmuOmSoTCVKXey+lMSOsptwOQn/qI+u8CE+UsuXnAMg2/pa7ZGyskL3y0RZhvOw3G+SC9vA
zdVp6X3wYb6+dunOYV6aWqptcHuoQlwUnkaqczspNleBFrFMjpOl7i6MKFaTNXxQUnOOikldlcJj
X21NyHTzqjgWV2wyZfJaTQ/0blu6QV6w0+qFoHUn23/DBnU/TWpg+u3RzVP1MacrSXYR0va3WPil
xlBVqHpUNpcba7PY81rQst0hB3WMiyK/q2o7+LgtsuTCQabNCKvCvDmWFi9np6jZ8XpPOVJ8F1mV
8WaSK0L4OInC4vWmLvfeDOXu0PsEEiFzC4EGiXvbzwrqp7KSMGFZOAm7QJ18DDaJ6v9LjUn2Ua4B
Aqs/73OdGhyoDMTyPBvds9vJcl9+JSw0oZmgjdzOwncV9X1FvOB4nUIZQeH6KKJ9vpZv9XfoGx7N
+9Dao7ec0BTeujNUz6hQM9+W2RUldby10oEDg1oKOnqIDmUIt1d6lV4Wgeak15B5sP6dUdFloEbt
BtUvwqPJFyqd1E9bjzAIy8EXbJpNmL2LXKIh84O2d7dzh1LX8qI6/E6RTOnQtn1X2J/JDhO2LGlf
adwZy8ApPtCEibx3vcGiUXPVeZscHAjf+bTzi9/Y6d7T32kVSdCFaHPKc1XVZHO3Q3manG+G9gsM
EsT774Jgyf2nCPrPM8/ZeZfIyyqLmlINssKWZcMnWnr2XYNK/2/yC2fk4SeU4JbZvFnHgjDcEA0/
oa+d+3l9Rip+0YfOmcdPB3oZxxjmrUYmoRecacZqbuZHYwQr7vnwSDrEMKYKAgX8x9kgiKNN9+8T
W5taVtOoV+f0wNUmR85m5+ltPyVV/7XP/OjWW/b14vHvfxNHL87Hco+vTXk0npMES3NxgjqfBVWx
pyZiJ0JXoP3AubH/yAp+/IJfMlMvmwWagnO2lpoEi/icYRg20YD2GQl29CbB1KYaVXHI67SxwBEZ
geCySz6+7kxdhWCiqg+e2yY3p8KGtHT0dcTFz5noET29SkF0e1NtgPFPg/wJD6Cz0Ak0Ogb8+uYi
FHP+9h19inHohCPptCMuHMW4ZgERJGkjoLmpobLS0ZFq3/XAETjalJ/odIgiwjjOWSBaPgzV//Ru
gMVT0MEs0Gmle8pzW1DJcVtUympwI8ZmBXSSVXhpUp4QV8Ap2cQXIFYlLvaX8+enrT3BSsKzKOud
5mdka0GHLyA5C4Y+paoIZw/AOD3l+SxQmES1Ao6RsoTmakHIiPwi8SjoEnK2ADIiAqQaPOqztoAF
TPE7uE3BERqXFagGtV/yz8++p9hUoLTPP/CIkEimlqgic5TRQUNq74RwnawvQFQK1Tq78/iDfdF1
psRBVNTNOujYLrsRrQIsVNYIAAe2hUukFG7gCa2pYOXpJHFa6xgdMiQ1I2rKpGxAZbsTVYcN/fDc
BQIVpqYmKrOA3+JqrW1ML981pVcArDV0IhT9O4cjV8NDukyF2SHDEfoB1AclbQCGHm9acyyzs/SB
H3TMKTW6JCw5iTTX+GYB0q5snEB30ZrlBOSc3vUgXOBYzAJlyi4eYZyzoFuNpJ2UPwATUB7rkjHu
Tgl4vXO34FCXTXEI9JfOFsZ3VgLSSPsFfJ8uysfBms012BuoTlcdunRAoW5toXXDI3KOGnVisluj
oU1pMsC52O7e9QAfgJIh/LJFOqMDBoJc0nopibCBO6UIQNCcnz8wC3Vqi9oFSvbb3WGEO6TmyBqB
rkwROIS/xmmpvfoOwUXDAeY2UiTdLI3uqCCOStJbpE4ETXfRov52LO65RYVZIH6kqt0sjdAhUG4v
CxSII4IUOA70bcC2CB0RUGCCWhMZ3aaAdrksUhZBVCoMTFQzWp8/8IaqIhTm6atkje7pNVaALDwy
rCl1HypwuIPCg8d3CbHDeFT0LmEzor3wmbqXnw0b6sYU88bJQTJrrgEgYN2TTKKekBNZYx2j2wsI
IbvSewEWjn6KYXVRM3EmPPeCLgcJBRtQTgGl0R2Z4T4/ES36WVsgeIhgDmxq0nPt1Z8FUhZk1Ngz
8QaNwx3RUtDNp205fvr5bRIJqk4M+Tthw+b5ybjAax/nWtCp4JJGhybhIc7LEPTb7QAHe74WOC4K
aioNJL5tF+MKoYJlRHsG2eOiw/lAsKvbpfA0dMDhwcVQxoqLdOChtC2oU1SeaNJ0QodDv8hJgkAi
cdZvAZZx2QLbmjQ65LgI156iMPqyNxfbzfmKcHV2Bw4SIp/fXOPDyCISLLsiAAKaQ4Sky6i7gxUh
UkuU+lAP1AXVx4cWifPJokXwEmcl0WihC5AMbAFRxylhZ9KMoi5iXGsBlCfUBuX8Im9ZI0NFErG1
9cHu4LqUS5N5EsHn5hpdSPU5ecefRgpwj6jxMUQSpbkGVmCbrBWhRHBC1ePzCPS7lj01Q7yg7Rgt
NvQudjCwBZuQq02nIuUUYPlfRVAeYsrRhXAousi9rmyNMt9L1sNghG8kPILrBArZGvRv5JLe3oCy
APxfQs/d+ep/NQffFU/QYF9I7w0gZ4ACPq9jHA7iKNgHQEKcM0+mMDbfiFanNAVFrAdS7rzt7l0P
ZoEUA19DsznqaE/nq3HtEM+UDP+sayTnpqFqS0VwxzAZQEawOYlZmz3kRE4YmynQckRrsctfD7Fj
CsjAWKdNsEkyn7sF+In0cqOm94yzNi5TAPFLgyXNmSKnCQe3S7MMwyow84jdUrgtQiviGh9kROhW
GjJCxIDfxk7YrfqnboHgGspBWgcmRgcWKNVvwexfXxDskwpzwMo6zUL/DAViQjnJMuhx2M7S6HAj
1c6abFSBWRBFvUxDF2gcIKYm2mqTc9Ks0RmBhpyX9FKAeGXRUPIUQBNr69wtCloKdAykljqcMDor
IADMufclkHEAuL5BRkNwME21kV9vvN5gh6R8A9morv/vSzeFF4Ri/yxumXl+8NjUvvjr7Lnql+99
4FQY8fTnXcGDqO0QmLr3QSHe1X53WwAi/v6P3uw0vPyzH554+s33dL/ePeDTr+591+mpTv9446/T
VfqAMGJT6tPdpuhE8Pe//TNYfV2Fq54qWLMFfbuTJ5pjf774/zJwthuMKyo9pMf9rozZ9+VgXnbD
6W4VZavsdIviNVIcjV3K3vIPNWYk7xp9gDhdPcanuxR33aZDpe86jqL1Q+4/HPLe4M3alx38ch2s
ylW6Ph+53WClR/ZbabxX8R+vmJxD+NXvWWFbcCP7LXNm3X/sDdxhRdmR6RGSbvq33FXJyI58w4z7
/vmMdxRT2YEXjyuvZ4AdfVt6XPrzRbHfX5HtEVV66OjRXw3EEFuWofTIcdk3izb2Ljvs66e+qeWI
Sw/MAIeHXd2zC5HeO/3Ds7KTL/Kob+KDnz2ZZjpXcMKRve27lR/1vAf0hF+xvdyt0jpYRY+nO2w2
c4SsCBPK33KWrR68Q7bO855Nd2w+6fH9B8/frPqxvTYLKD80e0EW5z3L7ngn8mNnmc//+33PN4G0
BTD+FaPHh3Q4tADx0kPHUT7wIVpbwyY78v36a0pL2/5st3kL+aGLVX/f6siU8gOXr25W4T7z/P62
zviioutXjH+7TrN1z1ORxxAR/F8x+N268h962xiDi+jPrxj8e52yJNHfPfr53qvZKo3ZKfvm0vKk
pe+9+YLL1W649tt4uezwbz2/P+NtJaz0sLsARNI/1XQMKemh0/VmmD5pSEeyA79bR1FWB8VqIEXZ
BWJlh//gxY/rV4vsyd7WJsVlh/8YH75jiB0/99d8wVND7ColZYf/xOyvs2zdgxQdkUh+7Kp/quxI
KbLjfs5X3sk7CZjSxeZkh/1tTVeRqHfm64Q6pEf2OdkMzFunFoXEm+zQX1bsOzRf7S/Njg8nPfg6
y1/99tzNtyXb0uP72UMcZX4PuXXlPtJj1/SaiDanGW7spNUd+fHIz0Wa/pSOeBp/OumBPPdr/eCa
+MRDsF6l//gPAAAA//8=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Texas - Distribution of Office Supply Store Visits Across Counties (Jan–Apr 2020)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regionMap" uniqueId="{1DA44286-17CB-CB46-A522-73EF26913733}">
          <cx:dataId val="0"/>
          <cx:layoutPr>
            <cx:geography cultureLanguage="en-GB" cultureRegion="IN" attribution="Powered by Bing">
              <cx:geoCache provider="{E9337A44-BEBE-4D9F-B70C-5C5E7DAFC167}">
                <cx:binary>1H1rc9vGsu1fcflzoGAGA8zMqZ1TdQBSbyuSrDh2vqAYScYbg/fr158Fit4hIcVGzibrXmrvSmJT
bDSwevqxumfwr8fuvx7j51XxrkvitPyvx+6X935VZf/188/lo/+crMqTJHgsVKm+ViePKvlZff0a
PD7//FSs2iD1fqY6YT8/+quieu7e//e/IM17VtfqcVUFKr2rn4v+/rms46r8zmdvfvTuUdVpNX7d
g6Rf3v+WBtXz07uP1ap6Lt+/e06roOof+uz5l/c7v/n+3c9Tea+u/S6GelX9hO8a8sTUDZMzg+vr
H+P9u1il3uZjTcoTnQjDMiST6x/27do3qwTfn63WWqnV01PxXJbvNv9+9fWdO3n1aVAq5+WhOGrU
/beP65v9efeh//e/Jn+B25/8zRYu02f1o4+gehKki6CsiuCxor+8/30VR8/Fu7Vi/bdn84LL7q/+
U2D0E051Q+oGnSBinpgmAV4Gf0HE+nbVF0R2FPrp3cNztyp/evcdnCZqvg3ULKk7kn55//D5/Y8e
1xECflavnlZxnT3vH3OKxSh0LgnbLEYygZ6fSEuYjOnkZbHCNF4cwQv0U9X2hv5cwTMMYCrq/Q8c
3f+Xi95WbXAA/A3jhFlE50D3ZWmLCf7shBFODE7MN/HfVmtv2M8ROgP3bTFHifnN6lF5TwpJQbn/
lW+QE0s3hCXYxqnLV8hbpqUTg8kX5Pnuyn+t3N7wny96hhW8FnaUtmCvEP9VdgA70E8I4bqpE+vF
A0ztgJ8YuhCWzsWLHSBd244Au4rtzQbmiZ2B/66go8T+fNUfwAEg9AtBdWGIzQJ/I/QbUgpO3gZ+
S6u9oT5D5gzIt6QcJd72cxwfYKGTE920EM0ZPPlOwcWRAxgc0WATCSaefkudvQE9Q+YMoLekHCXQ
y2JV+QdAmp5QqlsmNzZJ27TCFidUp4QJpPXrn0lSv63W3hCfI3QG5NtijhLz35///HP/kFMOUoUT
Kq2/qeNG0oUzCbP4d56/HcW3tNob4jNkzgB8S8px4h08+kG12j/kKN2kLrkpTfqyiqfxWwByfazd
xQvk5m7i9vuOYvtDfZbYOcDvCDpK7D+otPJUAkr2APCDJhWI5kKSN/N2zk+ISZHabRyCPqFRX+n2
07sPq6KPV+nTf87d/RPhE1P4sHhN4b0Sd5TWcP6cPj0XpUoPYAyI+DoDqU6wyHdyO/NEmAacBN/4
/Ql1O9Vpb25gruAJ+m8RuFNRRwn+/6Tecxykh4gD5MQwqDQ4xQrfwZ6Bz+eo8UDpr38mAWCi0t6g
nyl3BvITSUcK/MEWPbjZsT7X6SYATLhbQU8skxAJ/vYF/8na/59dd/TTu4+qHsuRVaFGS/3Po8A/
vcDEIj46ryPBRORRWsRZ8ex5B4kBTDITJb7xAve06oM7YBSugk3sYFufvTmBOUIneL/l+7fFHCXY
drEa1AHYO0M/QamHRrq1yf6nPVvrBP11SxDE/vXPlNTZ1mtvqO/c7d9JnQH7jpyjxP1S+elhUj0B
2tYwqSk24xETry/ZiSCI+XzjBfQJ8LuK/fTuapWW+2jXz5Q7Af/q42sfvyvpKNF3VLI6AIULyp7r
UgjQtW/WfFKglyM5FfrbJf+2Wn+3OrfHfHbAoi/DRq8GauYI3RH09pjGtpijxPy8TqsDRHXjhCB/
R5cGUXsnu7dO0LenhvhW2U2y+y119gb1DJkzkN6ScpRAP6z6WB1m/gqdWIJJi0ksF8aJie6rYbAN
nz9x6TsK/fTuFNoFT3vI32fKnUB+ev3ape9IOkrQl4/VQTAnJ4jjzKLmZv5m0n0nOkUexywuzQno
2wrtbYHPETqB+62sfVvMUaL9oJJ3KD2eD0HVkXW3laNUeynTJrQ9avWTcdQS8xgTxnaq1N5Qnyt4
BvJTUUeJ/jm8Z+yp/Qdzap2AqzFMYWAx7wRzJG4W5TpjG5p2Av2uRnsDfp7YGbDvCjpK0K9XCUby
9z9UbZxYFmHUMje99slyl+NstWVgqH+Tsk+Q31Zrb7jPEToD9W0xR4n5uVJPB4CcnjCGAQxubCCf
EnH8hCNrZ8YWUbfdi9/Sam+Iz5A5A/AtKUeJ94fH6+c0XR0mqmMZCwr2deLZ0YYFE4P1/VfJvg32
RKW9AT5T7gzQJ5KOEvhbVVUH2TJjou+KBju2K73JuRMd+f3o3EHC7k5f7Gi0N9RnSZ2B+Y6co0T8
HnMMq4OMUbITydF1M6y/h1xSbloWpi/WP7vA7yq2N+TniZ0B/a6go8Texga0A6RyYF8ZNTErv2mn
69NUTqAfi900hrWp7CaM3LZae8N9jtAZqG+LOUrMHewNLQ4xWkNNjNkZOkNkf5tzx/Q0KHlhkU2X
HVaxHeB3Fdsb7vPEzkB+V9BRYr+M392uygPU69gjhbF40Oz628Ub0S2AT6lkxgv4E+x3Fdsb9vPE
zsB+V9BRYv97EMfBKjlMqxVLn8Kbo3h/k6oT1omwuKDI/l5cA1qx20v/lW6jBaQptqM/P//n0zX/
SPrUGG5ec/Sv5B2lPZwV2Cx1iDiAcWvLME0hN2mfPq3qLeynlCNruxnIwOfbxrCr2N58wTyxU/g/
v4Z/V9BRYn9d//mneowOwOigAYdFjs2ym5R+MnOxLvNMJH9SvniKSRzYVWxv2M8TOwP7XUFHif0n
nI2BtucB5mupOMG+OCLpN7pu0p2V/ETXLWy3+naeyWQ31USzvaE/U+4M+CeSjhL/q+fiACUfpux0
RhHkrc0U3aQ9i7NqiGEalE67s1vq7A3wGTJngL0l5SiBPlVF9c7GVor9u/nxMBRu4cADuonx0wLf
RDkAtPlW63Y7xE9V2xvycwXPgH8q6ihtYD0eehhnjwVtYcecKTfjk69NALUetlog2q9/Jin/RLO9
WcBMuTMMYCLpKPE/XxVFcICh6nG+0tIxaUWnMd48QY1nYp560p7d0WRvaM+SOgPrHTlHifRN/fx4
iNNvsF+aSxyGAG/+t6yezrCf+tvmmkk1t6PX3nCfJXUG7jtyjhL3D8HTuBN1/zEelJ6UOHsQwzb/
duDbkzjjwN141A0j8APjz6SU21Vsb8jPEzsD+l1BR4n9zaqBfz8EnQtoMW2JSZvNQSeTMl6CzQXL
j7mNDd83qeR2Fdsb9vPEzsB+V9BRYm/XRfp8iDF6nG1pCvD1IOtffiZjGjgShQqhm+ZmTGOyR25H
r70hP0vqDOB35Bwl7pfPX78eam88kjqGc1GI/GsCZ9fjY4iDoM0Dem+Xsp0q9RPCEWbrV0/qP2fv
/4HsiQE4v74mb6fSjtIGzlZx81xWhyDvkdijniNUyOl4FjbFSmylw56LF7cw6dlPddrb0p8reAL+
W9P2U1FHCf4Djn8+QEWHrg3BKI5gYhrrMcaDg21B5WzaNZPCblufvYE+R+gMwLfFHCXYcKM4YeAA
yT3QRm6Hw+w2sxhv9OjG7VXjSVjfsoBtAm9Hr72hPkvqDNh35Bwl7gs87EO4d6xySpC6MfrXDM52
iEeLhuDcA2yz2oxuTRb7jl57w32W1Bm478g5StyXWO6HcO7YGycxeSu+TeRNyVrMZ4wbaui3I4wn
wX1brb2hPkfoDNC3xRwl5h+T4EBnW+JUS44tNRv+ZrqTCkwt2rHM2DoWbdvFb6u1N8znCJ2B+baY
o8T8AbzN6iC74OlYw0kdBx+8TGJNAzsOqTawQZqbE8pmV6O9AT5P7AzIdwUdJ+jFqjmId9dP6MjG
4ZDDF8yn3h0UPkNfHsddvORykw3SD9t67Q/5OVLnAL8t5yhxv10V0UH21GCtoy6zkNC94D7txXEc
cIOyTbLJWt9RaG+Az5I6A/AdOUcJ+D1m69rD7KmhJxIT1KYx7pMaf6bFOoh5U1gMgzgvn0/Y2Ylm
e8N+ptwZ6E8kHSX+C2C/OkwazzkfTyjdOPLpkJU19mopIXQzhT9J43f02hv2s6TOQH5Hzv8b3P/+
XWT/fk/bYlWtlusXvG29juz7n357j9nkq5uh5zfeR/aNXL94wkvgRk5u6/1ko5Cdcenfg/JRpWWQ
vvGtZ7wL5Zf32jh+j4aOiWOOTYFzkHV4hRYEMj6SFIek4UQFiZ0ZeMENXmTz/l2KwTH/l/cM45rY
kskEwSeUo9n3/l05HnyJj7BxG+eo6hJ7ffBiDAkNv93krYp7D/pM/vwurZNbFaRV+ct7XCJ7+a3x
BsdDt01uGjrGRiGNWMb4+ePqHq/wwy+Tn0BV+FFt+taV9FRxXiSkuzVJWpwPfR8NTlWU5mrrAW0U
+NEFOUbXJMYadOxHwo1tXzDCXWc0S8wrnB4nFqRpg7NB1t2tFYv83OtLgk0B/36T3xvXw7J7dYPj
0TRjIWaMrxLZvZ4MraHETkh2xZVvrUKJCxhhSB5KswnOvn8p+P/ppQA1sMYm63E3zuTWCr/1vToi
7CpKWnMV8LA4N6shyGyLeuSmGgb5iUchuSlcs7v//qXfuEtYEub+0R0EuUgmMLZ51PS6VrCrkobs
IhUZobZmpmKRNF6aON+/GEFOO71RWCCGjU1r7EeNa2Qbw07FZcK7gF21ysKFeFbojd2Gehw4TcVD
z06NMPMvk64rhdMXflN+ZkTF/qKLA83RaSpxOtM/AxmzkAJ7XXGSpIXzQ0dktqw4JL5bx57LrkTL
cLsyyYMzXYvwj//btXACFtIAmDAMZ2JQXmjosd/37MooW3JTM6184lXS3dchzb58/7bG57i7ONHw
wwswTBOHaKLti1Ry+7aCKis0S9XsqnH9ryUt5bKmifYDNF+bDi6CwCWxZwTHeo3nM29fRG9Cxisa
s6shKtVVKBo/s4WVaQ4ZIi2wv39HZHw601vCWAuhmGDFIxwbHttXE65BmkEjxlVIgyhZGA2uSVyt
tOy4KLMvIo/MFbN6LNJAdve9XxkXXuMaFz9Q47UFWziJHBz7uFRxDMZEDZcS6rpWxK46UdFLI0qJ
ZueuFNeZVsJCc5kkyyiihWX3Q92TxXrxmlkZnMGDFOff1+YtBBi4oPXBuBwb9XefSRRLq0uiDIu3
cbt7lBut3aa1umJZIZf//FKWZQhsEEZooVOL6jJRqILnxlVg4vFK6WHJanEHVy8sIPH9i+3GFrhv
vLlF4rWNOGcEl3tlvplfqTjPM+3S7fVwsDWtyL6kRpx9GVrR3TZpD+/w/SuSEbe/zGu8JMexRThv
1oI146j5iR/MogGH3BAuL3W3CM6YSLXYLouyu7darbsPShe4GubQ3foipA+BhyWVdJW64lqatQsR
WPn5kCP8rT1IxaKshAHQYLBdXxvIIiDqRw/JXIfYLZ0R+Dm8KQwRO3hxUK41gT8VXci6xGCXZawn
p/rgD6cqsLRTj5RRbSs96TvPieOwUK6jwqy3lihKrbui0OJk2YcxdHQTF0C6plc9DUZSPXU0gulK
f8C6orkGz6sXIWlsk7SRZxNPslXui+4+tvLiXA/xtUK3jAve43uLMqTGRUvD/EvVcHUlPGZcFiEe
oN1HYX/rBbFWLHFYkPxUDb4WOr50c3JOShOiS+4X7SKRvhU5cRG4hu3VgWGdxWmOawg8aav0+9s8
x1ibzRpGfbsOMnJT+goWkjGSfekVr4YzzR2kddlmhroqKy8pFn1BUv8yiv3qKQrj/AvPUppdJiTo
74lA1qLRSmvsIYu84A/SS0DGB8OKIrsVrfspjxVsr4qsVRRQWDsLqbnqiSyfSpKNEbppzFXSR/Qx
G1x63uQ8vy+sKjkzW547PPBYY8P/NqbdShMRhvSEPGhGjkXaCXHN3EhzjI7hibqB+6lnNDhzDaN8
KspKLDRFyUM1UDwf2br8viy94RNtzPIpkww4JVYrP5GuKJ+ixKPUtoxKLofSJYYj+kJ+qrMev6W5
vXEh3RRSkrAnD0OF58ZqvcxfImqKSH2alVZs2H3iF+G5x7oqtnvOYdnMt1hvJ2k/8Et/TEy0kHe3
Xp7Iaz2k3X2keqtbxrqmWQszjclNHuSwmsjQzRW3IjzNPgyzymmU6FOn0V1uXWajv9QanpdnJWvy
+Ix2FMrg/Q9RsiwqxEVL+Vh/Svd6b5kMgtz4WhIDSjOphOMqkbcL3jPEmypy3dgmqQFbbkJNfip1
F2JFVYtFpxndbUYEYlFV8ag77WPEZbtKTWo4meENHwYeD55DgsRcNSo3V5ZfS2qXaSHjhdmT4qNn
DPR8GFqPL6hnsT/SpkkfxBD0H+K8iRd52Slih1pMxCkJ9OIyiFVz4cU9LlPGXee06aDqhV661kMc
D0FrYwQ7jWxuhv0NTrnVrxLmq8xOIimdwCwNpzM15vTp0D9EUjeXtfKz7DLS+wCZkRX59qCX6V2V
lSK1Q7dOnpVZVF8FG9SFSXl9Iy2zTp2+C93OqSN4JmeI4bhaPSvwELQ++2zFUVGelmZvPXYDJ4uy
StNrVeqFd4rXafLWlnUWLEio0rNG1epGhg1pnXQo/T88QzNtrqrsQ2/51lme9u4V6Suen4mytb5k
QVKd9mk2/GF5rbo0WOL1dtey4Y80zqOladLBKUkDGIVrNk4UtekfYRbyapE2frmI9IKfjcloafMu
L+miKBJtmSMHtBskL6eJoNXomFw7Vbp7X0eldpFGeXYRFn552pt1/+x6ql36WqDd9VIln4OoYU7c
p5WdpUFkh3kZ2DwqVrxiWB/BoC1cmvhO3RTkNMkUBAnthnW+DvdvuErZUWH4ZGHx2FCVE+WYrDTt
AjumPTUin7XXyHTFOTVIby7SoGlt5rq4EIulu2C1518IlZUOXmXuLwbVa0uaqPq3LLLyzGnS8rQ2
o95Jff0x5qX6LOOA2oEk3WmpucaijqGHdKvkDlFpiAD84F9bLG/tzNOBKPdoeK24TG/1qs5u47KC
UWsWMrJV71bkRqMhlkRZomJYqqyi4ZXVuUiwqdFVuQNvWz15hQ6HpAZJHnp9gMnqVSM/FbzuvKWo
O1NfRoHfpXalcr2xE+7Gg0NNTX1xCetu4y7XHN7HxXlVSsRjUZtuYMeUqStVxKM00mXlWRRUcEHw
xkjMMgVv26GOKssQKZzVDOShyRiWfu2b+TnrWNidmyTKvmQZzNZRvFGlHcVp/IWq3EM+59etTQxF
Fda8X2bJH2boi+xrnzXMLhteucuYV+UyDVn7nIg29xwz0szfpeXKi8KX5Xmses+3084Lajsmof9n
2VSrMDONpckCz3PcHu7jczxotfYxGDJlnAvqi5umCAPHioNo6bdtfh5q1nDaizT7bZBewm1MZLe/
NWaR3Fte9pXGw+eOMvJrVNHqHH6Vxw6VRb1kdUafvMr3noYgaD96NQdyWPHhMm8iT9rM4+1gN34Q
9XYel/zSMvEy50XXxlnilBb8uBPVpdeeV7LTr1iu+g95WRn31tAFml0kUU1sCyiEDpId+UlLmy5d
dqSKP3RFwX4dgiH+NSesvk8CkTuFIuUja7R4qarB+FNJq7mqrGygtunSwLJLYQRO5Be+3dZDK+0k
j+EupGsuwkSwy75t/nQzrf3YVl50R+pa/1AEnvlH1FqR5xSxLxErUxLYeW94N5L1wYeiM41LTbbS
sv3GK1c0aLOrhBtymQZmfYUhRs21WVUmxRmByzvVkMw2i45Q6toBc3l36sep8WBFWXbepMbwMQt8
91rv6+Gu8nVly8Zrv9RxlddLvSxZcNkFXWc6QumaZQu3FdGN1eltdib9ujxHlatdh3xQv+lBQaWj
RXWS2lTjenRew3huWkT4r6TJyw91ljVnHQLhVRqWSbzIpO+WtiIoL3w4t7OIuSRwMmQWmuM1vLnz
aNMadhq6Zga7jIsvUVcZNl5PZV53AYUbNfReVk6eNWm7oElRu06cKvqh4v1g2r3MiViKmDM4RNI+
K2rV7qnU8uHUyzx2wVhOl0ZsDedlzYP7MiH5bzXpy08i7tmy6YbIGcIusCOc0mcz3feJ3Q0hXxhZ
ywOHuIP/pCcV4lCl943jak0QLxge1W0zoE5J44EXjqnc4FdMGnW/6UWrfTCDyvDswMiNU6EZBbfT
LDVP85KbraNoIMuzGrb71Y397vdMGNVja7r8qbUqKzjVM6sunTImZuyEKuaF7QpDfR2qIQ8WhT/0
9Tmvsq+m33m3ZZgYiHJBWV0abecrW6k0X/hdkPc240XhRIjOv2pxGy7xLkC3WkgPObs39F1n677i
vm3WrBJXUa33tsZ489m3elU73BvCX3Xuct12szT+NZVxXNkp7bQ7XzOAWgwCiZ0nWRt39afOzzuX
vVSwG/bx9iUxf2HQHhUSq8Dzq8kf/xvnx+L//xq/8+/fWXNuf/3pQ/BYqFJ9rb77W2fPanxDfTn9
pR3JuPpGu5F/3PnDKzL0G/M3oTvvn0ssmL/5cCYXivlTVNH/ZmVec6Gr0gdtiNGpHTL05WsbMpQQ
60RiLzKOHRM4YdYcX/K6IUPBm5/guDKDCkJRIH/jQfH+OJCTGI3Bl9jIGPzFg+JMUmbiwEJjZGEY
gXbfbnAHRe9Zbf68TUtOa3ATc5Z4CRHT8Z55kCFsQggMashrraytu6SJk8FJg66+KxCOLeQ+efnH
1oN542K7Veq4bxPzPqDp8Dp7dBBfVeGe2bEYoZvBaHuUJUzRh34M2i9RFu9Syb54mA5cyQaZ+v/h
0uN4As6Cwi7iaYEcaBFBvUvY3SA7XFoWmlw2fcu7Ja8t8mAI+GkbeSTSkNIdfsj/7FIC451jVypI
ZRCVoGMx9LpLdVAj8FIZxsZdnICec4TWII1B6jNkl4EaL9clKKe+f8t0SvasLwpTwXsICdIsY0Kj
wce5tZdJemfSlD6khjAuaGIN+SkHNf8pq0wUcIGBi9ekLsozv6qrJ2vkemLNwnPILRWcZdxDVlNq
hecuh2FgK5zCgYwHKbBOrprMBUcUDGpkGzKSjERnahg/IDewNrK/eIKXZ4ehUdT26CboOLZ199mJ
Vhh1x32KKI0KKapjdtHFNQoiUXbkIQ56ddVFKCq///TQ1np9VQmLBYODC8sJYpam87AzC3IH/oA8
pNoQnOU89b/qYZff9WTo7k2GQtTkSOrt3q9/RKq/XpjcIHixBLa8StjNlLFqpER5EHXkztIsMDjj
gunHfoHX5D9qFZA3DAWsLlYWNtcK7MSZOAG351Wq6zW5YyP5qGV+Gp02AUFpui7mu4ixVaNb4+rU
kdhmvMViWVfSYeT/U14WVotpIQZvOZLNr6yWMk3JXHf1u7rKsUgYEnd1TasESXyQRj9i0N9aJBxu
D+sS/8OE0oQGJlmoB5rR0Ls1ZZH2PsoE5nXqqua6ukoKtBXWZG2eB7ByGQ/kJmkkmKk+JBrS+XBQ
V5rVdPdebqLyiHQqrquokUtSWaDb/AbFftqHWGWmSLv2Uvp6HZ9+31bXbY7JEuHj3DRYc2yRgsXu
LpEQPYBa9JLcuW6o56fIgIrztd10VZJ9GUtRJxYt/F6PB4jkUC49ZNOBUyJXO8/6BNxKEDFQGUM7
oMIlrl4+iUL/UbfmDS+Ijh6IfZzYtj6mYVdNraN1Y7mM3JkDxwNZP2aSgR0lukse8rj4kWWPEXRn
FVs6hlUEYi4OeUWTZEoxJxXqTD3qy7s1o2ZWoEpc2Y3/MFBN1joolsKwwBaCvnKLJZoCfmq3bS8/
BnUEfsxI++rJUE13G+rwAMjEsy+BweA4RwJ//YhKRA3LJoEvr1HDqaserc1rTQvYBeW4IeSHP6JO
cQfT28KdAGf0ohgFjzptRA0ikjwPeu9OwUocmfVDsQi5Fv6aG3FfnYORaFon5E1YLVDyxpYTNInr
n0rfC0I7hmwdLEsmHRrSZolkmp82g6dV575V1sRJidcb4N1Md1joBmpE5Kat9lumJV610LlShd16
vW86mA8D9YFuA1ZGWLb1EiHAymzwlMpmIkvv6rTyr0SZhNc0EeqmCV2eL4Qq9NrOaKx9Jj2PfiWq
jx/1qCSLGNW2b9N+GDLo1/hPvQl+7rLq/XQRVIjfl+gOJ4ado812myNhTpzOR3VsM1BAC5P7Ircb
zrXsU53GYbswXM4/Spn7up2HXmTZBW1ycAGmVww2cpW+cKyKij/BFBfCSZOyis6Hbqiondc1Ky5o
3gfahYuBp2vq1eDrssa9HN/h/RHlI0FazhqvuNNagzA7NMHMOWB+It9JfC/LbrkH0s/pJPPdhQhB
dXrg5z5lEWyE9zWWnKV6ucwTv/WWSA3kkpNqgHbKNFelZEgTUgFvgxQQjrjJEAXKoMfXel6ConQN
VGuidGNmdySM+bWIeFQjMhOfiMwZ0lrn2aXh6WH/wTJUfq11UpBTr1eJH9lZ0IkL5gX+TRPJ6hGs
nqVsj4K00YOwWEgj8W4KyorTQga2ykEit7o+fCalCC5pI7oFSFf6Z18p5ZgBGEsuqXtKB0P9kcjS
/KxGri23Mv8JhtI9e7UbVvbge+lCrwGP47tVelZ4mblICG8cGFaio0Bz064Tdq9pvS1U9cRy3QKl
GHjZg2aKILpqUlFG7DJNY5k88MZVuoQBxGDOFwlPhIaSsAd3YIHEMqVL8W9CW2pmTsQCjfh20Gu9
lSxERGT2WfMby4C6UZiCms37RJxq+pj8DOhSqyjCk061Rl3pHt7nBm+voXcgWm4sy7jNwCl7bvxb
p5VAbM1YJX1v1E7DJfyKVPAVQQ+rtH1BEExZmkMG3gWafZFFCWQtMgDUIFRouumFWLSyhXlhOAHQ
Rw1cdsC8u5qLoXKG3mIr12xb2wtQ0C6rGE2kcOy0d+gVfGopBZk/+OzCqi04HgY/xFmC/k7h56Wd
Y4UKJ0FZmtl9bkI5VBzqCmmd+6m2GrGI+kRdRWlEH3LdHH9JxfK6qhr4Z7gz17VjJhNvQUiFv/GG
DvfUjJ0LbNzCXww8UtGpAO27KigitV2BbSztwifhTZ3mcDEY5xDXa8JdctXdo7WOoB5o8KhrH4kc
Tly7JoIoD9GTATlePuVyfJSyYJhWKGv851rbpK690DZykHcKaSe1azNAR2Wdi0SxxYpf0yQqzj2v
QXd6AIfYMGSGPW3B0pFBLikN+/s6QLlhxOiBhS5FeK7Agy76MXvsKZ49SXrcFJYkrhShff8UKBhD
OP5XU/RgJL0Q2aceoWkiYkRROfY6shjRNpde/gW0ILLfLij7+3WiMERgmS+7MLZWdGyXhCWagEUO
ZToqwidmxGiyBEiHLlSu6Te6jyVtKVe/KYs4UtcwI2BHR21TlSPwlBhVGSnRez0c2x9K5XK5Jhwx
BYBojjYOOlQuZjNXVjkkrt0osAcXeVmM7QV8pwEf0fbdda4VoE7XCU49pirREFZPL8WPMaY+fSjD
ZBGbPYsdpkV5iFEHq2YfWrMX135ispXPjSI+Q9iBghnt0MMSWgpWI0uI+2es+bh4ul5CxDXD7rTp
ijENQuSpFkV7J1hbPsXjSAoqCIHkDn+UHkEATpkJ36bGUiXyk+Bs3W+CGzAuLCB9k5YGv8DtqCuj
0az7oK978CR+DG2bOijO2xYRtxrNc93M0T00N+yI1ZAcNmj8MBH29Yes9TT/PPFd1IDESmG1tT8I
Y4lzhKGMa8KAX1qgFQ4r+NQ1AX8II5HHyyrXgzM0AGEjsR+bKz9p8Uy7LMH9r51AFBto3gcpnkoc
BfLa6k3jAk11LDhrvHzSogEUjqs+rkj2JRzbqusBJKT7+XnuGkA1oKVYxAjkeA4tUlCZorOm+X13
2/WetVo3EyN97IugP4u2lWdixRdFCU3Wlsi6kJRXbQAXYBJ0u5akiOF8mJd75a3sXNqC2B8BCnMG
10SVm58nBZGfgmroJOjyQSuXg1WNLVSBJqVNWy/5iE62uVoPEFFNoAaQIcoQ9ADJQ2ugIWsbtEef
FX5eovUWyOwLqGQs9Jy03e36DhGJkCOXFjwQWvHB2brgHVoNXXFiYIl6KFEDuG7dblHSPtQ5/hIN
AsBSjVnagG5m/JIxrsNmP+iwqCzWjAtD+Lj3wczkdUqFZofotyyKukYlMz61Ims6uQhbEg+LYlTH
tzAGFQUuW2V1hfWa+p68jqMUy2roDXfBjcE4rUH4CdssPbijIMLiwswavKNfFqZh+zD5GgaOqQU/
cC1j2aIbeN4HJhrTpqxj874r2rRw0pah56oVaCaybvQs+G35Ke10lK1xzS6iXGlqiYHbNr5MGgvf
jmuf5h9xDEoLE3EjPOhhbIcE4dr3dTTUzpRH4OSRinhjSc4q1Ct+ggbz+gG8+KKxcG/GsZy1Yy08
joiztl3X6xDWOszXnHc86P8sEIbu1vbJaO2ehSACzpo0Z9EHXguYiNDr4pyZUXPpe30hNgaRtIn4
mvEmav6XvTNbshPXtvYTUSEkRHNLs5rMlX1n+4ZwSyNAQkggePp/kK59/rLPPlWx7/dNhct2mgUL
pDnH+MYk6/W8e6pDUnSr4p8rvG3n+f2uCJ3AQyFo6d+GwYAHeRz825bvagOsr0Zm4TD4MGf4gJVo
BXGTRSOFCKF5C9MVXhy6qqXH3ddo6K46WPBnKwohnaP39G99MCIn3HL+Mxg+ueR+V+HJisoROwxe
y8gOUuGmsa3Eas8a/45HdHv4yQUQz6c2MwsW7fcVMBAGbo4sI1xsU3r79m1aXCUWLXhs9g1oSNeK
rUumZliXqaz0XB5GL06wXNn907bW4DFjcAoYFO7VPfbrbm/DlkleE7ei8OMVztuuc4y7mwbGy9tA
Oz/VqIW2p9mPG3cydh7qO39qiTwPWEZvwZbhU/DY4AhVI3G3E2jf+tlwiyKk8kTyCjMAgrdy+/lG
yXIfWBo92dj1d5Txr7VXeplI2unEu5GkkcbKDgyi/VGxSaYRHcuUhWipYW4zPMAO22PbKOxIa7MA
gYTkmaBCWcNX0A+4zo3CFyr5srmjZ1t2IEO8zmk1SgM7xPXnRqn2hgWT72fYNfszOnt3Gnw1rFmn
1HBTSqjmietQL4QUaj1gT9xheqImLgDMGXI17ov/VVtWECITyP63vQ0kOhg4aOd3lmCAymazsSsX
76lqKb4e3Sv8d0x8XKR3vuWdIorZok9M74v/OKPG6feS7h38EJVBhbd7f3Zc8MzsjbLosMouLMGj
mtTjUKZE4+OVWwSxicodIigXfFL3vpmUNdbtjTdSwLxOsCSJRCVFu+/hvteWr2W825TvjWFFqkFd
AWBRWPIM1jQZuqi8hp6mT1Etk0uTwA1ZVOLfVo6DhPDM9I1ua5yHTARn9GD4XoeQYv+Ef4e7ta+w
Wm1hQ59nHDl7XzeTVmBxBAHKinUHeGi315vviEKv46bPSwX5anGB+ig6t6TSYN3TIx4h0+HmaUpP
XHmSH8JqX5m3TWIHQm9Xnyivm+/BHJLpmiuLJ854BN4afOSL97PCAARiPezMvRji4BxFG4nOaNgc
TEP0N2lsrT5KM9lDt4No6FUM/0wETFPAwZDseIJVCToPLkkE9AFaU0nRSfQhNpZwXsPnGop1vo0R
Oyvu8Dxs1b4cvJfMnPQ/woq6FCpZTw6V6KO4CFdDDzhy/Vxr615cHW6XGsbdi7KVyCc8IVid0e1s
B2yINkqjsCc0WwPl3e+4octQTg9xwTRzJ1px76tVjH9rE7t971BV/pCdm1BuL12Voq6i176ayMVH
UXbsIK6A9CShzi2Ajjodx6Edi1G68Yoz19w2kYrzqg2bt16Z6ilEjQ/Coe/WXEycHNeYr7cJU+VL
7UXiqxxX/Et8IM2ESnlIqvtt8NCxdqRa/CwyYJpSnczhT+ryvw7PP9HuQNOg+v3fDs9ro6tmaD7/
6u+8/9Cf/k6EITVIu4Fi41Cbdivnf/wdvB42jKIAAUko2PABGLScP00ehleWwAuClrODe3AHoEH/
Cbuz8A/8ayxGlhYj7CkNw//E5Il89otghA+1D84CTv+uo8ME+U3ljOdQSrAD/ikGx9Qt6AziTENM
gU6wjpdmYYUbyk/rEHMUw3FVvxCrqiwgwNAawN23TIZNmuiZHXhU+mWhoSLf12ulrnU4dM9yWLFu
QmY9j6V5LoFzgn+242fClNBwSXGBXybtDa90F0VVv9dyM5qVb7wcAFzsBViwQpYbyIhyBjgVak0V
4i9RZBBfTSi978JF7kUw2bvv+wCxqL1qpmC5hWla6H7K4sq116QVKj6GczmgKg0q06aVZ4NbaxBf
yWktvWcv4GpXIoa5UDEWvGjUIp36ZgxylA3u1teuy7Wo40+d6GIKBm+OcVkkpSffLdWlVZB9LBiY
OiWUyaKMl4Uf/JEEaTmJL0G/DdfVgnWKx1uQcx2ID7qdBlTiZZB7iEKgqmPL63svCqHHr87BBOtA
ql7dlwlW0KMr0coTN3sfzdQ1uZ2ce6kJGBzRoPdMxw2M3itMmtlkUejQwWx6Q2EKZgrCb/kOtkao
Cund2DBYPR5Q9mc9xsFnqwI4FSHEi49BBQUzTFA9uYXtV1n4uBbYkvznRHAs8+9dc9UYdEKd2lUB
wzrU2FqiFp0YwyYMTgW1EIMZ3Rcxn9GOxzXWYhS7I/afd4z3Z9/x/kuwKvheSxWiLBrte8lX9/gZ
zlYRXdQAS44mGwowKLTlaxvE2Br4LmeYOXhvtipAqO+bZCwFBIHBoI6GHWSws8aznHFrQizAFAqc
Rm8RcFgiabejMwnagxr7jnId9hZY6wDJtJs2dFW7hLD22IkQUsDW3wYbTijaLwodddBeG7GhGvHi
vW5f/BHaPqwwNAL9XKqP3dKjJKjKGaUjXzVr89hFXZDHkQzpbTl3S3mYTEmqs1HzXsBJdNjvjV8j
ALKkf7YDckQX3bUtOiUJ3mWaU/hOOB4A3r3iCPeThwaEwgsUJa6gXhx+531PDMIePhhwL7Q+k9n7
LeuhWVc4idJSch83c3h5P2IY7WYZ+mXQrZ2Pe3OcKa5vu0ACWrRA3QxkHYhgsNB5O2rtB5/JuqKF
fdfnQwJ9HvUCdC4YHNBXmpYHD1VrIRuwsZbnhjV6KsrQojgZaYN/v2LdLg7sjmZdduFbYNrVe33/
lHG32eoEzqMZMtik+LBchbjLPGBot4nuQHV0YkLFPYULvmfRz+P2ZJZdZMLwL3ylP2UntPFkujXg
5K6Tnd9etcT/J2sD3SZO0GWm3i7BCflezu+piGjpsEK9a0xBT/z10Iyq+7FtHHdkG3r7PeVTyNbY
9+P+KO2M6jDye2ezWgmXuUiYJTcJBbSyhcsjeSe5W5hyDHcay4i0aBe7euj9FLy7upjYZlLxeE05
9aA5/0wx9EMFKVFP0S2CNOV1m6A5QIET1jnS8z6EptVgm98DASawU3mIwKg+zbiLj+0S94cNSEBG
5oo/2MZMX1uP+SztsOm8dknnnuLQ67OIatzYVC8aJ4MLcAEv7uHseiFZukk+THvv07GcJwNqPVyy
eTs5pKVOC5z7ryOQRlb4g0RBiboXFTSF5Hquqt0HG/bru7q6BGYXYQWxo5xxwH65W3weFFDDaVV4
hi2Ar0sfzJUO1Bn1DzvKLq7rTGPHeNhbgscO0tSQzqJr0YmImr5A64pATOn1exD17KrUpjm1c+x/
63i0vcYVHOADwRJ4GXXYfGejW54t5+tZ9cM7DA5EvPFeUPLr15oGUz6Mwsi0S+IGbaPXpkBluovv
hgW/54YDifu1GCqyfYeLIvAELN10HQN6bsHhgs1N+61kH8F9T9cG6PKYIUrln+2mxU2PwFsOOVZD
r3aGwltBq3Dh1XirQ91/5zypg2KL9dylDrLy1WBcfNst3qPfe9QVBGgHOKB4nnyIDljNH7aA1eeZ
JEczh+6wzWzOp1Gom8UOgDg9W94Ps8ZqsgJbajxlH/1h+MBQClaZSaatOkL6YhclBkJfSqCKr0vd
6aduCe5rPo+PYNurdKkm/7FEvOdpiEyddtaZ+G6EH3xqok4VpKrJh4ou7joo4+etouGbnVZ6lI5L
feTLIBM8H6oDuKbd/uAvJ9hHkBAVvQfVLdOwVzUHR12TyyK3LgOHaMgD6HYJqTMiBSh+P51aph2a
RVOrolvIQPK6rJdPpXJ9lwHs4+2BQOXtT+sIeSTz/KArZrDmWeyIeaaDiD82mCEE2LZh5M62gU17
4qkzdHzc1QtrPzls79dLZ+2toeTTouPxRk3balLoPirMoqE0lync2nzGmPmnNfGCa9DG/oPwQ/Nj
Dpz+tEKsGj87Q7r5oQl1WV0bvQlA0WLI1Kg/wJwqH9CblrkIRQlBxHeX2YBY7yaUNFGor+zEvDut
TVhMlIEhXqP+e2cWqK5b0xYlX+lD25j5I0IXZV7BMLtHB8nvnAWmnYqh7scUpqa6jbxS3AAHp0Ne
W+I9BELyPArsUuByRekchO5KTf3wqbEmAPCmXkqrCGhr/WqwJRY1UH9kGshHn1bndmmni7fy4MOy
VKzHMwfvyy8nvyi9ur6eqqC6Y7G0NzbSp9guBvQdgOWa+BarplQuuCy1CXCGsZ/RGsp1XilqDTY/
DwIPbhXS1Jd+ieXegb6VbRClVRf2cNxkAB3MiDx0XZf76EaxFqqgqF2YYKdI4DFWwRimQ4gt/IDE
KHEppYo9IH8R3kNkMU9SA0dO9TBLnE8NlnlzBy8y843Ugqfo7l5CMvrXg/aAfjOnsmpY+SExff+E
dnEGa47y40BBc+YOavpUKOK81JqQj+k61fV97zQ7gPlfn4nW8/U6MfLmafzgHFbyBivQfGrc1Ey5
6ZMHZsh8VIOF82looK5Zv42PNe+7GeT7tAB6H5o6rRfpX9mgtQ9NE5Jcl+E5Nm18kaJaX8jUlWHK
e/ta2/pDixRLxrkfo6Bwc/Uyq2RMo8kZ7LgTuwpV706OVDQNkjo+wOXB92B0uyBA0ZMECSYQTPqw
iprjSeiNyJTj4yFoLHZHcKwVPKC+O6oliF9VghOfldNPZSujw+TGsi2wHS6nuJ2afOwSAdIUCojT
/mNdhgOsnLYO8m2tpmsZrAGDFbzaa6cDeYDz5NgBP+Nuot7VkN+w3nxrRxv+iLt6KRoR8u1UJ6b7
qiLoo4lOADjvpZXqJ5128zqmW+D3Muv6Niwab1RFO8ygo2xsbxZEOfNy7Uy2wrPNRRTRa9H28y08
EcVesL+JGzN0rIYImbj+vjUN1DrB5aPtXRU+donHtox7iU5n06IsgBj7RfiUVIcE2iMeIIJaUIS+
uIOQ8FTNnbsMYpoKWLOJy9opLh8mlAE3FOoVVl5gwB+ifh5kvrEWNVaQfKysLx+3cmkRgajqwyjs
euET57fjUI86TcbRy63k9orJzlw7f1yPMQC7e5+b6ble+qtxGa9VvLl8TOh4h9eoTV/399AfAYfp
K3/mJTzS+BWF2nKIJp3PkQ4e2nntupTPcFcOreur7mqqt8U/NMm2rdDOtWoxqm6QbdrTcHu0jKgv
TvQQLbDkdfAIhh5i3wB9ZmDldhFWe/3XdXbTvZes251Xb7opKgWi+Uts1LOy6yCiVDc2KOmx97C4
nUuH+ETNokfpd2+Kda6+BkYclRc2kM9mSdSN4yjkmhj3wlksTYnvuV1FEYu2jh4Tinmfb02PX+kl
1WIo75EzGA+86VI4CRlXyxvsTJkFTMdVdF9RNd5j9zubHjvo8g9c4K9ICt4TQRheHgU2Ey+W8INg
HzL711xmlSx2pdWuyIExPy8MnShvavq8wWX/lmj/H7GuX4mU/YB4RQVwrgBxPcxJ+Z3r6mpIW5xM
8jT0GkZrjdJ9wsL8WXgG/ByV9mvdIWJ9W82xZWetQwZufvJhqd20vO2w8uHBLsJxgOEJ9R0iKWh+
daURdH2dawSoZiFRAAbbUKJs68PpG6kIS9DQB2Z7osDwdTE6GKWNtSgzFWwdyefFPE1+wqcDjFN/
mbIBYcrg04Z+QmRl7NDYVSWsrIZVu6qPFeMZ4DugAHDH33DLDD/ibR6eWFKhojfjhL//TnOSPnDu
UqE38va1k6DB8r3yAQ6TnQ4JRE1knfb8/Yq/qO8CqfzwCO8YkazJj+XH9174XRD8i3zzbzjUXe34
/7jU/h3gDcABlJqYA0T6idf8JTYtUCGX4UTkia97EJQ3LXoD60Nf+4e87a+czp8HwpsMUAYgdEN/
v7tijQ5uhLx8ercLIU7AtTPDiO8Hz17weWp2T6mSDk3Ihl32p6AH+vrfs73/++g7z4d8M4ArjFf+
HTpV3orX5a5OnnSr6HO4LHHegBpC/YjYi3QejhqaCE3AT6fl76+x/ytUuJ875vTvgxoQgmV4ac9v
T9bScq+UpZann0nDeangIEdihJndTmibAz/Eyb+b9KZCfBGy+2DR+A1V1O0ZPv/5/QP9V978R3mT
7C9M+Rt587vu5WB+VTfff+Zf6qb/RwADA5NbCfLryTuM/ie9HrE/AhZEkCnxdYGxC3GkfyHs/A/8
BpR9dEbQHwHw/o+6GWCIFAUIvif8AeXtOPx/gLD/9jTTBLURBD98QhwE0ev9z//yNMf+bLdGxhza
5mTSvq7jtK1Glv7lmvybNeP3hwkjOxjOEW8TZphlwshvt3NpZyA8sipPtoVzieohidPYlfLTYMCy
9CFsim4bESOWCKj+w4O8f1+/LFj7wRHYxyhNXLYIF/vXU6zDrnNMxAmeiwRSSKSnJZ8d0r89J+Kx
9an8XCW9SvD0NCxHx9N8dx6ikQUEN5aDqwSfAKsSHWbcZWz0xisrZH03xS2Ik7YreWZWrYqpQqrU
TlH52EMnzP/+Av7bk4gCnABH9hM30m9XkEAMQEZ7S07j5mjhArkdeg8iVhMt68vICLI8voD44PWI
9fgEmuCSIAfLZbXi84FMvg+ReLmXUxynZIa8k8DQPcyx6M4umUEhzUB9enRDiHFCM0u9Hr7z35/D
75v3/j3EGIWE+Q374Br6G2c7BczaNVqSU4MwUq7Jhh4fYNAxku2Pvz/S73XJ+5GwfEO6312D35Fs
KKpTr3wcaQY4cVoNJCwTxuOVNmx8ILz6p9kmvz1EGN6FRAlerRLsijpNfs8KUH+CKut1OF7V6Aes
DlMKpe6faOt/c/12RhlR6JiBmvsd5U80lgtIIfFJU8y/iXHVFEuak5ji57+/fO+DLP66xeN8OByV
3T/BuvC/FoW2wtuDFtyDJ7r53XmLJlrUCe6Zdd2Brx70EiKYIdx8acTjOiMKobpQ5EHrl4+1Hbbr
nvPxQa8h9NZw5lOqkJBGltdn26nqVHmFGns9Nrg3X+YqgsfNNuhs4MOWTQNTwUGcCmjhx7Q5TTSc
3pZwa05/f5Kwg35fFzAuwMfSEFFQjftIo1/XhZKWAEY27U5Ly3w0IXI5A+ybzh5sjYMU056plz9c
p72ci04DQYjaE7ote5h9ZQ5CaX2rRLMgXT2wfAwH8uZDG77lyRp8iqBxv/ExLEDN0CcfoyFQoENB
zjScmWdKRHKot2bIzVzDogC/kw9Vsx5FdfDbufqE5UycQsP5XWUpP80NWCfsLgCvVIn8XxU2J3ib
ayZ50xfQ7PzjxGT8jCFB7bn1QHQN/libdKzKrzU2nqyfBNwStc13qvMXgL5bFIBlB7Q+lyEv1EyD
LAyUzdAhyy4zfiVPQkvxaqYh68ahSwfQfXcctPS3Ffp2iibVFJUw7MjLAC1dG9Y024QKYdRswQOv
GUH7M/VvUVWLH8qvpUsFSVYA17pGwbhIwlI51O5DBH42j3qKuUdJ0p3btXWXbUzCO8TV49zEzZCk
rG+WO4vi78vQAh0j41SAyMUUiVJ894QX33hD5+VAcqGgRvqq70N86tAfC0GTM+yg4VaWCoITJEyT
VhiCkXrRcCSqvezXM5fADDKWAH+a5DKlfs8+goxBphsOwRn+eI9ZDWp98TqkevGnZLuFfQLrZ51r
WhDsLxmQUnakMokhcwbsMxSL6b7FdRrOhtgkG6OJPYvgMNQKd8TcidSOjH2GgyEPEHA9xDNd3KeS
DvoFE06gfgu34KtxbYoxA9VpWe2hrtkDLXtbYG2bzwZpZsC+UCLBi9Jv4DWAbYW+elh1d9OUvEZd
Oot8rjoLW13oFJiThWtJrhSFz0OqANQ1khhPQ1vdlFX4qXYrOdXGECid21q0OnxbjfhM+2HIwQ+1
mdeGcBN5GR8YbI5LBM3tagASkMp5c9k7gmzb0UsNBj3ACvJqLFF2yfx+QCa5le7ai6vkKCaHIQVe
XH5EUmbFh3HloaYiyGrYkzLVZJxxc81LlGMbEoemisMB/FkDM68K6VFPk3cN4FVejCdJhlTx+rld
JuRdmimKITTwGOlz5N/vNkwKwDI1+eP1uvoBwrquO/msIadI4nEJvVUSAZmBbsIWAJ2hOkU1em1T
l5kj7fBVz0EFecm338JoWj+wWS9XcGXmM6BPk86VCi4aAupxxByKjJdkPlv4PHfeKlRquxXUU0ra
aPLPQ5NE25j7Y9hDLqr61HmbewlmMhwwbKgGEVupIugg9YGvLNOEwdP00aNemp0XHpAwSLnE/7aD
FSpvQnARiSLQBKVdj14Yg1OeiDiUEDd+zEYv8pagMwO7gqJgm1cC55GKXCFEkDewV4/A1gCjwaNG
YmOhBc5YX0VA+QsYCAJOL1mvN0Omty1ZgjuKB/V2bchoc1GaEM6tkvN3v8XAlqQj2wkTPvTXOnLV
Adxc9Fo3ZrgMPMKcE4L6AgNU6jtMe0B1MqPkA0BL0rBCli8vwRGNaBsJihkSiscOOuaHtmUCwyC2
Jf/JOHO1Hjvhw3oLRnA5VWJfwcR057EBc7x5NTl1bYC1R+MkR4XyK+xkebUlAT7XytQtw8iIK4g/
2LkWWEQZoo0ix3gLVcCNx5ljxsFdQvol55bRYsS0lSLgEHO3SJUYPhBgSAbS+930BjSPZ1aDU1qE
TaAxzWYPT4d+BXM3whwRI1pesKTmd2jRQRdh/N9RGRhepA27LIlseYVahWeqhHCLOlJfzWAXMM+g
Xn+gBp5fm1ljXZd0vGrXDu4HahuKJHw/HsvB49DRpfe44gB1jkQKygvYKvjYyJF8Wkq+uylhbR4R
WsCvRGUfNaFjrqPa/4B03PUEi/oYzaM8YkzPtiACQtg1d+SIkJjNfG3ZLayC4KCQfQaRBFtm7tr6
IFlZF3Kwz5i1RbPFGMSwxMKLqCH3uhySGZh3NR/BiK71EZcf9I0O4rG+6KkfZ9zN3KTGDXZNTa8h
4zKqy0tS9gjGw8KdEBGIaVDfuoW6fvspHvy3Yf2nhhVxGRSO/3fD+vzdfZ5+aVd//sSf7WqC98Gj
UYKoh/DmPkISte6/wtYk/ANRa2ioQHRQVO9l479gHEyxTUL8EQpglIs0QS31J4xD+R/xHtqGjEL+
HGX5H7SrKHd/a+cwKxW3Pt5zh6IGrSSO9WvZRozn4U6W5LyAeX2bEfTHvJ31awx34nbzvRFTYPwJ
kWApHqMlvpkmNX8I53Z8UtJ7Gomerixm2KRjHG03gbTeeS1ZWGLiTVvfI3XhfbZRhHkSoSQYSxKX
+1gBTkF/DxFf2UMQNIL2KeoNPzpvvo4p5ltsRL5M3Ugt+iaxSXZUwih1EyuNHGyGVXbDiAKRzKYH
6VKKNjhsW0Ui6MmL1uNLFw+GuzSCuOxf1YkLEaGiZWKKqCbBhMEXAYZWGVQ3HU1bGHmYguXoivhT
A3bev4rkSl8DmAwjRsVIX6LfC8AQHaEtrPxswZNiQxZrE7XPJeJBdk79SMyYrCC5/AzxLv6244tR
vtHJTWOha0nmEMQhHvMnt0H+yg0+Asa5OEmv0XVtU2ZRil6XLfY7LAsRlE8EJNq52GQLABOdyQnV
tProhsb0KULNBlNTXIxRRDH/iHYhSGNW1admap6qbp9E5mx7A6tOnlq6vLYSlndrlhaVVlKdxFKB
vBnhEbw1rkHaa52bcxS7Gxno63qx9m2q+iGz3XTPYKRgUZkTKGNV+NW4EhK5XT5uLZ8yOiaZcBgM
6ARSCQZYcuK3V+hUv4AP1gUrhX3aYosNd/P6I3TtV4/BQoaZuBwxMic6xHQ4Ivr9iOb5NewoiMbG
XG8oGNNEVLdbPUZZb81H2U/A0eVwEohS5BEUBbf1SMevKrxWivgHRFju66qHO03FqwKwksNFkAVo
je8AisMbhMzL+yWRmMKyO22JRU0wgawX8FaOmH62D/SY72jLwnyeQUIi+oGgyTLXFwRZ9E1ssKdH
kG7PkWyaw+AwVMR6VZ1t0xh/aSydj/3Mmy8x1vorp9e1UCP3HoFeBxhaUn0vMf7ojnvmiZvGPaHq
71An95hB1ajmhKRbiNlrJEyZXLmXDtweDHTiM9aF+qAxSuVQIeGS8dpLjnOI8SVc9Gfo9DIvsXak
2JrArpSu+SIZTIoZU9GKqsL2hV14yqWEuToNZs04shkpJ3NX+B4mN8XUPftAOlMke169rjxvG1iE
flJjyo33xteSpEy49qoeOYa5qKD5wSzXn+wWZa1v0lYgS4BE1oiZKHYl4tLPwl6HocETb+Fz5yzY
vB/ShAPD5hz7PJWICVe5budtzdbeeScqiH1ESmOJnjpM+LsPCSpjTH/Uza2KaXhgsomLEkNGpszv
bPs8wUzMDPFBGMBGpVeDrTRYfWZwNNxYAsMBF/PVIqoCjHee79tF+Nk847aokrnzoY659duosKgW
VRSsV9Y0wwlZn3UB6oBby2VI4xGXjfi0IpXTYn7444hetFpKdQidtfWPtUUSMkVgeQQzRUa13NKY
Tx8njruFpjWItoM/9+S6HpL+uDQIPtajBzOaSpyZQDe8tuERsDVWCezRGUayeQVnswW5tqGFUCMr
gN11R3SZDcx8TD7yARxGjXK3Xet9xiP1RreGpAPyWEU/mivjjcFtS1CNAiJurwev+VZOsc4bqppX
pMWBEIWKNzdUr3C6e7uxfPN7/37sy5exoyIGssySi0KxfOUn5oAA/HwBwKEeA5Z4TyKYIjQsvMkr
kYzZ1idgfTGLC4/x4igtSjnsg+BWchOWqyxMaaa8MsbcdmAtCvw7w0F6ZD3q/anFXB/M9QBQciiB
bhVwIupj1M33XR00RbNOIH5ITdMS4wyxl2xIXsLxfVjY+hFTOPkpmPvkq6bTQ+SCekknweYTi82H
cG37tCEEE8HYfA6Qk8kxuomxFJEm86OUQVC0nvGuV8xXhihn/XwgiLxhfFaDIEVcHZAAx3oQr7cN
ZhrdbR6ZbxAZatH62ChvBkdTN7V4tAD7Fyag1bFOAszHWQCRJ22L6LCvj6tXaazB5iaxWLU2hhzY
LmtlBNXa2YiAp+GieVr5y6ONMRRKABwsZNCLFOcGCdIhxbCOGKtFZqBDvkM+IkxghKI1KIjHTGZ9
z8vVJEbMi5IdepqYTs9J0yY5i8WajxiThulz4znx4LBrT/1wY/TSN5Es0HTYA5lUkyFHjvhPEMgC
rVt9ANrirhCn+zaL7aYzJWZGgYlIt4WPWUej4Q4DYciFOnyxA1nbw9IYct4wFwPDnqIE7QFM1XkY
YJBXoktBJq6pRdY6pWC77iDUfNo2jA0a4sgvamE+UYRYwe7DzvfB/GKUw7KmClMLLrgHMLqwCeps
EeKHDbvk4DD3DiYM4gxbgrUMdW+JwIZfUuBQWPpFUn3Z5ciMdEbfl4j1ZDUUylswBTM2d4pBkqT6
KH3+A+zC98A03aHjKBhmF7xhPBQS0WIaX7sY/9SmAw1mw5kf2gYUPnsL1Q2LKIiHpb6XvGsfEqQu
ziSm22UWBpchEp9sX5Ici6nEqt3MbzFSqllg2BPgCoxlrJDGal2MdT1sui90MDTrKZKPNujDA4J/
mFOXeMNharf+ggm4S2HWLchmtn6Z6nIFiRxGmG+Jz7DUQhQkGePXidDtXiAogwu6wVpDa23R9i8Y
V7sDBaL9iMdemBuzDPHzGHH8LPiRJ4zCOofIWWC4bIIAL6LC99yU7f9j78yW4zayLfor9wfQgXl4
BVADi6wiWaRISi8IijIxA4nEkAC+/i64h2vZfe3o9/aLFaSoKhaAzJP77L3OV69wnxzXhTZVpRfb
bPujhc2arGhWiJ3TE30gG5bZXwJOJ0SeXRkuxGLsNXFNMuUeNiKsCAtpiHoJc3cKjChtzR9OMzdO
vHCdQ1MY7T051+Gor7N39GbH/6bKXv866vNHIZLhftUtUG0TaIBjIQbr3qndaWdA2mpYWQVmEydD
2TKnIAsTx+GO0Otr5wfOVeG11CNWTY0SA4h55Nh99dlLCO7bg4oxZfV0+GWLJ92DEIbDI9O4A23H
PlhxS5ts80gJ4M6WzTes38HyLt56sLDfm7Q7VSrDA1RgAo+61PrB0dB5agi5fBgEbsi/MUOsDGl6
zzdCtbIDVJEVY4xqMn/olQ/NrB37p1XJ7iZh8TxPoDcPQeM+rG5zm7Te4MUT28F8NLS14HZ2J+9H
knp1lJm9dx8MTv7qCGmfjTF3Ylmraucg7keiFStOcKwz8OWs9iotW5Kw5aO4zKXpIyIkLTjJAfdR
vJLJJIA698t94+fVITVksU88NewB85g7wfs6DNLVDjTwkxqMTJW/spqVr2xx41ulZv2pLIaEg7aX
3+iOouJNOvfUNRPGxVzrkzJcXFW9pCZxrNtJW+owWFE8Am1zrGa6Kncir4ITvuWJLOBslOFsNyJ2
p1TfgdyUj8M6D6+6v44/cFdMR79vg9sW2/G9nWbyS2s5uOChOIKLsDo3LuvN8k11tb5gv6qxkjhO
r55TwOgBRiV7DOI1EJYLKlIs0y4veB5uafbR3Pbx+35Rib+6bykU7TWGFcDO6o92wIMo5yFcpIuV
2i5t90LMKfs6ecrVKFbGp4osAog+QtDnqpnzr5yym71M/NomwDVXN+OIY7DAte+Hto1iim9f1a96
MiePE3/1ONcsr7IOnhR0OIqwbvze1Ph1NMCve3dY01vZUJJWzdRxqK+n+tmAXB9aumcecNeWdwXh
p/1SDwRv066KhLZW+JOlcPbKaNRjZTuSWM6a1GExwVKcCmO8q5t1DG2zaAgTAoDDuJYsVx/SbHs/
p9nsQHib9Q4qMG0lk2IBn2SAtzocR0xucHLNIPcxt5VoIfZTO6RuiXl5XFqfHt+xCLI6ADC/TOtt
NduEw/vC2FWrgFhg9Rnr6OxXM6WTax2HzHVeTRJfY7yqVHhHCWfQ+I45IIl1kmnpXT5NOYa3hfjQ
zvRTFbvmOMFG0Ag6hhnyDEZGTRzHPjCuczdwFjA67bA6uJOnYdFwK0lxI7knY2Kz+R3OEdDLBKk+
a9naH3qD2IRPSA4F2V7x3JdBkn81sHVGtR2o88DzGPo9juvYpYP3S+uL9OiONSW4MQAR6nLpvayF
0ne5y+q8C/qq3OOaXt91CutbRbw0rDgft57QD4C8xtNqdsOjgGL8ls12fVV4kE+ryFVk1raIncyw
BD2emqxkSV8YLZXqoCv7wwyVMJKyaEFrdKDYeY9fILvizJjnAN3LKPA/GVtx3i24V+WwGyvvRhPN
FLcc3K9Dmgd7Cejn3YH5eQQ6IFCsWJmQCv3Qy9vskKeYeGVLV8nKa5fL22fqO4606QBh9N6as+CH
DgiQBC0h0IEUmjDN5dgZVUcpNaZ3mKL8OQTEr3bcN90e356z65aS8w03pQ51KM92KqmzXVCxjSez
Vn7rqenDNvDqowZ/OtYUO0mj3IY2NQzXiFzBgoi9RUUTuw6JUmr3g7UuV6Gy4ziXUDZL4LtO2liS
ChyuZkUM8BchXPsMFxbGouhS+Awaz27Pwj/iM1uwtUSrJAJCjGBi01HLYzbowWWa0xIvX+4eSzd3
dibG4FDv2/aU68aD79f44Xu6AviH0/fea4q4aVHqKew6/1LSvIrmWi93RgXFsKgC62tKVzy01OYr
qvOsRnjvv3aWV2Im9g826UA9bMX0Q0dtPvq5vt4s9dbg4+CZh5MzjOHcpJiSSwv1wUvd2F2rd6Ja
2Y6uFMCZZn4T0Iyz1I+XtftBg+atL2BeExPU2x1Nm7INCdnuXJ9sTJUHyanIiSjRCEhougEpoWY2
9EhrQD3sJOmYEf9Kd9e6RcPd0nuooKUXmdLO70gSlg/oD7oej/Y8+rsJjfvC3G3nCJ/BjLtN/pn9
XtxgH6x2q8Kdnxa+/otqOKIVQzEda3sYY6V1+IgHD0VAyI8hm4eTVwP3oenmndC14ixbxI0vXOi0
JhlPE+/i44rYuU/z7jvnNUqxpcmX2F6L+qYZxVTC/uyX12lAN0bvOVvEc18opZ4xZoICl4N3m7mW
irp5pXBss5tErQBGslGTIJDHb4HRnZUBOAjj8UujseQVk40g64LWUY7lv2azUYdWJ5sY69AUETh3
ntcWB6+zluYt5K07wo440rz+iCv3iVbQJ8146r+F6qhJRfOUteZXmMYVRK7G/tE7pMH1VFoxZKKX
mZbzpxC1BmUUJPgAsoIUszaLESCnW1/9ZdAJbqYFQw2En3ybdNAXdO8nOmnBoq6dYawEBnC/IjsN
Su2dnuwoxX9tcMaZnUM5WsGViTMowgKEisuvl3jYKGU2aDwJ9c7VS3kycZaqNU9njjpJzKUS3hlh
XdxPEEpA0JdaG9KvyUHdmmvV7BDSjX436pm4mIbr3/AHvkWi9tNMzStNJxYPP89+bZecFofN1bDU
R1KKEW6rVqa7GTBH6Hn0zpxqPq25V/KoGy+SLSmqjIFGjrlpgaKBWBZsqVfDpY3tEAJIcsM5mA6V
cNqbLAnuLCd1LFp4plP3LfXX08wNH1W50G/KVDsnQU+tUzndrui8kzCmYa+s0tt5pVudhIP81+Hw
izDRdhGVqRkldncn0+mRCDrE1pw7PlmcHfGLx84WTYww4900dskgFW3IDpxdEBDXWrtXpv2aGzbR
i0QTdO7cHMCp1RwyXaS7vK2N41xwOJPO2N80Q6qjXJD10Evnh1BJ8DhqGO6KROVR1i7fytRAORsW
aw88Ow+LwfoOvNB4Uj6NFHdelIyKsVW/OL03PbH20TJ3HRl5tItOskOM0o0Cp7xmn2FEaegseW7u
pF6WR2zEZ/ALPblhyx5jM8euQkbMgKhcMF3o1LE/GsFKezRfxHsP6+Mr0FCrjkttXT9KM4Nybiyl
9t66tbz39Eo7Fmx4EvKANx8xy8o7r+SIBASjgKyYpyep2enOgjT0nTqLRysV9XteGP59S4zvTBds
/NBy9zOVxiKAjWv9qUOGflxnm/YeNhsiDLmuvvizMz6YuPjXi5yBfIfKq9sDKmidwT6wRMzEHndv
tLnhxTDw51iYOTSLfF3EPhe0GW090S5GLuGgO2wGxzyZnpfU+UKF4Dx1cMz3aQeGjOdg2bmyNzhc
+S9q4zKBFjSfUr0SUZ9Z977RJ+/1vHmQ6sSPDM8087jikK7dKpOi5q5qkFY7DAaQ5oNh3qeubCPC
8O54shvWH/yLdMAPaaLmTSQieb1lPqhpatcIGw43lHeKGBZRyVa+SGF3t11HA5Ssoxfo8N/Q+BZR
JNHCuvCVDHhgXVTu6M8T/4Ab+924vo4l0wR4jBNEIwTqLCRd0J+tUYx3HncPGE+hhoPqmvxuFULI
mA0LjIocUyqmhWa9YQ70PyWJrqhmlflal673zZaZz6M9FsNR+ICCO23uKFp9kn+EVskS4Cedn5xR
DIhPOqaEkGOYz5UAgVmZffrDgVGU4rgA6RGjqS3XhUx5GVk8aLu1m0Huez0H79lki6YErUU8WeJT
UV7vaBE8LhplPWMyaKaXLjEOMapDilP7cU4n87UoqMBjoss153XHeOi7FhQ2QwP8aw+yn4pXpu0D
nPHpVSNocLKyDl2mXgP/LBdteC3FhjOq1XIwBfhZDq+99dgzJ+wagAEnFWIkwa2mZSDEoJKfht6f
nkzTQgwFEchT2jYsq3Da/IZcKQmNmG5pwUOpbHasUaEKhpYM0uKCwj+wnwTSqm6xwRH7GFzlcKVr
ojaDTIt4LvuHNe3tInQXQX8SGepZX730RESljBpGGn3CJzegwvcUaqvL3AqUDnnJgiBP8fPk3evo
OqQdNHbdtLXZzLilYg47ObGpvjgITYH1QBq9lcns3UxKH3aid8s7QU6LFqxn6Hft2qovQ0EUjFUW
KEOmKcwq0k5YTgbtUZSduDiL8oESGemun1ZxwBFgR8SnuUs0qYazX9XWG+qtxiamxLNOfXcnoYLs
ybFYR+RMD5VGy65LVkwRGUjI4/QyIgzZ9Xkcgg9tMowdi1NydDNniLVlNc7BxKNhFWa2yzsYVIDj
HprZnW/U4kwnFxeMCrH6xOQ3DW6awIvQmyV5g2A8a9Ir7/AkfWeMi7GbmHSzL/zlPWUER2Ru7LrE
L5AVjaRGK5PLi5ZbxBmlke0EmLidxo1+yCbRR9jnzBsmMKHZtGWzmAhta5xZM5MLDN0DENNSy+qr
/JpX9hJxVKAxLmeXMSdGPz74XosObIDDjpmLMVXXGWxFvGRsNoVDahQ9ayrvNKiDyqF9g8ZKTmhp
s71R+iAA2/XilCtf1wl7WPNyr4YGHXgqX4LeJGPHYu1ozS63rTVGKXkPGjzTATCXWDHzLO61So8b
T2v3plHaR2XXBzstrqsvOCrgfY2CUSf7m673VpaT1Cy6V5IOxQNZ3SP96COF1XCYVnv6ps20QUxL
e8OCqzMLhwoZSAkNeMJy4eyP7zXApUc1do9ja1ZLqLeEM0KSlDLOKu0ez+oSJZsToyMFCJxS+2Fr
3nje3DihZP0Pc9pgCD2B/TYoZwzTmtiaEPONrLrXX3ux/21b/1XbGs4y7eT/v239tM0x/J/4vWyH
n1ESf//Bf3av6UMz/tD9Byjc3Zyf/+pe23/TXRZ+6IU2vabN0P9/ZmuicbS0LTxev/daY8tAwXS5
t3+1aP8nXmvT+p3lkMFWGCt1XIcucg8+3t9ZDqnwCN8nnXYLl3J6pHFW71ZbOjd1tZY7D79crK+T
eYXvP+GestedMS3BjW/4GS2NVj0vpVvfWr3JLKFu8I8lrkonTAqq1aal0vLcJtuVQ0o3zzqCZppI
Wkm0Xrt5UWP5QGlINFGlPvMOKEQMtwDb0ttBGNRI3ByBqfGR5s0njHYwsoS59QbS+kK7qIeAjbbZ
e4MdL6OsfujaGC6+9aXAhmqJgcxdMjJ6ZRmuRes6h045dhNaxVhf82IdTxzu8WF52TTwaNblYbJW
jgfsk3eLcr2bOp3rXVGsw8mWSbCHe2NFRdmuANr4OMkGE/4lnrUkCIUQ40KmxDAqYNGb5bjqUt/p
giJNOJ1zp0v/WFXmVejboXcIjHNdsmolcx0Xc8Cz62N0KrNtykbnJ3sqILgJAU0GvzEkfslShbmC
4lOSM+Zi1VihbDzjjuad6qJwGUCEgjXantjPJJ/QzRqS+JHTb/Tian3qHEYWqCV7CSAkfFG1497M
tjd9bYwWmajvglhfrDa5CBZugr1tlkvcgRq0HvicCWMtGmmVGNJy1fraB9AhBsCEbTVyMBvRrzCh
Nm2/RrrT2hMzDvDvsMgXy7WzGv8SpAF9JeV31sy8ialTh5qK+Gh6znzw8PE1IQcD736um+GqoSWj
J+ZajU3UX3trCpFmHIpmqdMznZHosDJsUNApIPNWjHZ50RbEXS3WGNGYrodWyFXKcwvWAYhgWLY+
hGg61VPPuVowfmRtTl7SDK782sIFvMpVKCbkBD1Z86KkpGuJYT4m8MMOTYdkR4bWW6dJ7YMEyvN6
ACkhh2vQL+bCwU0fe/1JI/7lY/HEQFbD303rcTb3uuP7M/E3IKyOPp9V3iyiYzxF0mBtqnTjFbFs
flRzt9bMo4IlujdzZhwh3VH8cYoLkkgbe2a65cukvWSlk2OCWz16BYNbz+cSnzTGwqD74axpt8Yt
1owrlQ8gVlIbnaC5LLKXhMxefdGKxTSiWiz6/Topd9pXyIMJtKyMjqpBpOBEByk7tphVd/nqWWmk
/JG+R5J5INM0Ob+WSNFlSDvK+tZlthlXaZ3ed9nS3bsdDeaBbSdyMwTVA29AP6NPO7s67XQINNV6
zBnB9OD2soGc1tHW8ToDWdGm4tv0HAMmb1EkN5nvJogbHgBup2c4VpgOSK2GBkCXwT0cwYdpLZFp
HWtYQmOzuGZ6P1zHyWseOoTHg9fZYUbC8p4BUelzUon5lnS7CbRWS9e/pzf+uyH+xYZoeu6fc5Wu
Wfvjl/+56av35sdv7Vz/+MH/Sx+RykX8sJhtyHH1N4OEPeNvPlMWddQ/dOwtYPTP7dD8Gz9B7Mhl
J2W2hcm3/mHmso2/YS9jWCwxJr78Hxi5mB7xB/u971vkOXkPvC/L23xev0kedTId6TcE7VHzelLm
S9Y+BaU5kJ/1YY3lpvOm6mk6V5pAeBjFW5U62o2uvAsxz6qM6jXD1Nrb9WMw1c1DNeovmHDTHI5n
V+xbm7zeOgK4lAYjmOxF8/bFAsINW9NFVBM9v9l4wNYg3yHpnWkQnS1NHZJBJPEgMZGMrN2krEc/
nGT+Oepjfqn5HHFyi2ZbhLtQ1yiCZ8dkw9DX2zbQH1yjt4DpqPd25kjtlHK32Mu20uWffUWntoZo
sPNa/+JZM34Lj0ZZ2nwGZYP0N10Tqu+Q8+DeNsvzuKwPNv0qPeVvAeYI5yx/XwQ+mrZbP5yhPFWT
8dF67lu39NBdsADJOrNekw5BQdLMVTorWtsnK6K3D3/Oeiun6t1j1tceENpVJwC+fQJDTUjILqvP
Yptf1EN92gNBb2OrVnjUU8xvk5qeU0td4e9jCjPdlKo3+FBJGRyMzIYYvDBwx2xv1g2iq6meD0bX
I9vJT2Y2mtFczs9utlyVsN8yqzylc/Uuu+K9XZ2Ll1mcCFy739n8QhxPseAsDzaL5h6jzL4LONJq
dnlabSxQ85AhvJswVMyWD8rMZEKrVTIXztQ5goGmi8aNOD3QKQXwuH2WWf0+GosKdRCZ4aDahYgD
/AKOwdg51gcOiQ+DqQ6EQG4Nn1CQNum3wmu1aCqzT4vZGDvHyM9lOd+aXJyjz5isEO26Cwnzv4AW
Be88uFWcB5YGio4Xmkhtx/gt1jtInKd2WV+kDSgyc+bnWnfieWnoKmRyiJM2f28mGMiVOX/47Xo7
mSlQoQw3Udl5b/msf2cXvw9UjmmZfPpiDsfVASfazdPz2jlHSEEDN6p1ZARZFmo6yTTKvYHO2HoL
4pX+huJ6MkzFOgUedwJcdtIgZm2FotdfmtT4CCzUFdgNYESJwRve9NzJ8dmeq88a6nmku8AjsVw8
WzDRQ2bMiH1FvgG2rZZFhpHndLv53I3GvTCp/A1/Om1C27kIx/b2TDZ+tvg9w2z2uBUt9y335HJk
Ch0DXY35ghAjvhUQhCMPak8stWR6tKAtx9WcIid1toPcSk+k85bp1JGwvulr5N150rT7MluqXbeK
+r7RxLLXs2o61cC6I1OrrI/B6L8tk3TvDL8UKXdNu9HJYJKJIiaDY8Veuar3xGsRrmFwVO6hsLvm
hZbRCy4vl/af3QNtr80cd0FygfH7TVok6sq52s2Zu1AQ57Eg77cDpc2AQOm6Lm3mWaYnoOvIJF53
geD80LSUlEqzX1oN0kwPbQd/EdDxZpEfTWPCv9WKbFe5XejjsgrFphnWW/sR50XyYAzo5PAvt+i/
+YGlk0liXQ1Ad9IjdzYNjE8UFLwLgtcrtyG8IB06h+3fk9geD/NGJ4UN9uZp7mU0O3WTTPITPtCt
7Zan35zC/k2y8w9ROyLKaKgcrDgl4evfvv+bVTwvXHvEu9ZieKJYtMZu2CLvl9zpzmtiuH+RI/1D
BI5XC9jQLPyLHBh/P/WWlt7YuIvXHFMedTJOtGaAWJDTYkH/89+Lg+LPoVHGXgA3wGLAKKlt6NLP
v5dCRbaKREBkIQQTJKyG23JcGIqwGrMV2xv+pO///DU35/JPsbvtNX02cAtZb/v/z6+ZWk2QMZSg
IbHoZBhbpueWFnWkWagjGiDf7fdllOit7Fnd/vylrT8wDrfXZkQoiX6Dc+nvR1kRIVdgJvzm2Nf0
hIq29h8wtHEK7PVbznjlUQ/mD9XP0540x3Qq6HbFMsAvCZbqI2OKRErsb0zhxa6WcwwChqYUo6RV
rm4VE+wYDm5ukwS4V9viDK5mXzvTFQLHi+5kjIOcAQ36lRbNbRscHHg8X1OsW+i4LA9//pv+m1uI
KLJuOpzBdRLWv7uwJh3IujXt5oiFZW+3+gMUmId6pQP9F6/z7z5RBvFspRWiAoeQn69moAyfFtB2
r9JmvoFE+LAYub0DPs50QDcoYixQ5wFR8RGYywPHsfox24AK9pp+dhPr8laqFCUFhGHOtylOFgYB
j89a4F4sOR0yn+XeYfBqlKYZSJHZnN9Sx1wOTAMWuzlf8tsRs/u1KeeXWbLtj2Zun4bcZ4Ao/qJb
uNKfSY43q4G7Hm6tjMOsFTgQ1w0Ytl+Hns0bGSFbnGOW4ZsDLAzzmFq/9ACNmOP64C0ExU2Tf5vo
3De5jTT1AD3+xQf5b1YYQvIY/g3yAyYT7X/+HFcUws7GMnsE1PJrOTGzsjnCBFOnrOOfXzTCDX94
Ah1UIq6W5wVwRn5+LWnikkcpbY5Qu692n59IEfzFgvm78TMb4jTwmN9mE4EmRsHw8Z9fI8+Aq8Hy
b44tCvK+z+n12cn6sa30OVZMzE7JqTTtIwalCx25bOc11Umbk9e+KL77LmAls56wb1aFdZwKNvEs
YHViDtHZMNLPFfTfzmMU7bGy0Hk5xCk6NWt/V+Uu/VLxxR/4MiYS4qBLDl0a5TwkJctAyqATe1Mi
DFmk4g7jDOtTN/NPh7lHIRj3Mx2SU+mkS+S7BQUqJo/ZMUTUNFkeTfpwbRu0cMTevxgIv8VXfn9R
uBYBPDXWYcb5mT9/YEzsHuZ2qZujUXFQmJhsEOXDSAWvlfzOGZ8AzbQirhb/gt4ikLSkHuIbvgf9
+OInZbPT3GbcqwRFfnCNNh4z/Q3ukBVDkAXIMrmXZPTciJY6jQuziB3JSiRaGhVesbyAk//AchDm
Xv40W1SHjMTJI6nNhzLTXxYKsVAkmThYlToEQl1Tx8VQKbk/bbFZ992JhIBmFzHj1oMDLeOXQMjp
/Oc37r95SNgztv+2JLq5IXR/uw2rFF/coKbmqPwmpsShGax4OzazghKR/sUVMf6AJ+Ee9tmFWdaI
4/h/eCY721os0x4boujwWQ0okgx2Lk4JO1VgcH3o2JBFWTggTSbLFMLZW55WZ6Bvazi2iUuPKhBR
Xk/dLnDRZfIKk1Gz+N9JqjEd3L9nRk3PjHiq/bmhh2GJ/oOsy3WuFobGbpsxt1lqle+Y6KlSMacX
q34GjorI15oR5eoObpW/H7ikvx4vV3u26IPxFwNZ0p2hYVJg5oP1PQ5hRfP3ZvYZDLMdgpij08Zq
KFs8++o5HzhI+uQWorXjqOes6lnSNQ+XTTa1pmforw/0Gk7W1n8zvBELNgbn7Q9azVeSabshxTjt
DRvQ5/YY9bODD0s9u+l2gGBGMc+TYGBBR7WkJ8V57og9e4K/LTXnrcP+ECEad3eBM3/IYYjVyAeM
6HaGJ8QoiZlS3K7styKbrsqy3cjCDTM19UmbitNaE7KUKQ/wMFQnDsWHOmFnAVvJjcnT4dIbYzbr
t6xXzak0nMvUTzExvSXaDkZ0PYDBklG+hUVyqQb7zZS0EP/izv03jze1DmRH3SHO9Qc2SLVYRQfV
qj723vLR9NO119n3Jo5ZOGmLeKu/fj1qt4i5+wFWBb40nvkmA1WhesKMBT/W1Tj2h6bYBWUQ+5O0
vLga0i4CmdBgmhiXI04R6G15CSEwxcFPpD39YHRVcBYyYEZ3yr6IlZ8pGFRsEdrcxdRYY4pheZks
yi1d4mt19XyM5hSzVeVTWaccDNkPM1zVEdAUAhPF+DxMrKDSHK7S50jKPIvzNI5X2yHU21awmXJZ
AgtQMBIyxRwdQrk15loSvsuH269iL8Vw9TgdIO67TOHh/FQN47MF+Xmr5pmV8I/99b8K218pbEQH
qdn+/5bTfVm9MwXtp3aT+fcf+me7yQbgA/fTAbC7HRcC9vJ/tZsshtC625lo09+IP/5LX7O87TvU
NPSgENH+qa1ZsM4NB6aPy4tsP+f/J/qa4/wOIQUQ3WJwGBsC7wBC2+/rTzmVm2RjdCd70GYSTtV+
oP2yhyLjg2dosvbGoRnLMRIEnrMrpTtqX6A9Fz8qzLYtoTxNirVh+lWQJwcNKU0+j7BFb0nx58UD
WSn5DWnM++rgTT3Rea+AvRZmHGhgfBj1k9cnsv2MqyD3COWiIL8uOgbIg0Boz9MyivVQL8aBY8cU
pWtmin09KRl8nfLF8o++nhEMGbrFfZsUTr+HxXS8mERbdleY7WDvLAqhJgKZ5ufvOG+zN5pSfX1s
YVake9FDGb8bHD0b0r1W1ZgBRvi32RzWxJwsdSHEQ2m+h3+xikvbww5EquilB+R0KezkyPweaKu7
uu10rYZyQMHINAwymVBBy9GrkwsBi4SB9EnF54mtfqlHukYJi5yKx2kiN25kHMo/FGhctdJwYu/R
AZT2ziqJ2bUJAuYoV2a1uWMDsZkkNHZ9kNs20ILMXzvbiJ1C2GtUYkRv0ABRKzIPwCR+q7X4sSbA
JZwyGmr4PlAe2hwfm2lP6cEs50RevHrYxNJGPugFaMwVnmOoJtIXBR6Wmwwn7iGlhn4q0Tzy0Orp
tE+bTduoILK7gVjePVGUO2iwm/NzwUOy2bunzegtcSMcWoTXG/Av46H81RHe/WoOn6rxxqcX741Z
ua83+zh05vTeMQNyJlk1x67NMAl7YApQARwUGnSQPMrNiE7InZZ8mVR+iC9G3FeF+6Vs6/TRSrv+
QWWT91iJcvqa1YzPw9CanKTI5kfuh3a/TG3+UmEnfUChWl7Rera0+jiS0PfMhJE3uYdGVSYvGcNe
jqg42j3lNG56oPrBfvKkdZfg1Dhoxea5NzxZLi+i8wkobH78zjWap36ZSwJpSZbOkVPQX6N2kd4c
IfGtNw21HsYGZtfvcNkPN4p986CqMn3BL2PdBqtHIMAQjnq2A6NnOp+QCTbwUlafhrJdsv4eI1Yg
2YGcYmYKtCm09wdJg+hGKucZvyDk1tG2KHpm7w53WkrGiAmkTZjIcbof05RxGjOkOtumwTmAC7cA
UPTyMavc5kUC3IAk4onvMC5ejS3lwBA8/8SVhv0sLDtaeuGf16WaH6GWZKcGki9xBWt9Gy2o8vuA
7NxHwdjJW21tQDx3eIdPqpqDvV2IX6agS46GoxO7ngk1lolXIOP745vuFtXrAq/9FaExp0Xa+eVr
B7QmVsgAR0owedC3hEfgkfXISceqlv5qvWVACjS3+yZonJOa+0BRGZZgQvlZ7R7zNpWls5nTYH7l
D01SzKdZg8oatTRtuYupGTPHnxkQOGh9DEJw2bVqFJFKyCvwuWBu9aosSjWdjnGvTsxBbGJrcchQ
e5p1P2jyS77Kp0Jo3g8Izjgs9WACFeKAkHAiU6zFs8dg29taX5I7fbCJbxU9g6/y9CbYMjSbrY1H
Y8vVbAkbR+rthzvSQ8RS2z5YJCa/Mz0HvcHQiB8EtRJMtUntL2mG7OkSc7RDVXfEldYgPdumMX4d
HA2Pd5VGCfBIIDuYbaNilieCjzjAccf8Uil80/3U3eELVjvHVXOcTaP1hk0yP1qaZ/rhrNRCPI5R
KnbpArkZBkRYGBeZfoHPr+1lCyaTHK7fPgLuxoUqBgN9emR4zNTnEHuqZGM4MbWNkdYms/+urbLh
3CMcWU/4nv3vpYKBRTp4ZKjQrwP+kgTh39YYUgdH2HkfHSpJBo5Kl3zWNpZz1K35ITWaBJ+tn/Wh
qWz9/OsQAajj/cWD97GE6WgxocrCrhz2eXaDMDXR41kM/06D3HYBLFxyizotYdv5g9K5uRrKXW5S
LWGuRdanUVrAdHJKQW4WzfaO0h/t2hf+h91K57PV7B+56Mw7FPAeXO6WEauCYtfRdOEh18qzgs57
DujK32U6pvSwWD8y3ezCTic/BKHzS6vLJ7rLeuQbMosagMRhPrrZPjewCOv5Gjx2hmw5hJoZk+R6
1aNeZpeqnNK9PeZJLBtpvOadYx+K1MEJ1nkfxdr4187sVZR1VfucesaWxpDipJiSuJMycaqz06Is
O30DybnR06OmNtuiW7vDwTaM9pE7FwqUHqgHZnzLH93ca3poCqOi7AFmnDJK+MQ7XGJTiQaOlIDK
UZVO/VAnmoPWTwLQ2LKA+v+ydx5NkhtpEv0rY3tHGwIah72kFqVFV1ddYNUKWgUQUL9+XyTZM01y
hrO88zRjxq7KTFQiEOGf+3NS6Ju5M9Mrasz9FfTfet+rSW0cNfWvlpTJpghQoweChn0nPmct1NPl
kj8cy1ghNZBMhArC8Kar881Uwoma7an7LhBtt8xn1GNmgqAanFFu6zig7zOog43NUOAx1TFJz/Rx
iIZ2y7tIiX3E0Lq22SVp6cC0oTQjMY6jOkudyXSr8bM0neINxr3axURkv5Y60knjHX/XIHhLguKb
zNPuyLjdX5t+nm9al/8X6ZDorOOiQ0pw1KQuZEOLN2aBPhV4U43sS5gFoBWY/O97tzJWDvWxhAgK
+2R1Wbpr+qw9KjYkWwXV+UC8vdv5EzsvY6zxv1vJcE4vWdhiatpNrwOyzKV6NDZCszYj0C+9i+ua
9/6Uqlis1Zx4hxEsyzp1rxdnbA6VDuCaTWjtyIp+ac3mXikMr1V6ASxhyABHtJqxwSEzzqsk8dId
fRnsMArT2+ZmfcOh8t43u33YtftlLNXKLHOK0ZLqITAYwGX1Eu8qSQwHKzpO7hT/qJMkp24pdOyY
CWlpGBgyIFMVngoP+AqwtNvlvZFXd7NME+Y+JgUblHGsvWJmLkt6Oaf/b9/1Tb3pSV6B6KopBkyU
2FdYgFiEffvW6Akts7b7T+SV08OSRTXFp+JbG3nkzWedly5VubLSxuVBlic8D2x1P1oi/JKWc7tF
IKyIcRnMl4bq3kM+4GGMfXJwlVibYaOOE7TgQ1bFzHzSJTiV/XxfpO6bE/nPlwPC32ep/3aWstHm
/uwsdfNt/MfhvWw6DE3ffmNX+OUnf9gVTM5A4l+2gx+gVOuDyynGCkwsA0jB2sXww6zgfrBNzk0w
TOHYOBe86g+zgvUB3ir/3IbtBPfLtP/KgUrLsr8ZziAI26j5yJC8C/P3AE7HIHmpmTGHvAKuZi+M
PBiGf/zpotz98uv+Qczlrk6rvvvf//mDFqJfhGla6Lp8Ti/8nYzX14PR0Gi5HFTOE2byO9y8/uCv
m9zpt3/+Un8YNvFSDpdFo0B8071gdn4a3NVlNFHrDZBxYsFDgKMhGhM5cXfqlFZFnPaHUkgDDch1
cBWTqv/zl//D5Qw0x0er+jwFschpQfOnl7eKhcIQz2q5Lccnq/RfAhoC/vwl/qiJ8hKuHk+a/N2s
3w8LpTRmZUaiPbhifJpc+yPZTFJzFsZAc2n5lv5TGvg3fznCU7//goCptiDYOB7TCgDO+jz+0yfi
oOJ4U9h1B2e02xPUQLTxOuT4mLtRiV3DeaYShscgXbLEEly7ZmHjScF5kBBkKTddTdbXp08pJAQW
5Ec10rlHvSQ77DWkA3pCMKllqP+taMhXJuFKZqGFpau0P1sZAQT2L98rJ4C5qVORH+cOidUgtqQz
M5V9k7REj20wextFWOjjnEXyKvXiEeeZ5fMUd6gyffLcIn5JZx16Yg54TxrFvXWJ8D14LnFqDpCY
H+M+vqFvU+CDDqNNHSgoLCalCZCElyOW+2uVGQM6Q/nd8YsHTqZfvCW4JyJbrkEelCcKJN5iHve8
BM0FhsvvLO1s2eTNQixLB39kxem3y8ZvMglbVLXktoElitECUA/PfLUd69G7maD6rkPDi05WbH/0
DQ6FGfw5Hfmn6nAYvtmeET5NoNg2s8iymyVs46feo5ZZBTkPhiFGUNAegTEaDktaRNvMnJJrzuhr
lVDjEAXzeHZJKHIOlgZUmnic4/DYcwSfdikZmKfWZ96ZBC6UuCCligsIknmuGhEJuDtSes8O/vaX
JB+o164Fvweqi/VUi3w4F5QCHJhzdwwviInzV3UhKpVkpurCJPRJBc+uHEO+IiWed3hXM51TFWGB
WVm7IS3Mj06NTozLExJMklrqFSxPy47QnFHQiWg8MWhatlVaC9hwpMCTluLEFYaS8LgYcNjYnMt7
BB55V8ruKqI1/LVdgv7JUXZ+0I7UazHZ3qGs+C60C3sJkpzTvgKNmeTSnbGEqHiX4WQ6MCcL700v
zvaG3cjrJTbqOwCIG6tT8zWN2A0FQE1h7uSYta+Ygzm+ph6gOjG56V6Gjjqner4eLbS5pH63iyK7
LgGr+LRBifgtUznbfs99mYb45JRRCxx2vG/m/JmqZvIdA7W+TlkNZ0QbehOoG18NKh7vjWgUe0sD
H4XZFAei6c7RbTpsyBcypBm79W154UWq2PKClRHF5r0dtfN7p9GSBTfNFZtN40yu3NrbEyqxVxgu
I4aSkrY84ljeXmiVHDshV4aGYa9rjbOMNNhy0ohLGBfQjjT2Mo6i8TxlGR5tDcX0NB6z06DMMi+N
leXgvHYiBUZTAzVt+NEEtBNxNdGICNjRCz/SQJgBAoEY6/kJaB37JdSYzlgDO1ON7rQG+83n72oE
RfyY13TqCZ8rbafLqQdztmbnJGkMMTAfaTAo3KBkTZnPtdG1zX3WklSp2uUrvE3y9YmJPzqI4uEY
GbGCwWTeTxBIGcPFkLygnNUMuvZLzq+NI699lsLwITd1I9AXjTTFD2a/dxpzWicAT7tpB53RfnJp
mdYmBlkdK05bd8po7HfW7eCYanyqKUhbTRe/aaI4Hrrwam+iC3PVjsCv1iIorliQlqOYEAUwnL5K
jWvF2G+sxoBdI2hha9OZCaUJBB55AKzKwWT+FMecyYpSVDddGRyLwXrOy4TTUCSqdRxITOeBwXnb
iDaRhsnGUGUjjZclorv1lUX9n+k0nzNlD7eN00EVcDWaliXBu01ncLWhR6zW0whbO8A9XI/L+AkP
IGneVPLKZggKFh4tNxAixpR9DynXfQHDaz5FGpZrL5m3sQu4JAK8MFhlt7BhDQHY9Sq+zWLypq+l
xu/mGsTbQeTNpZ99dBO4DXOYQnOhCQ+zM4F6mvhYPQqEzT3wK+eqsHGzM7WHGFZ2gXEQ7GzWLSdM
X9gxFFOqcDethgYHWeA/IaKxMddIYWmRF/KHOQV8pUnMGj0MSY66yUm5B7cHTOylIj8kRhy/BdqD
nILqnBMuvwYaw94uNxY4+B0XqXiyAw402EobwDt9bj06cJG9EUByTyr/bRq85MaT3vLSwVGuL0Tl
rAGurITGLGvgMvVdGYEGNIDC40vGw/M7SVnoSxrV7GloM8/H8ThokHPYTvgiz70oZ6ug/7hTv+wr
/t7k/5dNPsNDiz3WP3dFm/f+/R/fqj7t55v38tv//s9z/578vLf/9Qd+3dszkPhguuyd+YqRgrF/
JksKnc3BZ+UKky+F6bC3+rG/x4zMhEVcDMq/buwvAxTTtHWAhv39X3QiXwwXP+3s6XNlY88wW89k
rBCn9G83bnWrVeQ5mK9D0H8LsJGxmedd6Y3hx7J07GM+oWzCSaKvtXOd7quY53Q/weG9u5RGS9Q8
5oA142NFuUyZiukhmWf3jiRkpyHXxZRGAd44MgzwCGBTsw8kfzFPFXiBcMCk/UyamQYCSqotLITx
OOiG1CIybsMSjtiJoAQ0oLWFrBN8txt/ZuswYuWahmPsK5FGxwilIcPpGbTDYzNwkR+Nqvah5ziJ
5WzhqkssrpwESA3nBKdBUg9EcRs4fnFpxXoiSs/bgywdWunGIr2JyjLZt9S+2+ux8qKnqrSSp6Wv
bfjjGCjooTQ+jxgxnoLMIcTblEl2P9XuTT+hfVLwHe+SOlLvoUAPkF0ZYZEkP878NLPXYU0Jk8/g
evGt6pTFQ+r6ZEdzZObtOJpDe7YIsldinZGOvEnifDCOExs+6p6JbMyPFLOoBZ5VnGdalmhcy99b
6ZQoxAGz7lse93EkCISUQC7z6QH5I5XXzdSRi82JxVrYZ46Xr/nfK8J/WREsbhuOsP95Rbj5Nrx/
/e0A9Zcf+bEm6BuflQDPCqddwS34rwGqdub9tAiYPsl9RqM4TnzBYfbHWkBRCsYBfSh3EAhcDKh/
IZUgrN+59liaoN5CsmVJIDBB09FvF4OkdxCRZGNf+1Hnf5xHxz3OtjAkzg/iqjMFg3r/WZ8I+LVi
VYsW4h0J6e3oBTxyra69IoWgrE9usuTYPAqZnPFsM2WxmpaUjZJYx+3BGT6Re5KbPp6XVdLM1rRm
IRjiFSpiv5k8Kpb3JLUFDWQdI9MhGm4XCuCmdWBUoyKXKzEuAZ8cd2np5AfmEdy4MgfN6Ddzv/dC
3iK4gIxMe0zsOiOxjNTuzLPv7ZIpGOMD2sACCCzPTPY1BVOpYs7zr61vtLdp7A4Q2cZyuo2imi02
fEc+e9mU+EgykmH+sZ6ls+wWgUlsT0CL/2p3jBNPYNnmuzZxWy3AV7g32LZMxingDeI4jCCrruq2
LO17K2jq+9DJ4ocly4fbllZtulML3C1M+Bh0dPWwZ9XyD2VYsExm9J3E1Aj2050MVF5tDAccVnNt
59YzpN3eX0Bd/HL3R8JNFTYXzoT+PiCWFZOcJqGBQTorZWWuwYNMN4zc9BLTE/k6OtAlsHo0cZvA
JcHpXFX5NsWNWkwvXQP51n4YcuiB0oavvwpcgA0TNn1aMKNtWaQyXDU1CfZdw1AhXik8Lh7CvJFk
0W0kZmM3wAJEySdrZVtcTHJU/VVnGgOZztb0/PpgdqOIzpZMigg0YjfoLw5C0zJl7rIzJuzVtIYR
URlOfa9Uw8BmLrMe0pDsOtjCJZlOa+zEpzhKcGO+EoabK/m1H9u+LImhLEsR3f+94F02Mv9lwbNp
rcHH+58XvJdvXf+Pf1t5/8tP/tA5fTqciAYQwLhshXSv/a9aZ4Bq6XJkcVhB9IKoHSI/lkHUUR1h
9wOSRnbg6cjUj2XQ/4Bl3NOVLXTksYsJ/8oy6AW8yG/VTttjz+W4uMFhttq/t/XHs0PlcxYnBC98
da6DipF9BXPtbM9oCYXT45jIlS0eOsHMgSLFlQmdeUPccjzkiYSVGOGp3Mk+lI9hwL8JOd98TIO+
gEcKhcG+FGzSkNuSa9W1m5Nu4CSu5MudylSkyyedkal64BbuysldYMch7QSu7vNsGV3xLFd0qs+A
TGNWjGdRdWGE5C+jdehln8Jx/CguRaFO1M3PC5FGGMkFzdWDYW56XS0aj5SM9pe+UTQisJaRJodw
CGwf3LlNaU9fRLOB4D3sIYffp1GTdZuEu/EgqdW9Xsa5guBomy+kYIdzBsDyiVOqvZtll9xZYUe2
I1z0J6eXu9tapZeSNqVKFesPHt5knMvHOIEVadmUrmYd/9lHwDmHIn2uaavVSeXhOnDmXTDQ42m0
Zr2JUQNjxqBO/5izXN6xsKDR4akDY+dJGmDrWWmwYGAsm1BFIeGSwdla7Ajhd7TFhvecs1LTeOvU
SEuW4fvUMNtQWvLmIPDW+LqMVqjkFoDR0BNGYRy18TmSE+ga4acV8eLQvCG1fbDyCA57S7+Kyv4Q
jlX/7HS0QayadBFbY7AkwLQZoLPsKpe/h6uumAoeejp1U12uq/gsWyolPkbVbJ7CUT7jM3HWIaHu
N5Si+SSSxl+VM9F3jOXAN3p3U2Rx/NA5GGY2g18X10FWEre5tP6GRZn4q6asPRpzOg/6KKd54IXD
ayQj634mdrB1Y4+8+dJ86y/dwtW8eNuoTeO7hYLf0xTS0JN59pp0xnRFnxGSgaBlWFWULmKQ/hSz
g1y7BGaPyaXbeLz0HE+XzmMZx92bObbqO0BHcU+js3vWPWqPuaefvm6lKDftWm/dDyWXbGxKea10
y/LkqBuDPNTWGs1vTlVSHDTWHTpQ1XKcdRTENOqa2TCLblPKOXgN4kQ9LYaqNUKr2HooN3hTL83P
5qUFOvLIF6+LahzfknipzQ0j1pR6MqPtgNBnUqACzdbW9XtSlvgtzftBl07nun66aRmzrCcxQ4Vs
rLvRFa9LF76aUq0kPZhb6cPCgd2UIuQ41KXIPTkQa0+/rvdCM8xTHDXfTDwIM6Q4mrElw5SDWwwY
eiHINwz5Ap1y8ywyEawd/IZ45cNivOna9MwGcTxOoioRQKCJT3DgutG67i4t3UFExIotTvNaprrF
W+pCb2l2O+So6G7QZd+yzZvreYAd2A1UgSsTOpEuB8+hmLT31mIF5UFFMOWpyJ2zM43FGJzSrkFS
mczave5cO9r6Nmy2pIzEtm16AC4+Y1rReMELyvfsrvrlXJm+cYgxze1zlDa0VcvYudE8YJ2Yx13l
ZCC4pyL/xMBh3pRZO56RhncOKAFs4hxdiHXAIs9l5t5jPgQ+6kFS89j2rIOBGpwMvfeU5SBTah71
+wFxdT2IMr4eB3fkCmTL8kQppnt0+0BeT7QhfBxjOq4L0h55vCkLdiz4e+tgOxl2ucuaszdPn8gv
eptadtZxWqJl6/KvzoVr1teisFtaPRxjAn5AtN3cuIrR1BHXGW3JvmzvbfBAT4EboBZ6mEcSF/ft
em6WeR9RUck5rshzCPs4j5zJRy93BCUIcnhDIcOIMyhMd4zW5c5yvQu5/qZY4vk7mUu8JIPv7xI3
dgrAjw25taj7AnW71RJnCJ7QYwxQU1RzhINTrGv6MK/SQr1ps/5u7IvhUC3tqI0pNQbavhlH7ENl
2n+xKp42W9/xuyv0YixesXiMfS/ACQPtPDV1pLYKsn3hsx9NFnnAAAUWkgfsFrUbTk5lDAeLveLR
nHHyRSECtDc609aDCn/2epx8PLGDXdeAi1GcVs5T5afQLouHyAMY73exvx+bECU10uFh0L0a8Bs4
q7Jh7SXsW2xC22qPLWZ5MhoxnGxzsu8k4ymjptoB/r0zXydNnN6k5oTHpsAgTog13LiwC04U2kU7
cDZnoK0tx4+p+0rTPE0AZTNuMxoVrnrb5kitnOQol/AzRuTyGLuYQELUXJWPn9E11NYUM2QixeMG
38oxkF184PBvk1MIbgaa3Kj+sm/s0iKJpAb3nnxuuZP4cuI5e1BmZ9yPSXZHwDM4kY61uBuLm9gv
l92E5ZNHI8cIyn6Gztu5C/3LDhjsauUOql9L2l+enRwC96i4rg+tSmPvtGT9rK5xmsT11uLJKZn4
T1BIe9OeY9K85HdNBNFgMbdJFDbLI1C80Pg0djC/N6nvQz4CdIVhhc06pyMMe0XhbP1eiPkAVP7R
hbCcbZZhYSvT4YG5GXIBHKV2BSEmlHkgeEKW32Z45u4KAEV7a9WWkWyaTC4vNtDtl7I2p5MPz+ms
2qrbt7Mx9uuh9AlGg6IbTkyKRpb+ouIa0CbMyMGE4FKyYgb4LN9n8LtM+VR2ov9S2SuEC8iKiyJl
pNsP8BdvmdmOhH2D+GtrKQPfxOjedXPQ7oB6kPoED1utyorlNW9tLhDhsGmXmHH8ETQKZROZRqU1
OUb3sCSKkUroSBBlQBaNtSKvw9ONDExNleRZNgoAam9JRKqVNSvamXhymYAbebatgjkJsnXn4w1d
8iI5zZ2o8HoE3aCALNJhXiS5QVFei3vR5LyLL8V2wlvhGl6/rvulTXe52xJAD5hvAqRScJE57FA9
kBGanTIzuw8S2T5kYYaAH3pzCkY+dOGqR9NOIiAeFpFMVLjn02CS35Y+5cdy7l8KEjCbiEHuVZkF
OqHPH/8TmVxnB/l6b4OFx4y79PjGqCy3+fk0Wnc17P04pQ9tZaQdDMDJgGkz03mid0CwikvICUcn
dcwXhmKa+mVG+AMVqPodrRgVvNW8N9fAeftPLN7LlqmdR+BffAaCBl3ad80SjR/sNAYqzWEkYkIA
u1fZTP2Ia617IlfN2vESMsttFxDpzhPg/G5yjSm0wb1W9lej8t2jlwQNuHU7cO+7Qqp827lVsXeI
S25D/minQHW0uReVM3+doiB5C9lzP4NH8c+Rk1TeGoKJz9GSrdkmikUcXpM6t9fW7H/qS7t7mamG
Ql50HbgkdFZZk2sepTUvkG5I6LzajTOMawriqbe2fdaBwgqvC0YX3yxmY2taNMU762l6SkcDRxXj
7k/DQO6daUTpRzujTRP6+kz6AmL6nugR7e0HSt5t7UfEoDP7+TZ30nBP4bzausBDz4s/jDcUQY0P
HdwZum1GuuNdHJc1TJX3uQXaQtq/dnYipZxj1YiG3DWBonWp6xDsqG9x1SXezhpM/6tFv+lV06XL
TUA8/LEZETzXrOfZ95pU+FNYmcWnWJhFTG1WFpLOj6MTaT/zZDZRC9/Sbc9mG3tMY/pxPZpNfbQW
bK3GoiHLvtNs58oX7P0xU7luREWf3yc5S3NZ7UYPa1JWGNVxMtmLN2ExPtWysHeGKbd902ZoKiD5
sqwcbjLft84sEgO5pYSbxYdb2zHVRctAIU2MtqEKhrn4DD8QSM0wtysqZbjXpZOdG0BwW/zsLRuo
vviS5J67HJgUjTDolEf7Wz1+BVqTBOumCKfrwbImezdKp979ff7//5z/LYGd6M/O/3gt+/fqt4rn
Lz/zQ/E0UTwt/Cj4UswLSOWfJ38hvA+MP0zcKvqQj5z5r5M/oxMTepjJINrFYaLDHL+e/B3ng01g
lX05QDFaEBzxV07+xFd+e/JHS0UDRcnS6XfCqZdpyU82lgaosBVFc3LrNw0TycIoMX6MiaUd3F4+
H/w6t6udyuOEnS48qOvYIi1ZpHHytQNdX698RgrNmgAHXXLJ0tKSU3e+92WRFsORKmUX5EBIuqqp
ey5e0gXMLUQr82tmx1O4EiqHW6QHP2yejWGw96nh1c9+3/vWEXwW0fPJTuV4LRuv2iZ9TgED+iMP
xNnLrxug32uhIoLRs3Flqhl0DH7GeC2yagEPPRNZURapdLieR2eYTMp9skB8Y5aiXKyTsUOSGRFt
G43a5MWKnV4XA4NFVSj/YEglj0NdYkWXFK3cDwDerUxRH2qFL2M12TCZih7INp30vKt5yV4mtwMT
paDCqnm6SjjbywOVXVIIXPAiIrtYF9nEs82WEB8EeBPWu0J2WobIF4ETQJ8nzEWJu9RK3ZOTLd1d
14wZbnmWty9cEfAr2IIi+bR4zXLspdMZztmX1FzR4SlWDSoKIq0MmqTYWpM1AuxyitQpWDZmIeig
xJxTwnQfsXr29iFjklLjKenyZlD+eaG3Q9LDIjqCoNOWig9F0BCKo5ys4Shgq4V4WcYQqixkN8bE
GJfiAF2h2TCfd14H20IjIj5xV7ShMX0NK3IlzL9F953SJmskZoffphSPZGrEzutTH2EJXKz/qSF7
4uB+CYerMc7zExFecLaEM3g2zzQsHVMH/MCWRqh75mJya5LIWEVJPt52czEgR6UYuIsprzczcIO1
YQlxCmDK0TdlIl2nab7XLd6CtqKHHgx0ukH/sfAYUU9LGLMH6BH0PkqJzdVeW6RoDmaFmWBbkBU4
lpMpd0u4dO+11RRfrL4V9i6kfsDlHIr3tA8iEkPgdCS6GduVU2dznHRsUCsZpHFxcCr1lmQOz7IF
2OUdSLOU1imnid9i6ZgkApxyV06usWd2UG18Xu668OyG8k4x3Vc80fbJyAnrljYgVJI20FMBWoXP
lojbcQUAeCC16lWaqOrepLSo0AvUF86VB1n0VEULCenMZKSmknfeY7YLzBJEAP0qXkJ4Cry6dwUq
oqMdII/eEnxYu5oypH2T2c42b/PqpITfPGcdDFCK8e71Nxu1uzMRsWya01txvWQ+LmTi0evApgUi
SBuLcme7Mb/XAkAazWDxpxix6CxbZyQhkBeHrvAamHRevKdNLt9HKcyDqKXpwaKNZQ8MPXyMHYN2
IigaV7DaPy6WeVuRH137RuRdcdB3r5q0BQWddeOL29YkPjKadK+m1LZeS1pPJuohFrDgY2HaD0yb
MLdUnf3d8AMO4D1XY5dzDjkqHq5YQcO1TGmq2RgE30IdFHceG5s8wNryh/qLE8zxk5s5pIFrLFGf
KftI9xUOQH5HYxwJf1hrYsGGlvyL4whR55RPLed8DhvbaMimnV3FwWFysZLiwce2rLwp2/Uu0O2V
r/r0LEK0HupZ83XB9Xnqpvaer3X9EFjzVTjS++DmUQg/K8GzHdhwxQPCWeSSUQC/TrAg78IiSA/M
H6qvlPmFyLOzxaCjNNnDzLVDitkUx8jLHtivBcy5hmmT8+1+FIY2gUI4sQ4cVKL12C/P1M6IzTy5
ZAB8v01vsgIVsybC8UYyRfsRlbGZRoHaNWHnf3WDEbehaJYHuNAklH05kswiv+/aWX1tEebCpuVP
X4ypGraDZfffQS8aa3Zhy7YuEoomHIv8SrWUt4tIw9thCpa7uYIlLIq4v7OkbM6RMZqPvpDM7DuM
IO2uZlq17QjtvQeN4sg5qfohc4yaXMdI9oLqG2z7oo+/T9QvHqqh8l9tq1/w/vDV2i4sOeuEkZC3
QmQbidyw8gdY/1Z+MHjXVsuemTvS3jmxsJ5j8FTnYHSTUx3K5q4VCTHH1hy4smEyf0tnSYXeELfZ
mtxggitpLlqoeV1J4UTroTYM1nGhfk+tHav9hm5hb8VUY/5yrfp6yiiIMOxWXi1VTXmKb2zVnIfX
7WC5mETnNImOuBvz68QUNAtbbfZWdIP1BOivufabYH40R4Hcx+44fHDCqT8MQT8da+pknBUVFiNx
vNS8lUOTv5Rh3b5gmJJ3lSqij00eQQ6Z2gmJOlieBQNL+H91tp/lMG8jtIeV6VUdflE+bU1k0TL7
I/DBoVlhRngGOEfSInU6ZnSpSxDABYTUoi3eYcuMQVPg0zpVkJHYxOfjfHazucw5WxEEA3hqcx37
8RNKEsUGA1iTeSqHBFEsWk4iFd4Xi99vrOuoSu/iHiHKy8zwZV7c7mA6Cw/6oDIVFqm4S3deSgYU
XanBZDXQHoDRFH9gHAWpswnG6Uq1tUTCgWKw/ntz/P/aHHNHMrP/z8Ox2yStf/YHkXPWP/Drzjgw
P7jMmkzTMn2Xw77emf6YiTkfAqb+JJkDOIa/2AR+zMTEh5D8tZ6kMbbHOM9A/8dMLPhgQwxhjGVb
jPV1AvqvWAN+PxLziVIHGMpxxmE5+sPGOBqNeEgq1z2yb4QSaGVL/pDgODy5jjOsWTa7lxAb864h
ubkT4xSdqI5pXkPyU89uFTSvDjnBF56O1ElP1F7/dCX/jf+cA8BvBna8O8vk4/MGOV1AluG//7Rt
D1UgI1x3zjEbnPrdTZzpjrtOd3FPGMJbRsLASSgE75qaIpw/f237964JqMqcFoRDoJ3hpOfocebP
r86WuWgIEtMiFkefypayIDWqNLzOQ1lTGNO4/hWDVRQKW4sVkxOmz1SIp2/TUi1f/YuqgaJsn+IC
K0XuqWLfX/QP2dbevX9RRSYtkERaKhGN3ewcs3FWC41xOBJKzinO0JW3CQOrZu0LtrNm0Lboi7g9
NjDxCPUFirM1RGCPYr3Ms15Z8XRvJjnSpQvqs6+FHQlp9yGpOnogL7qP0WsNiJU+TNZQabM1QpP5
YmAs3bL7eFIT9T3wmlpkFd9rqhuETei08OmZTGrRaTbKaE1hBXHniya1+OOA2Qqu1pouB4r9tHpV
XYQsQ2ta7phFG0/rXMFIkyhgyQKtGV8sUhh/AO8Q2Pm8G8n17qeQGKPhMPdnObbah1AZ2b3ZpanY
MHcyX4vaRPGvfFNugmQKt6OyZbob7ClgdeZWekBAiid2V1rCW5ykfxKqTrZV74/qGAYhMklFF+DD
lCqkf2GPbMVSD7x6KXLq4yu4vWiz4HYEnUbxYp8xvJsjTtsUSkoO5B4EjlYfm8xwDi5ChLEqHJr5
Rtf9BFUn2CauV93llZx2XUyR84q+S1C1F4UzNicolRTLMz9GAJ0LiyatiyiaWPDHzHQHHHDYcKeG
Rzw85cNiMfdZ9VpaXbTIGjCle0/8vjksWoINiwYxNpX1suutPoZ+nyGarXFwTOi3WsoNtKgbGcF0
YlgdfYTqrw7BmIxEIn03+eZgS7sVF2E4rfzym+U7lBpZC/gr4gpUH+JTZ4xC05hrMzPSOjP33mMS
G5l9o3DKk60E9eGNjyjM6dSsWr+qiafjNo9J8kZkKYKmz+lOIq8brHqZ7S0TKSfPh1KsoFHyEFw1
VTOY15z4JMSDFJX/EFaDY912HcCoha7UI3vabPhER0IcXpFnrt8XujgV8wtFOtoXrdF/qSKV0cwX
9i3znL4GhNIrWRnbmrADVAZRzWvwKz1zgcFY0kdY1fN8IGRAvNiIKrzMdSVLinFVEjdvNJNRFIVP
3q1oAXJpOYnH3DwsbZzwKOirK5mMdCC3pl2/d7VvH4WcmeYbjNuOc97lDxxh9WKY8PkJile3kMLB
u6qaqmbDCnk1qT/bnETuo4wWMW5b2h5BNTAVe+lTL3M4iA+8+ynGLtPWEwRk6h1eu8itX8eBGfwq
dAfqBJKRG3nbmWoyVsqc1Gczk8q8zuBGmTfA/WxFh1hTv8uuCF0KkYpld1nKQz45MgBn/C00IdbR
3OiHmym1FngDtpGiz432olvRIisqFjo/HDG/u0pJszkFQ2ryP3kMH5Pv0SxiajRqsYzDp4oJYdqt
DObC72ruaVee5dKda7l4N20neMcMx2uDGU9PK5UDiGPfBlZxO1fJQAlGnVogCEU23TM4sW6dmuH/
Co9pcSvdggNGFYPC3gTzMByxQvcE2ClCKK9KEq9IObwDvrtl4xwronjDjdPKiTYTG01zU8HAeDOG
irJTLk4erhn46yFc4M0UviRzIFdJ64+vZMXrm8SbcXkDA6tXEZ7eY4y8sM3Hrv7cif7ZnkbvOIRh
5u5FH473NKXaxcYg+w/aPglASIsAABR6BwBuh27HnWCCeZ3YAzq6YczVVVKMEr6SmryVnyj3C7YJ
4teDLZIdeKktHBBjoaXJna6cAntZlFCBrfxFkm1v/4+9c1luHEmz9KuMzR5pANxxM5uZBe+kSJG6
S7GBSQoF4Lg77sDTz8fMyKmK7Oqq7kUvxqwXuUiLUEgiQcD/85/zHT/bj9qvHBI3tXUj0GX2Ad4o
D+J1aDymPGdmfuWABq+AgPXC0rlnc1ZtruWCpY0Ld2pBgWzZIUzc/Xo3qQlRcf53ruo5WBNcGFdF
/b8Pjv/ewZHzyR/W8f33//0/QaizUJD/VFldlIP6+sdf9PMAGaCsYn3ymTD830OifI+fB0j+yKPq
lKe9Ld0rGIfD3c8DJNgd0qEYpojucYoE4vO3A6T4zRYg57Ap25w87f9cgBTv1K9ntCuRJ+Ab+fiv
WeEg1v56SurcdjRDcCKHxm+WdTU9DDXVfrkHgUxSNTcaxR0Zp7dUORcq/FjbhlCX00PD/RLe2LT1
k/YrolRMhGoN0++2w2dATKdItt3kHaIQFKQVfKkqOUo7+0ZyDR0oRu+jsVKWl1YWr/OIBTqzRj7o
1sE2XGgn8qTK/haP7n3ddJf6LSw7g1YyHvS+vHMEO6gBhlgyzs+4aUCPei8N2dA2SwGSOU8ZSOSA
J94ChRZ5od94DjkwDEccY6jOmfAA+EkDo8WabAIq19w9yC5Ch2srOmr5AvN0awXG/Ugx/DK0EooR
wtsraXrg3wPwu8UdsYu94I08AUajctcV9l1Z4S93z3GYfhByWZgRGyw7xcE1j5Q0s3KpcdAIDE45
naeSGBmcJHSfdO10j1glISlg9YFrvW1A4Gt72pEMeJiKfEV58VFfqYn2d6nM28LKViJpd1kkb4Fl
H6XMWOImuxajAPGV/VBMG8cIAJKTJ4/8S22GN2VkvVNXARZD4Uwbxbrk3zNls/f88pA54uzpED2u
v9Ghcd9ACKvr7Ik6B1QBSXysuvGy8Gt2fLDYautFEFGd+s1pp+/RVNwowjwrgCiVdRAwdg6jL5vm
psggFss+2+KwgK7DFbjyG+OZ2JBDm16DlmR676VsXywFcdnSyCF0btzO1G8sUrOg+SJMrvfRm3hG
NAF/Gewqm5JrkFAFgcHWW5v29E3E8RN7XdKDYbiqUJtWo9Ec0bwQ09JwZwsselE+nGyrODVU0tGs
XB9tFLil2VLOpWa73UbX1VqEtenk21ARr5PbykznOzf07oXsUKtpjobKImN+5hRADzf/5ZTnbyTn
0FSN7hM8rl7iVjuXumfacM1wY8opP6Zp+mLKft7L3PzyY+vVSL13323uPSd7DWI1QD1H9mUocY41
r77UOW5uGweNGnHjgI/ZJHHHzX8Ynpw0dbeUtrOPnfUlmsZ3HZpq1UNR3WookwulZLR0u+gW24xc
pWhRazuZqFPMq4esI7g5UuO2GotCrzMYdktb4XAzteDLa82Oj7L7UVZvjILzMvD6H7ZHApsj5NMo
jG9sIoBSjxn2vDiu3rrK6Nd1Ut2CRKlWwQjyzx8U7/K8bF11vqb3+IuQWzR6zBPpm7vepbOvEN4X
Zksetfb8weHiaFOySKbWFuuM0OdqCAJjA5CGVlf/Sl8Q8r2K3GlBSGVa8E3kuo2zF01B86KvePuc
2vgmtfcwuVyychjv2By453kav3naeJVY8HZkLonvVthDxYSdRuJarm0TUClL9+NQeMOagOOe6R5v
BrVyd0nhDPiZINDm5B8X1AVndzSKv88RRTNjUn9GTbFTmv1/NGKjLOAM0dT2jOENFGHzWHvS3MjA
/lJmEizNutiqmtrnqXjxRUgrPTFdNrZE2VIHLncFEqQf5UPsh+9g0LMtV1WzNHPnGM/Ih2GYz6si
ozaEC2ORWhU7BiPKVwF/uqBlBDxJm3yLheHCBEvBJsXVUsfxeRxHRbFa8cCDZQt2HGXJTbxlP+Tu
CU3R/rAmDIWj9sZFMgwfdJ9s6FJFoYX981x7xnMfVxypRIqoR9/qEreSpJyHyL0y+nzfk/BmMTND
wTTbUX32DqGotW3qwl9eE5tejt3Bm/yN6MIDR7dL0PVb+DM3VN08YoejfXW+9Jk6I93bi6qDJYKZ
Pcmbc5O6e0HGl3aIbRbGNxG9K7miphCm/KIFmVoXARnm7LZI1LGZGHr9ctVX0W0V9xs/lidWPGuD
FcCi8QjLAoy7q/ziq+rcm34Qq7aw7pW0d8wEGwT2bSCaJcv8U9CV47Km88EtvS+z9pjtx+dstr53
k0T4psrPj5JdEA27Bt/E3BiPJOq5LV6tZC0yrY7uRht/QF5UL0PNlD8bT5h0qOVJvSfPu1JCQvXQ
dQZoe5EcB1XuqJd0N8wx36QTRoxz06YT7X1aRyeTJBarBO9gjemZXd+dmuROA66OacodkkvkmmdH
Bod03lGlx9IJoTqwdx4SkI9SLJ2Y10vQlAKDblV6xg2EuRY2FWVMIQGBodsmZkEw0T7hvtm0Zr7N
udlzocstqdYnCh4L9Efj0EJDYThYQYW9RNBlBjWcaIz9AgB+Zl9KrYrJLsikbRlTDCq9GUBK6l8j
v3vtxZV2ZeS7OJdbt6PmIE/EXnTZm217VN8SCClMijb7+Xnqidn687vO6uPg2W/G4O74tNOaUCVv
2rL2Bu9syasRRt0HcKBVVE8PSNvq+ml1aQ7V3yt+UALBfKyMNWbsfdOx5bAAE+SyXblx9+JMfbKw
Mv8zUz0NxmF4ozDu+WxDuB3kt7Fkx5FU5p1TA/MJnZOo8t08eQ+i6x5ZKeKChoUPyOPDiUduQO5x
LLCEhuNLF1CnUDPepVckudtwbin2c8H+1RyIOMhyX4ddsPF9q19PLsgFoABBn7zMdrourVgtCLLc
GfC0IjvcpG36BivhjSqAI/LxrQkt1smTczCaWz65z5kZYs7x9xXzSumOZ8Nvn622zKjz67bDEO7A
cC3t+fO/5PC//SqvYcvmf13DaZ9lBVcnitv/8+v/Nn/8f/RVXjOav/wPCg55zbvuq57uv5ou40v5
h37+zf/oH/48uv+LsIQNSJ4j+L+vB58UZEUaKf/+VP/zi/7UhPE9XNHPhCX+YGX+eZ53fsMKR8zh
91jon1Lw7/AYixzpH4f16zf/UwrGWcFsQDqClTZ9frga/vy9f2qrvGR/vA7/QGvF8PrrSd4MGCSQ
oYF1wqMRzjUT8vd6Z011mu6QOQ4zKUxsX1nkEjOXSWhzAHVl/2bSy3FrALK/V9VU3M5DwBrQz01r
WQRdsrZYxz0kLXQmktbcfWIEqHThGkWyCLwacU+JQ1twIMp7BS0KnJ1PkJSHA8XD6UA9Sgwtos+G
8mgCQ/QW1BoeK/aEF68U/jY3g3gbskTfEplm0RLleOGvSMztrOJ6nxJQOnUNZWrz3LBEFEgQQEgG
377xxnL4RtaImMDo4fkSMQ+UxKB9pC/K8B4QO9gOnHTjvjM/MFaX716aAQ9MARIs6tFv1/yFaD1c
DdgETd3zEI4UduELyMxlHJbmHmu53KW1bXwOMPB+eBW7PUHSc0+vWv0VjTbnu5iQ6UXFOILxsdb3
spEDlmgWy5RasC66lm5+JSaPncRJZvp+KoFiMEXubWQW0U1TzcZn4UbUj1hVad8asy72k9KvfTDi
OBxsd5sCz3+Kq7Z9CCjGBXdjzPUHNKjotTZSVI/OAaDlQrToFnMRgKz2uY/TQk67JVnSfewE10Zy
26rf9TQO3dKWwwvLCYxcXZF9ZKolEDGrFuazUp8zG6mjMusz+oFzSOu2OiBmzTdVSNykcABeeKPf
2Cuamidiv/A9at7PKH0NFKTxBa9Sx7+WG83GbihqnSwvXMJScflFYRSgA4Xd0VIOS294p1uOntlj
Wcj4JW0V/rShqARl5fQqrHPXYYVrhI5Jk4gtWMAqrr29rmV36jhQNsuuNAWGRqsPN/GM3JVFE53U
Q1PAeJuFFS2cYBxIONhdvYSlSdtnkTUzpoC4uCgXhqXUk3eMEFpXzjx1C7v281PVGsnRNoSFUTAf
pHFtz8EZQMdD9Az+wGaApPH9A2AbMllacfolNcnfqkweDtUceWQ9ZIQGVVi3c+4EdxHupOXgG+sK
XXQZTz2zJh6HLOg/C0+ke7OGXjhQch2vehAk+Cfj8WaeW5e0QNAWT0GZhK9G7kbGIdSsTteYUqzv
ejCbbhGbQ3ffo5CFkFZS660NshBGRKG7O6sr9Ld6YkABfmG9pzUtDMt+aqf7ZvAyfycF2tei9jnd
KHtCeszFyMzaxjx+yB2IZ9GbhEHNWH50rjYphJNctEuvnrMdPVD+t4Q57ZQ6wDz2IxjrR8pXoc1P
iUfjoKTmJltVRFA4fRX5uxPFwRPEuw/DHCoWLLU4WZ07fTlVjWEQs05ZrEOkgdeENAwurpq2e96s
on7D0wIBHJ4CBfdh2V5dVhybWkBKx9ge21XV1ndWQyidpRGf5xqyzxLdT659Bgc2FgCp556iSiYY
xhCE/vU8tPqQlpZ3cMzmWhkJvojXQSZbIgzc0WoxeUuD7dO2z6S6t3vD2ZbKTEHjBW0o13gDzDeb
ncF6ltxMe9vEBBsU2GS2SPjZPpqEvkU3ZLEblJzdaja4vLBenlCXl7DlYWcMI3IGyMv+aeRs7BtD
9a33Jpys0vCbnTYDOD+OOTVn2dTGZ+l4mIVQUHsi/JPBzQXy96I0kqDGPCH7jeHH+ptLAfWXxlz5
xjLIOgnMyTDCh4YNinDo3mElJPQ5noIwXfl2RYtJPNCuZxtQ5kHOPERpU2HCCYab2sXamWfY/N3C
O0giuivoxdldEDcZ8F4C/Am1nJxUpN6OZv4YFU63bWqyDUpIC/9xrWpvYaQTxOMWh4E2x/n7jF0j
X/cWeYlSdPnaLGMO+ZmJKWg0LarLbmSm3YJxrR4q9TIbUQYuxKPSyHz1p9TlGB3XwsLU3HVTk5zD
MYREEyQujNUhJNyb1ff4VM17dqvRhdviuPX8dN730fBMuWdxrwPfx+DbhAjMKgmfB/SCV7CKPodO
rxgO8RSlzyz9UFObgY8VDqDiggafX9jaatY+OThFlUp6K5nFyn6214lTR9y2edotx3xSlBcF3Qbq
mk6IreX5bRKY/LhuamysJsOH1tAOx0c9gJlq1Y171BY//own4eQ4mJxo723DB+nX7h5s7PAYdYaP
CaMP4y8Be5kGqajLt62hy+MEzfU2KKvqYeYa30f84p9YiWbqnGtnO7a6Q/bV87dU0jAAGMaYd5FF
njAhS4Xxre3WGvM55aucgVedsuYbjCXePgYtsQSZetFZR4Zc2+Icllkjucmm4f0wh5CNEvtUQ9Yp
l8UsPT5rXXmJZg/yPq/nY10iPAUJIRVuF9420TUYmBRjJCbGwbmDHxZ/D1upCEcbg4H5bGSgdMx2
OkyzN93ZaU0NxBQE+97qmuc6LPNLbzn9js8T437RlTV0GEBjvEWQGOhsmIhHJgXWik4E+m4QJtuJ
JhGkpmC5sbWDp5ToTJ67NA9PsxeM+4YHI0hWe7gl3/Vplir4tBphl2jtjn5VXRaTjAsZF0r0vELE
BgpKz62Gy+/aESYzQY82yVaymUl6CQOOIJXnDfD8LffNLpV/thHnmAeuN0166m0FvXJwWNfWtl0+
FFPwqmy63Nd97MfVjW70lfsIUTsmnDEEbwov5QOOg0Zf3Bpe7E54gTZoK3dTZ5knljaPNs5DnmOB
VZga6R/X2pIHP698ac/0c2rUnED400bErrepEDyZEeFiQP0f7mYwtMlNW1/x492VRO5UwlFwja6A
cvxW8HjqYa4jl4ZSMLEuNS3j2LdbcMXK7A5csjaVFB7LDaNBaZrfOPZSBMpa7TPpR/s5aDvv0dJR
ddBaPerCm9a50Pne03hLva7PQUpdKRfzGzfAH1Jh6GvdN68bug8BtJvkTO2wrnC6Ny+gVsD1/AyX
TbamcNs48uZQEk9mZF+krf4h5ms2Fcc6uYZBAzOCZKuyXV1O7Z1wBgp+OkJFelHRHx89+i4NT/ls
z3cxVkjFAnZwoFn9l8xFJ/WJqlv+aH+dhH4/1f9tTPr/a3oy/+X0xACFgemvA9T16/4coPzf2DZY
EtCFQ1kLQ9TfdiLWb66U2Gz+LmF+pXn8OTKZv1keH2l8JahoLiVW/5mRyfWvy42/o+xItgEYaCwM
PILKT5q3fh2ZaM/RQJibdJ/DmT15UQrawG7YK885sUKnjc1dqx3OmDYGPVQEDRpq0dPBfqRKjwQ3
yR69KKMGi3SZuugogYXCvExDGyaEkunKm4zqba7SmgAKQF6KEEPlTd26aCp7zXNuPgUerj9+yox2
PAwy6S1+nv7LS3z2v1rh2qljwc44YT661waHljoJx60/DONlRizYVCKetl4vw0P5u6vGLcbiyI/J
+hvDePUuAAhhpA3SVdEZYj8RMyV4HUujqHYZ2PaufrDCuYOHMcaDtZiobfS+95GIiDMGnmE/m30Y
qXVOsUidYKIwnLfYDKZSUfwVtPFN2YqUORA6eDVctM0GALM9MA/Ihkbsb8qUHfP9ALBwY2b0nCAi
RrnpMzb0rUkW2hTOnocIfzNiA+K9jnVaFVuOolCADJZOZMQZIdnCYNRbWZj/hL+0UteKriwdN2S4
Xugi+sjnKTpzuCrXpTlnPByoAYNOHWn/Fbd4a6wLzE/rodDetnNnSMcD6XSzrz8B5/e3np8wUqRm
JHb4ma27Wdm07YRh/1pzHsJ3gkiWmydOoNnWDzBT9QTReooSb+gJuMqzWC3j1OaCqTxz0cIkuzIu
iSsTc31iekhfyaelC49U+FI4pKQ5YThfV+ravd+040IzBK6ADQcbXAcKmGMg3hLnSkaM45IYIWw6
FRTtgR6GnW1ZGRavJL3rR8qbF54RecsClduwBvdAGpxz+vToFXVfL4wgaD6ckthknsbeahRC7dPI
5Vg2UCLumVmzxmuYL2NAk09lz2ZFG1a8BY8YfLoEQMmeh3Vy6Q1Xv0c8oak6o0b6NqBDic1HYhmH
Inb5KuLx5l3dVBPFPHp+Fnb2mJAff2NarYh0yfRT2a717MIiWclByE2YhazmUzbtrh7zfS2GrxBP
8/tMQHIdVCV6fx9H7TsGBKja5BPI90rmsOGml7FzztIm24h+JsgPZ63c1ZFM92Tf3BPhX+tttDva
ZTntQcMd2LEnabYnnsYILcvmselKWr2Bs+9SkYubIZ7GW2zRQLCiyrmrqtgCJFolr7qIE5ZcVbYd
x07c0HCRsegrqtt0ltlnFbU8akPo4wdVi/minbY/0rpBc46qOB2Hle/dT0lLTTkMRm4rYlQnfwJf
Gsy0EECy4WOfjTXHW5RadUAbEOeOLN2xr4V6GTHoYa+aBvNEw4Q6kerSj13aDQ9KudVBpBEFYqMK
3phbk+e6d9ub1gHsusaRlhzMmRF2Y+VxfnHMINxXM3jsdjajFWsJf1Pr3vnh9LXeUgczvYyJnVJf
YfC0rfJ964SnzCyLVUgjGScbZ8SNHu1tjMUTwwrGHepaU9l97wq2liItsp0ZYWEvHHDaltX0W3Io
3saOIbTPo6s/qtDpbkw9qA1bPHBbhRzuktLRt3HqT3SjdNAipmF67UpFiXBo9Yj2KjyD6OxeOC1a
yx6ZluUhu9cyH5PdkDHEVTIBZZF3ZfpUqTrb8rbzaTEGvQm8tPrOTqTdEiEhxTKGpliPLlOvzuv2
gg8P2bzPsVolNgYmH03/B1hLpDATKZVLmcbXwLYeqzHtT3GYX6q+vW5T7ejV9vn8z06gN6OYDOIc
kzJPOHrNU9Cmwa1R5vbdNPagKGnUCI5laWXbIBvPme7Iv1t8UA8dqgJ1rkGO43rA/KxSKzpUZVKs
It+FMduJ4tRpFm+e4FbDbHxjIJAcbC2tB3eCE8bi0iA9ql0KLpNhxLtm+MjhHWHJXTM1+iN1vfUI
ReDAsySAJFHawEp7tc8aJ9tqtJ9Hq06a+8hrcTW1BEONTs/UHkypfmqKLrgdHW8+9ewA3iuc9DzR
rOE+Q2kHBkpm6gjCYfo+GSV1vKRnnV3BxuzAWoodT2P1tz27GvpP7YJshdbPOOuay+gg603o/VtB
kOeOJ1v15rJ1+fDbwvsxKaoHF24L0ykIou9DOiZrSUEBKkW1GSD53kxj46w8i7WAUfJzgtdtjL1v
pQktyk3Wv1e5b2XLnuBOBj0U5hxNOvo57Ip2XXpEJn0nJ3HruEn6o5AWQ17Q6xc/Klx3Lcso/xBR
5G8LPYanzgr9m94HpJ9ho9zHgU/WILUz4lw833BEtNltK83gjD2yOaXW1K47vympAzbaU9jiXUjA
wtwOmUesty+6F1+ySrSroG+WDYtZf9GIobtDMvGPsxFMXyZrkQ6tCVc6OoKOiC21xmOMD/FNw9Dc
jqlRYo5vjKS43rQrdA5W3euWRoyzlxKFVybVrF3Rk5rxsXPh6HN8FIry92tiUARtA0Mvc4uJD9uV
/56a1HmZSrzLrilPBkP9gw8mZGGR9T8OVP1wG5xsFAiqI6KQEnDewIPOhLXFLIqyVKhVkGj71CEO
Y64qr12rRXkpI1s8eX7br0eKODeafuSt4SZFhRFDrH3m+lVGwcHKKEW1n2azucOTIT+JkWSM1m01
r7qhDx4s6oU2xJFtKpRr69EJk1guc6OSF9C2IQXb/RjgaiggGWDrXg6mOPoAx3jbc1o6tGmdWnjX
h6C1/TXGAv0Vd8pu0WGHYEcw19t5RlItG9BirMOm5lLNWXVJpwriN5Sq3SjYk0EKNJbDwPCwDa3a
e+EsYD+OAlwqdlDh/fBzo3vLS9/ZhGn16uiMnWMS3FFQ1wBVKc2Wc8eAvmNzy6MTp03iw1DVxt4t
bLAZOIKIsntUfX+qqqb3DQFnONjduEJ7HG4mUNVcmrLZ5EnqXELOpuSMeVijL8iExD1uuZWAiZwA
J4LSIqIO84Wunwuzzs/YRyTNfrMptzzvik0vSU1lrTFtDOy1O1J8/tmzvJGngqfeOKC5zdJIfA4g
U7hj5RYuozjFlkJ8xUr3ULetJVd2dmEzTuABI3FC/5BZcnyFsLJOjXS4d+nawNAhhr1rTsW5TfXV
nyrcmosj8L5z8KV+U6b2NjW5rdClymEaKCNZRDIaw0NP9PnJTMvsSdqcAWXUzHLpYAA+V2kb3Myp
y2klcsK96cEGWESwGs1FivzcL/w+3Kuur+fVGInkkLRBQMy+t1THERO9M9d21HyJPPEauB1pO1l+
tRDaP4a9wyahBbHrZLGmm6ERJynr6TbQtbUKUkWsPNLjIS4oyYo4+L/Orn+TSPcxchVNWra6LZRj
8VvKQ5561jdFbHaBixTkbehCmfBy99Viub2fDI8OElI+K90ZlLyL+b2Opw/lGXd+heUgiHsXEZsu
c1gzJvaAYtiawpAkjoAOMyLcqMzK1xCGnnhbxAbrEjCiJugA83K4MVii91IJKDHyzWroMWaE7xYE
EzOwlD5yeJ7xwiA3wBmeoMQR/FqUiG2HKNZiU3T+Jo6K6eCrHsVQ2s+iLjJQoyNQdOI0bMk9m4W3
Mc6ssjuxmpm4EcpzJDcK/2aViLfJsMctvU/VMg/8bUBhyRlQYLokCJueCi6/d6Px1iANw8ccFPau
MsLp4NiNeYqh1CEzDpJelprHHCUNe1V5/mZq2nlZYZddTpIys6qE7F4Y2CAC9ixnx+SXS/xsDVAh
Z06o6nbpVl6z+Lud3z/Ypv01uRBcN3tCEKgQsEKYD38dDONQThkmc7XHl8BYZ7B4OtQz5L6Fw8rq
QZqF/qw4SxU8ss30X3QEMN/+ZSp1AUzbWPt8h9Bz8Jdvzgq+dqe5UnuyVzUdvHVBgDCLwaQG6f0/
/z3/2njA70kLH/9dp1/2ln/5VkrTlT7CTN1bla2LNZ+RKaPZKipxPf6/Heo/eD1/j3r8Omm7lAtK
CI5kKiz3r00VKZZtWadetO8ADm1itPu922HNzQrVXsjJpcGxD2JT8abn75UXMVEPM5ZtgxgHw3UY
89P98x/p377FHkBNif0SvjTNyn+Z/Tuz9eOWKWOvx2LGd1FPW5EMLJhkFkwWKNe4/hy7nvfZwu/9
+/f+bzbrv9i+04Zi/dM01kPZtfH/WL4TalG/Egt+fulPCcnzf3P4pzxwheZVQOIj9GcsS/yGq4++
bC63n/v5P021zm/QCCzHtwURdaoZuSL+1JUAOkvfdLDJuD8x0H9Zvf/TVfzvlSi/XO3gVRyT693n
57DQiX+9fXDoIESSYPQZaV0c1gEFFwOd1HBG4oJCa44CssMRn/h3LNWBTtmqULdk4rEzZbHvr2rR
WfSwKvFC+d10KV27eABaFH7j8zVyahE0L3nD7OzYsZFIoPfDucGcRTd0WmBmGsbUzVctlE5yCQjL
nJIy2r1SqzRw2iK/HSAJZXqtA4XlnLznYC3Tzo2Z2OjE/NHksNnwfmF/So1GnmNc/ZeUe+IVBNUb
a1MbgnUx+jcJI6fg1CNiOyaC1lSIYxOpVLocKtp6Q7HvciEOw+yLfTAqfJ1jpjEi5PxQK52H7Rff
hWm5lgVxKU7sjSB0ArOFfzib8PM4AqsNqJllSjAEMpoxODtlovqvxWzmPxRv+M4JnfHiMoaw059V
+H12HVS51BqaF7buHv8uP9kLTObmpRjM9D5IzfESjio+D11YPFYkrc5tQ5D0hoBp5KxkZ+OADmPP
b3huZla4NPGnYgYk0Xw3pvxc2q14IRMLh97CFOCBcFmMHrLRXH2zIt+/hBlF3QtGCNNahQFP3FWA
L2LjMTXA7PX2Y5VX59TSwcXhuUd9KErlruH12/TkTOD8Kcqw4ng4xh3NWmPcMy8yIpQPlqX9O0Ny
tSQEcAAT+g6VOPgvqVC2HkNidHtF1eKBo4HcowWU55SzkvEwy3yCFJZYB8naa6mztJOQqWwyqvBv
W35nUAHszvUH6Fb9VpM3eKlMUHXLYNaOe40YwBg3cn9dtzHUG3+YgruxAoHFfT14oIIZE5yYSZoF
IwWWS4fiB/hu+Hy58hx71ZI/e/fnFGxYYwXHqhJexHHGjBhTk0LtQk+3856dnz1tVdgZRzs04P4M
BKnWkCT9giMSR/AWm0PqXL3aVXePTOzQf0cJxqXyDUuwbXPdp8Ka5CmmVw4wncgk/XJE28uZFkMy
2QJta0IRWRhJMlTTwuCFqHeTo0r/TRNvoQkgGPB6VK4IeX+umTlApJ0e1pj7kShrayaEFZY0rxxa
t+rMfab1pF7sCtf0AXe9Q5Eql88rPhXjYRqAZthpePLynKK1vm1eYp3foqBEx6zLWUkljpGwH7VF
XkrjgDDqgVWAXPzkCAJlar56L+Z2Xof1lG5MpNBFK8xsT+h7eFZ0BrKsjssTeUGNkNfeJ51FKWpW
YV8gTWb5yLXx8Oy6YeTu+Hgbj0Ukwm1Z1/T7MMvkFUZbcKJ4J1gCpyO1tK3dRN+BJ9h0kwBP7Wgt
sbvV1I7jjUHYfo8i4KymoLgvZ//YUjFJtBNnb+CX42FQSbf2AP2uJf4CyH3jlki18d2ZudNkYc3p
eN6OvkVqW9kozRUKBBCOh3ZuKL2JhmvgzXm26pqcT9fhcoFQdx588x4sjL3goM/b1lB4Ekm0iD6j
oNGvXGjrBbN14hQ3ZlE1X8nk3UJ7Ct84Uwy7cdDZQwE28Jz02O+RxYnzEUq/wGMRm+tsg5cc/Vy6
863SPm0REpUhZgNOOIBy1dHgqyyIZoTB67Jixp7fyhCEE+zL81zVpxab+bKy435J30q91SGn5sQ1
zBN1iMPZbaiOVWSPyPPobaEsf63CKdyUJAoZQB0WzBZtU3NJVzdASnb+gPpvpgxwY+dF366RqhWy
uFqm3lSsWDuX9G6X9QudNcPOzKP2KenqlgtjMLZRPf7oahcTcZxM67YerMfessNvInUACo5hzIEL
fgccRLyM+84lrbQTuXRuCq3AfQVAGqBNA4uoulQefLgjZD8M766r4mCrZh5NHIUVLYOSjr7enT0Y
WRr9uSckl6x9rdp7lpnhc6AdPrJOHsI86GK2AL7+KGDHUpAKpfu18rKcUBXidKhsf5M3bbAtyem/
VaCyX4I6MtYt5MxlORTzLevS8gbiVr3LRe7fCf7g1LijcW786NmLsMsvIZ5TqdiQUatpToGkMbap
dXDGJDoGae4HCxQOvcxa1XnL1KYUfaFdCnWRFHH7tLJENrIACsJYW8x5jJ5mVAUZB6KHW6/y0gP9
kkQTWZMgjXfGc1uZDb3ATaFXqqMk1cQK5oZJeTfOrXkrEijgPpU+hIW5DCQG/9FuQJfGcmfbzP09
IhCuUC/5Eo3MvzrWChg0RE6TQxsOYFqkOx0KXIZimUzaWbmOsp5K/G73sCfBZ/hdtK4CZlgd2t+M
ALCrKqJXpglkvAmMeCOdp0I6xonPVLrETtUveov73Dzp8Cmq5XYUybfQJbJga2cL5AVrcEjXtVDT
69RPwarNSnvleXjIcIYsemHuU2Ara0gI1VcEsgBWq1GubF8ku94GcIrldJJreuesSwak7/+yd149
diNpEv1FbDCT/vV6U3XLl6R6Iapk6G3SJPnr91DdMyM3avTDAvuwGGDQQLd0HZnMjC/ixDZTY3ZX
CvdSRkQtC7LQ24KD/rSSDPKJeMTtCPUVwCTAxi7c1oX6BLvnEc2VrRT7iwRH12q0BkhAgvYtsPVU
znHi7Sgsa5bNTOOvO5s0neYpt43LkJl2lj0a0qXWeWzMl5jcwoHxvPe5Fe19P4gv9FcxTE7oezK8
D2UuzA1aPV0ZCBKnYArnq9rs6am2mg9VhDY2B/1pLOHsUtlcbwcqrzZ+NMAg0lNxtIb66OC2Aloo
nhLAxVc51zxtl67Y4fUIQC91xKjNdN8OeX2qOv1gz7HaiTkuV/mwdHil86eOYNO6s/rqIfT1gP19
5rsOC9CsMNKHreNW3WoqVbEDFQKq2PA/hpF8z7Q9/GA2pHUADMAHhMeHx4jryvlYyEIck7lHYsAl
cAbbUkGDlJ+9YmREIT4pP2ti4MZ5DUZUjQe/pvxC2bUNoS0mvei78Z4di3cvMH9tiDimO2RmfSNL
L7zFnnFq+dFBQO2T2LzEk0Ki8WouUeFHtA9obIIiFRerTp90Vrv3oab3oh4TB/K/LKv7Pl7AwAAg
PWxCDh3bK5tH+pXRKHej3Pm5SxPsIPauEeUN0dCILEdwJvr6xUmiwxKMwE1u3oSjullGe1QQEVRT
Hqbt4qXN0VtmpR9H1d/WoqMpubxmt5as+YupN+qoJwBnwgBx6CNsa9zmjo9JZ+NYiYNe4tnOFVl3
/8otmnINQnkFmJD+MyMr5ltoq9n5/w9+/y1N+b2DmoP/N+fzn2p6rpOy/Kyq7gdK3dc/9S/bQPDH
wnTgjMaeS7jf9nIEHqHIpYLTdxkY/+ko+JcBO/jDQsVx+CWlFXx36rOtP+wgIFzJCc13vgYw/8Gp
Twi5SAbfHPtMXM3+YvRehAVhyuWo+60Dmx7DgEK3kro906jiZmm/oiFQUyZ9SDqhgSjaVkdskmWk
3YFCFtbWrTvrs9Y5ClaB8EMeZlLXGj9yQMMd5I53mmiG/SyC3Mo2oxJvkS+jp4Kt/Ro+rfNusO0O
4Rv60GLnDqkATDHWVLHhXUeowfYa13NQUyMfZ4eFY3D2SE0egHjd5W1nvRmjHU5nUzWMJmha6q6G
NLDLJyuDZ3yl5mUK0NNuhfRqF1b/KZ0nNrhS6TVAb2ZDqPXzpLA5QtzcWK0Jzsiz+g9j6owxz+Kh
MK4zbjRqQaBx1ruM3/aB3o4C5gYLA5xp+rufRIw7FLYRwbMW3Kt7tMk8f/LaqnlwOYsdFUzLvdTp
J2ht0xbPBje3iXC1GiA47FOZPE6Zld2ScQrTA/+JdY2RNOT8C5Tv0JUWPvKWM++2E8YrorlesZEt
xiNLiLEYqiyOwTLQ68FnWZhjr3G2s22oe6iczvXwdf6J2Ukce/Tl6tzNQfg8U9/8UC+iJshvMK1t
2FnGJlW1k5/x0eH0pfQufT+Mbbw1LMnOwwVq37Q18Nhelyc3qPIzXoHlsFCMGLhdFSJrcw4/d30X
UR8d1fHWS9z5HnMDqc99GBXtIaOtEQ7DNK5kNx6mdCQz5/kT0rwdNtDSpjA82Awh3yMQTAXLojE/
BrmX26suGnkschjyc3oi/L58ilDEPHPbl7bUxhZwNYiwvYQOa6pjTBqSnGqas/t4ZW/VRvxyuVg5
Tg4tkdVfNrV9mR1a3ckOA1YLSh4/w3zvx6GL2EGZZZZVY8qRFcSRTbkKK2sABbjviLLnACAwaDhy
3OZzOKxx6ANhN7zHjCoaJpxHLCnXzhLSnUeoGEkFDGCmlMrJ9rYuwhMSx650M/WEl5ozJ0GDlpfZ
RTgsSSZMH4Q5zjvPS+g8HEBO5anCTR7HbFKa9IoklXkky5ntOmzWp8AouxUnUnwQVKMQGdLJye7z
ikFLlZyNfJqPZsOtKd1cPgWTfCk7FHgaLXn6kP1a211KPqn0Og5/lpUeVULTN5DVE+af6Ny4Xo8D
uDC35Kr3Fcdinrn9zkYtx0nHDrKglDpqDGbPtUih+8bxZw5L7z0NrjwIqxp3hMmUAOHUX6NfjfQn
TNFCzykZG03wF9L5oUsMpndVApJDOkAL2lTc8u7Tc+pMNASFNNIcOUD1n4kkTGBX8CJ43GyHBqBD
xlN8VRKAPVRNcyxH56Gx8vvMT65mEe4DpG2G5PNjwjC9MlVw4pBGPDg5AkCTG9+kACHl248gx/iD
/aSaZu9P+jqVBrhhhz7Sts677RDOCryM/QznOVmNoPQ3osg/c9LiYVuOjEzzuH9IeG6DkxZ4iV21
ajqHRTDxr+0aT3Ra4C9A9BEr6Uv7zuzjclvotlx7AdEoTuuAoPk93L1UeHYN7N8Hv80/Yh5gty/N
4OSyXJ76liJhHVrpJQ669ND7VrzhrhB3DEPuhlRtORhtYIWWFxLM6Wu+rGZZH5ImJCxunOta2veJ
bNxTVS97PFBBu1rXwQevid+bhhoW7POXuCvEIfJUv1YJ9hkXPZ3SkDA49RMsNcWyfoctHCrZ7AbH
LPVgs7d3I1aoHcuEf65SY/TAXLrdO9aVfiMHLxxWtdWlF/INw7rpsm5v8kPtzKrpL6gy8b2ldYBX
17yfUSU2dlp8UBFjG+D3N4DKmKbitgTd5pEaUfcKVjnfEPJWb6a71Mos3l5lv8Z2csmsmKdDEzJZ
FBz50u6RkhA4xsUcPozZeF0bTctZpkufmKI+OREB79wYXtUcvHcjeZQ9o+5a9PWuyHNAbXLcqbFd
rMT7QKbgu9OGxDqWrD1TzI+lMzlbB3/PwezkYx16nLaJFmCfIVRwdgg+XGIBqjmo2WLHzwyQ5xX9
zBjKScGw0m6p0X2B9UKm3nbW2bKW1oZ/6ytrr5JU32t+OkKQQ0S8FJjoSwZ7+n0Orght1eNWM5iW
AUy89iYClA1WV192O2doJL741F81Az5rvC5VvM6m3N/nup+PcQVjoIaUnoQZLCiGFbhmllZfY8fD
LF/PSH0oY7g7mJL19kfb4PfCgGr4F0be9h15SBy+Xttc5z0z5mkcqm2dOvFbrV0I/LIHCdnwTBjz
J2FTJBBW18Ew82BNg2Ar2+5hmNSlSbzi46DLA/3X71OSTtuBz+PCFM1If3rJeZgWpg3gTDsOfUmy
3ZnxdNjgR5mrwnydY3F2EifacYKaVqqPrAWvUN9bpsjKldF2ZQ1IipVpKKzyNjIGfGhVSwtVx3Ot
Tkb8+hUlWkIIRvV93V/JqAzXiZSwf3qq9ULLeELtWx7PlEBUboDigCXC9OSzgaHlxoxqkI7M1+wI
xMyc9vdlavjHQGXzSQ/Wk63N+o2yBiM6hEXZZzvHGy21snIxgurEdjkceM5Kws/BR3IityL2Es6E
Y3cPmPx2LA1j3WTGXTHF/U2mk3eKTMwOXgsujdl9Bys9f0SIOElDdPAejGEjyVi/sLzah5Eg2OuC
wt2OTtgeLW3g/q+GeO+iyK58v87gA9p8WDV8wGustqXpG9fElLPnOgClis3D/+L2TrQBriRXTmzl
r5XvTQ/eaOC07v0PqDGMSv3Ce6ZMC/kOWMBaenGKMleahFpNYskoJCvLQnDRFCWOO36wdGVpKyNz
wJA4DXh7UauKbZF+qtvsbTIN7z4Au/TOUvS+BYguxMJQ6QYe2SRqBOH8pLXjNXqVvZAo8rOa5+qA
xgasTJXRtUDt67IwWxsc6yhfCIB5FhKRTfpxf2dguT7Mntu8M+bgUGEZehwUUGJBFCxBHs6Sq7Lr
PjWZj6pg4/1YWA890dcnkLJnt7QCPOzttHGYrW3D2uUBkQTuppMWOSlHmiVThVReSsyJhKqd5goO
74zOpaargoPggUYkvfHi5mMeFWINXiQRt3U9iAcWSKW3Vm8hsrkdADJCVZHa2ZTP8fBSRvmhQUg5
R+7k7HL2gs/mSOpnXfm5j1xiT9ZDEVvircwd981OUJibuYuwHWElN0TOhoHS6Z0MWCxnIpdsgIeT
188G7nNzU1ryBoqCTYfeWAJ8O0Hv2BTsPNYx0/QIihqlLmN8bilMpy12iB4CsFetuGajtaYX+hl+
MZiw8VMVuu6+qb15U3S13vZItcewrCRqmcPY3jb3/GongK54wpKh3uRULq+03b8MHSFKOdfkWurQ
2jh5BZkqbHj+ZdUhtnHe0L7QYS4U+cHqyKLEbTqcShPiQWtd0ji1nhK8KHsYef45iYvqjHRRoDQG
D9Mc7/Khae9boFY0IL9hyGfDlIbVNi3CJ0Gv3CpvJGxiUBkuMslGoXv7Q8qM3J3KLfUFBwhNDCVa
DHhAx8W6wm68TkCv+bluWE4w9tq+S1ZmMXLMWfyCl/jKZYO/M32+4iKon3RVVlvPDAC6JcV5JIi4
QXAoNhxVUi4Pg4KWyKt5JubVERz/PY0FxM0j62Ne9k9klJ0bw53vYIHQqUwAZqfH0gZwQ5jMRke3
aqe9Nlo97NoZkzNUJwhNeVE86Q4aKrAlHnWTYTPkIfZn0Wacxg4zH5lW1RXawBN2ML3DlxWskypM
8LmIjdDezAyIq1znLkZCG3eq9sMnT+RXTdzbkPjgVNDS8YXNL01lsdqicVXg9Uk9aXu40bGKdzOT
gacWwjbQE8rMGyZjGGjY7MiG1P1kpPl1FrG4TGNW7AKCcBfXD99M1UZYV7S7h8Cs70g8GrtAuWIR
qtn1iDq4MesUiM3UX6C40VXQjKAMWgptbHO6yDQ4GYzJ17NbWWtvGAbGf954RdD4U8V5IxfGB0lO
P6oJQgrV43TlMSzTbDfm85Ei2WE7G8Y+j7+QZepXwlXmlVBpfYCnftskC4gvZnmMUe/wIpo7KO4V
+9XWoh1j2MsKN42VpmdfWDxAU7gkmf/keLFFJdv8qr3+Y9hHb1WVcf1U1l3fXSPQYlieO/TeMnox
DDlg7s2PBGbmNR2LV8jO72lz3LRBUO0zHo4IkH59CUNyX0ZpLtgcYB8juzNDpea662cFSM2PzEsW
VsyXZuOWPCRkgKzQM4+ElHoTyZOgWZlGHe8m31fHliv4ZWqJbWWEnKwQPllsSVoRRjvvKBJyCoCH
aVFt4R8WFx5ZC2SksqiZVVXrbWTclncj7L/DYOhmbaZuhpPGgDhQSxBM6yoD1ClHkaz1OCANO3Xz
NPYwxIYhHo7sqrNj4MXlHuK4vaunOTrT5evu2rJ/hK1Cp2MV3AR+n96WiSGQ0lR/nuPEPdWW3x6g
02envsKKQYVa+2iXKLB+K185w6fXWWlzwI/Mm3mOSJOqKrqyNBVcPamNa2G69raZtd5blfY36cBp
iSyssesCj8E1lrfQKsv9AL1lE1EAvCoakhOJ6qIN2gbIFMu8iezex7WTkhejXvLGFZ27kN/f/KIP
VoX0Xr0o5xtjU3sN/rc8tOl0dNqBUfU4XGigYFuhYo9ncfACujXZEMazGE+QvTNqHHw2+8rNmPHX
gyVagxJcR65mu8epf2dLvLadlutKg7WOK6Zp7BuPXlGCG8oLOCJoSFtWc+j99J1tcS3u07i+4TDl
3/epYe85CqO4WDr9MGQwOFehDSGORzVPIfiYMHFUcGZA4OOSTu2NZFq0Ipa2NgaOH8u45+xRJ4Rv
PU8OKrPFGmg0uYpOmWfMcx0OfutLM9M5FFAsvpwt5JxcBKv7Fj50cQsj8EwbgrtKg4wK9Dwf10Ts
SHRUSbfJGt84j3YKl7+Q2OSK68j1num7UXv218C86iX2qPWuFOY+GtE7cvgm69qJAZBQcb42/F5C
Euo+z1V9hwx9PdXAL9ollQ8mGZWBc5a0SiyZNCiM8JQgDCLXAFIxY82q7JjhIUYo3s5Z7bBpmU4j
d+q6x+9Pe1HHGumIdsMG8G3wUnxwQEvs5lZ3FU5oOttwMhKpqLvnOhzKnd3rLUctrmRB7KUbYHRx
N5iXWfRyjwMNGWXmoWt31rGtBWZ7TMFMIOfBzdYNWjK8xngu3zW2gWwyjiOhk1w8snbeyyma+ERw
8zN35OTlA4BqOQ52TIvnuV6RTuaQGibERaHugvIo38quCu7SyOCH9J19M6Knuwy8nwDQ3npzQD9u
LSR5UHPXKccj3tYC6GejbGxc8C60rHnpY0HE0xfNRc3ynPnuKymoXZ2/dqLY953/BQdCzTE3mQir
zBQdFVgk0nItwG4DmRm+EIKGuW5kL3FjxNvGJqaES5upVsVYcPbRSmg8g5DKnBGmNwkNVq2XtEpv
25gFeq2YDmpmE7Z3U/SDZLIVuzVYpVyuxoFD+UATBf8RT/J6yKCHmnVDTImmhU1MTHts3HNdiDPR
a/jWmmZfnBD9DhUnOvHIcmBlCq/hCT01/ZVRze3eVhKokOfa7THJm/DWZ1XDPqhE60BHiZvYXy3J
w+7RsN0Cvyt4sIkqr2xs19AUkdpczggTy4fsExKtgWjkilTL5DD4bQnNTiZgRd9+U5n2su4qJEuJ
YrH6X9Hr/49H+NCpP39V6f/NNbQFTsB/G/h+UuP3r/nwWdEz+us/+JcgD8DQ8kyMD4jruAkWfuF/
UCiYrBZ4IVhmyb+EX/iXHi+DP5wAZDUeHSlcOmP/gzbkX5m+iR/RJpUiPc/6R0AUaS5y+zdyPFQV
D3ii7fE+UOS9gPf3rRzPyRaD1jDbx5z5NdZf61RTt/CltwfEhEjjNb8eKn90eWJ54tIFrrQu+Kc2
HEwR7bsYjDMChu/mx6wWDR4ek7o9jAzJ1s7RDXXHmkjbn/lAv0HKSmZhJo7D6F0kbP9MtyTil23V
5rBpSj22pM6Dkt33gPq0KvwlxjCtZZUdsjq6tkBnlBUbW+oD1n4UHMfK3Eba25kt/a58BJxPBy5x
ZEHsFq43M+bPio3Ki4eB/SdblyReZWHxGpEYSi3jUGDvJ5Rn7eq4e4vVeCJ0dDGCmToaugJi44Y8
0rbBKLZOOwRE00mOeHCCQ+oREO7H/iEykvw+D/1yhellJE6VbXMDsglMAQpHS55eaU+cSze4JpQQ
rO+4Gh4iRhQkA0tGoCuTJfOpK6z6LFBYrpMa2SoT8qPbluqQxyEADpYMvOfiTLmZ5qDnYkp2RHwa
Mqa0saTG3O9Ifi3Uk+Rh0mF9mpHzNz3TBoSMsFXvJDSKVULxybZvadOO8+JudIanyW9gNiX8qwhT
j9NWnwzyAYMQ57Rq9JmNRbmt5+DNyCy8W4Q+dh7pxaRznj3RPM59+Nrqt4wmCHeWh9JMrnJvZAqp
3cdZjXj4+idP5bd41d93Ot07I9dGM19ry/yS6OrFNPIlyUB/sOt89GwB2SSa953tVRslh2qH1e5C
l99Ezns6Zbl35ani3jHZsZfhXReUnIGqZ5iBdyBebg06RxzsKaVjXwx/JFYyHLmy7lXrXpK4OSXA
CLxG74V2HoJl++SMDDOnfdSot8YkcNJXW4PcYGehA5j+Jh+tC7noFzeN3hXgS4iv9uh2c7D1J+dO
2ADeiNrZ6RLC9G8TLACrENONLnDmWdbipftkmvOBJ+7BUR3OgVLdRWgt2PArVTC3N5DcvzRNafT7
khzSU9UIo73RLOz/O5UG/8fX5m9XWLKbi9n7v6/LBMrjJHr9bln+6w/9a0gq/2BmymLHXjz4aoD9
z6Js/mHj5woYn4LEd0DP/ntRtklkMz4lxB9YXyeovIu/rLE2iezAMS0epUSvv7Kt/smQ9AdIFc4Q
hg2LqX7xc9jmj8b6Rhu6a3IlzmVtD12zHiLY44fWGZJ9GINvRDqNp6K6Shf33VOiS2yM9RTDj1BB
7bx6oLUllS/kQIBOOylDfgRTm0jgOZINdq4gLOEgg09v1f6bb/oXFvbFCv/N04TaMd6wz1drLoUL
9Bl8/zTxFT2kIc65swUK/l7EJU03UD6upsEzL6Mxhfmfe4//SvSiH+inl7RNAe0WIYmiYb6z71+S
FdiqKVWOzq5LnLBDdscmRmPbPrVtePqrrDGag2hNCh3GJqAgi0ebZ1OF3ANLgsYjKhZ1BAngOB7f
CnCIft7LztW3fpl4YGDLXt/GeOQfcwLu895GeTqnwJtQGJMSXzI8kJaAddvgUHJ0X9I7gIqSEkoc
9H0+k3aVYnZekYxpyEo5fbD2x+EQ0ckcpsUGFZXt80jChuMevwhBtE71/S5kq3c9uYl8bOmwhotk
5c5raxUJ5chGwOmhq8Wl9auMvFSUTLC7kmBx9y7vHFRR3m6aOJKPQuAXWiWeWsjXbdp8MMjyQkhc
TPxaJj7ioCM5Q6PPzmu3kg1szLjgHX31FU9Lm+dT24D4Z0xkSPEo6QFVZ1nZnrzMEM2MnetNbv1e
Wn0Zn7pWcf1FKp/hwFOXfj+3pXw0LMY+71DZtPFCbQ/fXKI072fiTAMAsPZx7g5txh8KXYOXztlc
R0z5M96dTAegjpodBAdXqgXi2xAzpYs8VhZU2YwQONc4ypzXdIzC535yg+ehb/njwYjAv2kS9y7G
aTavmd/zJSUTAU0QvV1HQ9ZYDvXBns2ioMImgyXgJLDhwaTlzbjRTtfMyHy0Z+F/c6Q4R3NAo+q8
/CTeYroOmoTtxVhb1TmAOiBwlXYGGCU0/es4Guc73KAx/FBItQcrsoW/gQOCoK7aiZswDwTvsnW9
0dtUg8QQCsZskztgRUhk6+nRRfaARBdoDvFpaCsU1r56jVLGfhPMtGcD2/xlHOr81iLq/CpHWDKY
NW2fOUPpvZZRNryr6crWOKu4ZOMRRzfht86nTmnkGy/yMJtOkuev3jqVFzyTYFfdnUxmIprO4HHZ
DK3H1zsmhdvewDF1rJ1yIgYU66JvLDHDtvbjGVWBK1J+HAvNb5dYtT1+mdKJ/Cr/WKRfaj3q+6Qw
Meu7eY5+HXGNKEo/+3VMHv0R0go/T86w110ZGJgYAoxzXmxnr6o/8M1wc3lpyU2Z1RV4I4W4pN4T
fdL3bJ+5EQyQOxpyV73w4Uhlnx2JC52hrmoP0ZBW2Q66n77F/tIcaK+mzs9iYkLxR9XzKgyF2LAJ
7rZgi9rB94IeTlyAM151LgEWtI/ZjG73bPTe3FzRu2u0t5MOeCf5ZLH8zgU2b2Ris8ju6QZrDxpc
P2OxwbKO82CzQMxTwXdJCS3fpTYpVlgyvHwRtYlfISRWr3c2q0p8qhtP4hhbLuQMVQjt1EDg2LjD
clNQEMjfokeLNbS0iVsmPX7utS/82H2vc0SJmzQMWCj8SGTVR88aBaB/n65cPyduj1srSvUBz3Wb
vmD7GyM04z7qPlmh32XvWlYIEa91ODvtTVXAyOHkGTGU3Xp5ZIBJzgR/ExDb9KQaj9+8y1txSbvZ
0u98CnSzz45XSnyI9oQFb1uY2E5uCp4/M0WwffpVsJcMTFZUHpgmrC0LezVlkYBPjSQyXxLNADxJ
Ip8Zhxm8d4YeEvAsHrwh0uMaOat/mqrJANNEgRUXBiPNPoqPVh6EG4ypCfzUZAFTW2JyNrFXOAdD
jS7tdHbaGMm7KCbKuyPe4II1Q/cOcRoSeq5r33xWjKHWVmG+GCUcpY50Hy4Tji5JPGr/IDIZveUq
9D6ToMTFKFoCnLl71Y9tQ7wzbzUaED5kxxoYuPOQortFWfc+LucXYcfFTpZmFK49AHhs9r32Nohw
Snt11lBeTUUzW/4of5IpXr3AVN1uNmBdGIPW67KN5i0cpPpmyOfiyrEHKsAB1t2xrNcvjK7jh8Em
d+qZbK/bRuENnCj/MtMKZTGpkodIufkTgr+KdgwsyysATIKEcTOfciPIdr5lJ6uhGUsSHB6ERLax
1SMPnfp96RR1vEmZexFQN6t38CuWrxYz/sp3HYzHeDb0hSmVtYqSodhgelVfAJ3BIO9tXLxzGqF5
S8nsXXn2JjadEjb1xHZgo1oJQV0V1d7PGxCzaW5VR1jCchc54o7pSb03cUZuWj7j+zRr65GnFHan
cgJ6sJ0Kr780nR0+BDVWBkPNTD6NwCWga8ykIifXvRhx15xZsIHDl+V0RPeDfN4BmZ9U25K3IVTU
wHc50BbkPg44ctiq5+kZggmFhlRm5n8TVPxpM2dzSOd/gsWIGoGlAPbbA3ZTFZafLm1TmEywJ5Vh
vjZH+E4r2kGQhk1sqCF3+eH3G7EfMotsxDyPJIUvXXa6RAqXXdM3rVJ2iEkLEHpALJ1VNLETFoaa
4IL/5/niv+6/Fnng+w2f57lAXtkuI2KAav3+dYa4cnsFo+9kUwvDmmq2rNmlrj84OmTB+P2H+tWL
eabJgIMNMiDDH75KwT1sgIAITj7Fpduqwq6vYjfHEd0H29+/1M8bWXA/Pt+bz0j/58xnEwVeTd2N
e7LcSVxKBjKcYIN8rfyuOkPO9v/mKvnF6y2OTMFlwmzA8X9wRQrMSFWZF85p1nH4/OcjqIxNnhhO
qdiNYGXi6/39Z1y+ru9/Oz7cEuuUls2P9+NmfSoiuwvazmYgST8qeXuTzQ8LKk/gUkuegYjWPI+M
YuCfTdJA+h9fpIhfyFg+haRYsL9qU99cpMBO4SHmmXvqe/A14wh6SYux+tNO/F8v0Z9vBV7la1PI
ElvkZPL9JZqHcsQCr9xTBEmBNqkluuAzr/v9l/mrV+FASTuIG0DM+vE2dzuLtIDBZwkoit+49JOv
pUb7+f2r/OIyAapsLaFnbL4Yab//LFlTEERJKuckUdjg5sdcFMM0eno7hR3yXK0BiPz+JX9ev1jT
WU34WOCzeNnvX7JMBsgzuWufDMbw70Xvo2WbA1sRLIDBtvQXp7+rZi6R37/uzzc7UyQswviOF0vy
jx81kGMChsORpwyzxTakVuncEVLazKnrX/3+pX7xEQPX9UjDcqtz5Jfff0SPwTYvVciTbpnuT4Wo
zrNisJjbXDDZcoLTy1Xz+xf91eejiZbZh+m4rmP98KKDmUBUDFxxApHVHsrCXmrA/HjPQedv73Tx
83UToE44tm0zkvZ/vtPIkvsm68lpblUAyl2ggK0cz8zv62FuLxX2QlBoE9tkRFhOFey11GVoBh3u
bNKtHC4q5xUgPvnGWKFw+XOZx7d+5kJ++v3X8qt3ivQhQTVQCinkcp99syYAjRgJZ4Zc4YRirXUS
JvWHdImYrYbUXkIlAdv637/kIuv/sBAGpsddxeM58C3fW97TN68ZUYgrQ55xJ8M32OsCMeX8QJyv
++S38MwwT4bL9Z4m4tL0efNhGJxZbKwk0PeNkg3IoIis8I5dEtmvCVvMP77rg2VMwLUiQJab8oe7
3mxUPA8+d30x+2y6TSclQUuAVeULyZlEz9/JOD9dm64Fcob5B/sH3wa//v0X0iRq2fRP8wlknv2q
zJTp9NSUXKa65jT++6//Vy+GbmSZCDQsNT8+BfxZBiZNjdNJR1rfpiWUA1P5nHIcs+aU9PsX++mn
5pP5PjKdaS1PvB9hhkVmCLAZ5nRyQ4eDZZR0XFnciJwSf/9CktLT7y8ql+Vy2Tw4fDiCGD9cyLkV
JxroxsgOoo3VrckZjio+EF3ZU8jsT53rdEAJsSPbv4rHuNCcSDyrXTX58hhEgb+PkwydwBg5LK2V
mGEkem17MA0XKQvVywIWuKgfY5NxOB5lNN12ZRWQhvr9J/n593EE2zsE04BE7c/4i3Lya69Q6kSM
zd+MkGfPuLaSfWRO/3jX5UJzpYZ0GZUJz/pxze8iU3aDjttTCzLg6MuUz98Q9t5CUKnOdqn/Vj9c
nl7f7IHAH7AeUmbL/wtgBD/+Spi0LdG0jn1yG21/dl05nFo7DJ6/CiKup1B1IH85Tzgh5N+sdGDl
f3xxbi/LBX7gmEvLkmN9f5vZedglNongkxAoSTPgOSBQaj+5uOokgILQf6MYKrMpFWTYDm254g60
2ig5ACUrMWtQXnRv9gUq4gzKd0mQeMvBguYGSvI8rqO2cBUlY/z9t143GSV/E5GzQ2BEGQA2mJTV
nUMV/DPjKx53Bg+DPZUCoj4N7VQvln6lb51RI42pMEP3yxCOYFs3A3B3Pxplds1IJqNASWQMlVAb
Lq3bGXttJ+5tNQljBjpHWysqdkmZlofRHF4z5Spr5TnMYWK7ra+6jKavtQekfNxUMLU4QM/JafST
pRs2d4CH94y6ibD1TeJ0aN/mMFav1pxCccB0lSIe9bXIxaex9TNEcQP3xTrQ9SKGArKObwdQ/9F2
wUlVR/waiN5BSynswR0g567LZubfzo331+ZzyEKUF7wtPGyamnstxvw4fUEtx/sBia7l4D61cN6P
kW/o+1oTib0lm57jeYuaobtTluIHkbXH3V2Jos7IgZs8L0h2wFXDGqTvM1P6V5HrVtm9Vwv1CZIh
n2K0Umf+bLllb1+3jVikqDHnZ9Zmwh/kozuvTNEQJWtINcE2k6l9NfBtDigaJNV3MOIyvXNxoxQb
dBCUqw4fs7v3AflZW6w1/I0k3EPxNo9WeWx02hsPukp46SabeWoFJkkXMNu5peRNiaGquwcQFqtN
xuUS33JehduKz2Ss14YBO2EYyAdlm74bCAnRcjpuXMkS7swRV1AJ/wqsmzcm3pU9hGI8xtrA4tJp
MSQX8h9oWn7d00Kgc86w4D0CVMaIls/2UZQOvEIf9gKApNh36YJIWp4NX/cBaPZcfXPkIjXEboVu
xgjdms4hQojfoLZV+kvQzZgp5gH+61cJzsl73owVa/Fop9J5TcI4JnzdqxFD9tfbysWlwxXKPTN6
Vuq/lk6C9DY6k3gUZJOTA2ov2rzsFktJ6zpcRY3vcjKLc4fvVapFM7dS1b9NSTUOO52gw/85mmGW
/xo61rKRgMGJHgde6rUQ6aLEtsjzq5rKzoMWFKqtvz7+PLdHZIzRrrwrx2MeQdtbghOr8jNTnYsg
4jYtaoNJQz7ZfLH/w92Z9batpWv6rzT6nrs5D8DpcyGJEiV5ki3bSW4IO3E4z4vjr++Hrn02ElnH
QgromwNUbaAK2aFILq7h+973eUnm1DUiEtQgOuC65ocoNBWxXqRqc59PSjV8a9GmQWMkFDdJ7u3C
GdprY0DpY8Yxik+UyNH4Zkt0MtzYrvCPjEpJFTgc2RtrfH+9lbEe0wYg6CmkXMFYIQPBn5WRQrOe
2ZgngpCJWhSltiBDqETT5vtTRm1eSmEzpnVDtX5MKUquqaBNNiWJGBxvJsvDrBKIQI1RIJvaLv7/
1AH9H4ehZiHV2bd90id9ifK3Xzurf/8bfzdJTfMv+px0QDXVMG0MoGxg/lauWMqsQaGqZLBK/0vT
8l9GUusviheWals0Su334M1/eqTaX7CDYP5YMjUOnR7hn2CpTzYlOs47h1Vb1tmwc0g67fqNSFo0
FrTJQ/PHNsQYr0lP+OVp3P1rE/C/8A7eFVEumv/7vz9eAgYXJ3lA2vxk9kC/r85+36ZSoDqT1/ka
yi17pgdQ/+SR/vPM/42rzL/il7NH7TvDYIRcxcq/NdK3YngTxoU976UbOTne4A7UCa3mEu10sOTD
iBZ0ev38Lk5ObbpNz3feGlKTowainp6gzAGYaQdk1et1puCOwK5lVBaHLKs2JNpnF3ZOH27o/Wrv
jmToVczzvz8zazAGQL4WxZwioKre8I8oowaSBuWl6u25S4Fgtxwbzo+hqyfVD7kxy0EdFG4stIPj
EOu4cKG5XMuiSy7ssy1+9a9b0fkZUqulGDcbrpER/H5XSgI5GIYoWzzkyVdJKhLPRNRLvijCrCoY
sk3RBeOfjg0uCrwDvQGCMnb4Jxc1IprPUkG0AuVFY6Hq/MMkAQaJFf/4fIygnPhwfyrnScsi4NHU
P9DtNKmcylKCUzKGdFJSn0wDqbLjbaLKbOTSurorR+gkdAPD6zYdhgvXn0fF6fNFcMe0NcMK1dOt
/hjoJQXVoPHsTBpcPH5kCFb94+c3eXqemF8iB0uO6/I8RZ4C8wYF749w1NoTolI2Vh/iXA4sjeRL
FUHQRIUFWpAzuEWd1evPL31u/FAzwQ1EULFDWen38YOkZVACVau9mLgHt9QMVuR4huHPaqNqoQUh
1ogQoMjnl+Xk/PHrJx6AEqGqsihg+T/5HucslzjAC+MZUl5/LywTA00k96pr9cw6hp+kGOdwJcsp
JiDkvySyNBqvIB6UDSzofgPltX5SaSUry2iCEFsL66AaWUcrrxv6K4eErXXh1/JKE5hRSLnyHyJZ
nSn6WRvjbLcHWsRWvG/MzlraRfkts0sAmHbjpoXSeS1GFYjUoLol+OfkgVvhdVqCfEkqaEFmRKfX
rNt4G8qptcdbY36VMgvVV2iM4bVcSeY+DdJxOeFgdWH7d3sRZC0DdRDpagI4ftU6uF0ID0tXYRli
K7Wq76aakcgYZYB9papbNTQAN7raXIF5FY9DPuqH3ieVka5y6hZaHc/5t3DnWkVfNwlzqIVW+tqW
k8yNNez4TELdvWaB89QTW1yhYh5d8FKk1uF3VK59X2MpRNm8DAAKHfy46787IhsP3aS1aCF9RARW
F3O9aHrr0bh8Ccu2jleZk06PZs/RdNVPyltds0VfGo0ufkqVPtAPjlPx5CATCdeDKfRD18n8RfMD
hjx4XYwG4OBMwMgyR1KEs9IXcNl8jeapHmSuDySrXPL70HEawoKSEEs3caC/iQbXUD+KGZYwPOqT
+ubkjgGT3oBr0krRFw4y8VYeKx5JHfIh5b3+NkF14sjYVxM5NswYNNV4CYY/iadW5u/LBn4HiLlk
lzlG8xTNQx8jlbXP7Da8LrPeR+pSKxs2/eGB9iRo5lzrVk4NZ6JXbXlDfDztaBacgICo0XdtMGjx
ckqpeBuQX71JMbmAOpnLqorFpkef6hFk1z0kxdQ+CHgxy6l2GgYGJxcIzGOxkNFY7Cg5IhYEy+12
1NhvbYfHCbdC8VdZXaor8HzWjeidON7Gqpmxa6+iCtl3BFSPjblyr2N4O4zBHDyIcGFYzNSYW2T6
8SYMAnmj6LX/ioNCcxglkn+j9g52ArIMrBbZZt6Cu/b1WxIi1BWSfhMtTaDvSNgiMRvw3z2coW5r
OqV550uatGnKULuzlCy46nXjCS7QdBAW2ljirDsZ/URlqqACgJG3uAyHJcmp/qsY5oSvsgfJowGA
2hRjaP/U48T+KQW+WDa04vc1na/X0JEVFxqzriyo0smuBNlq4RfO/Dx8OSHVfBogWDQ8yaYbUjcM
StlTGmX0oFSpV2kQ6Ed5SGC9jbYC+l8ylI1t5TW9Ob3/Yqt+9w1iWHiQs0r2ukhNzRUGiWgJD6PT
IBco9nclacSuytrsptWG/qXWtBz/TODcDsqkHVNHkEHRNGTUDRW8yPeqmga+ax2UtX3HOS1/IcKx
P8CDpFYO3+BmaCrzShms8bqpHGOflHMwemV0S8LCzIdy1OyVmMbJq4DQd0sqQVyAIxqTV6r64oAi
F/7xJJODi/bMNFYRRZl15/cyiUAm5Y4wLcKHqu5iGHFm4ykdk1AiZc2GoWGsBnSJGJvKZkOGD7nH
TQlAnA2l7rayXkFKN8kgDosqPE509IJF0KX8nYYfghRwyCNUrXza8WuDo6oU025MxmpvxCpUIMPH
3B3TGYwXRhY7W5vDwppIenNFqJ+zNRqnWKM1w50tB9KGTlSUcQMaYwLwFfwERxauPNb1VqplzLrY
2sa1H/pE1Puokl1VxuTZ+YLnMBRscNTcHu5yNgGvfSVIviy65JAWur0JYwIVBLPAtyhyJrfoLMsT
qMLeLJnQFhxrxl7NlXzTU8iwyayOy5eGTLtXYeXNSDsz8n8Cg06fxmbobx0O2bv3P67mpoG3FePF
SGo2VlLD6m/7KR7gpkGs7ygljS5jmPCYUZDIAT8Sq9F8SQCWBNyYjY6dblSJndFSMWdqiubZwhi5
6oyQP6rXmoSpzRyv8zKIqQ8E6v1cwPwa62Hx1EUZ8WVOm29wnvtwmhWZtVomvZjEu6U8tMnOLNoX
Mk7Eln6FnSyCNjZWtp8Q4tXPGU9j3d04AszDIg8Nya1xGl+DJ+yuFWk26I5KMaAGA8dBkUWhEIiT
GP2O3WU7tIskp1uFKVpICNME/qXkB8uDOXlOBLhZoRz1RTTddIh0xPOLMrNpQ5MSzX7GpFyBn5bL
EsuGpmGC/6nUUBcKq5KOZWT2qK8HXr2tTYRwUdDetpTCfzgKfzpJY/Mho3iy95XC2QRm06ywUJMw
UbHf3HAQxU8ONfSpxza9IYXdfHAqU3INvSbFTIh8EyTYqet5sWscBQJVDKe9Ny3J1ZTOWRYOaFTw
KsOdVo/6i5JVqZuXDHBSkRMSX32kkrIuXDj4+VvMGr5VG7k5gpKYnhhIwR34x+BWxK3zkMckVJo6
tLKoJmvHrjXzi+AsipkyUv2rtM/ZijdZDs3Ml4Y7tF3YWiW5e+tyX3qE4+MvJ0H6y8qWzL/fUyIG
/+dIickddA3qnY5+kyKTdAzQ4d2h4Rt3caq2rmQM0de8beDeFt2wluTWeNaI2X7uakl/jo1yvGGl
Mte4g6TVGEXSCvZ/iLILFMJE2+a+CLPchcuVubN0/+b9qQuD+kvR2ESyJfIaZQwBHrD496jcFErs
JB+gsOtnyZW8HoxC3lsVAJF8polmo9DcssJXPtSyzkcMjnbXEkt/69tKsFUyYnuW72OZ7tR0cCQd
QAXFif1kR8ON1eTIwVIrgPMkumpBvF9yK1dxtiX3x/ziECC0Eb6sG1gRWAzlSef1TxgFkoa0KaVq
nGXQo8hbymMSMgUqyn0oRa91QiINk8K4VUs/vyWLc1rRFyf1fmzK8UkeCsNY5FMf41AfCWpV6CqB
rI6xGVrxrUZE05oaOwEgbWbsgQQNdwr8AWzf5XALzIalG9uo2FjgLzUYtRllThXENYADEphc1qZu
C4dx6nE2NuV1L9KcgGArL47kpOfrlgmHPVBuNXtFV8VtFcAPrFuzA1+TTteghMmE899tddDkFlWS
S8dGxhyytLOOHbMOyyHtmDbkoOHTFAbuR8y3ECXsjvIzWJp8I5Q8fZJbhlNWTmyrnUh5lQN9vNaz
qkEY28uvIx6jluJaoWHlb/DfN3yYESIJVCbIU0GNWzuz10ccJCMenlHtgP+PXUlojIN4eSE6WLkL
5GzTgao13zxC3oIDKf/jCLeDwEfK6N1VS07scsbq3sWaQrW/mCrfa5RY30SyNm1j2zfJPIo28x3d
zlqv5eQY4Q0cYriPbZQ9EGZLqdwmvmMqiVHnbA+OSjNACY00n5DD5tWD1mlQ15NI2gd+d9eWI9nJ
ekWcbCy92ZWwiOwlw7IF55DGo3/FbZDqIFMxXSBCq9e2XfduQQd7g1iwg+fji71OC7BdppVsuewQ
kV9ORrYUoKRVJBYweM3su5VL35vJuIVQqa3Vgchy9m3V1g4tAiCm6NgXIUAuGwwHsxUGRalbkupG
UA2ZyGtolF8k+jVLEWvYDykf+ytCv4JFotViJduCNCEDvmBq4VqEUAB/ZNHShmbGzq+H0r8u8zBY
Jh0xRmaUQuUsgHtupikOvwVtZ3jJoKRocNuBQBGYPA8lcDKgEAH9YgzC4T6MzfIuJ7DoC+2e2ZQ6
gr2RyvZ72Vnmg6WQVbFK4XVs245WL/V34FFghjwpJMt2VQSVfqfb9XSHerN+KIMoQY3YWuNyGGYi
50QyzADCC3hiCBnRmeI1DiaqcXIa7YJYIUVYEdWrU0/ZXgHs4CF2NBxK6kUA3Gdt441M9k3+yvae
NCqO49eK0wp5WatGceiqGKSAWrT9nU9BfytGAKsxrYi1sInrULOMKOSE8DQU1DVvcTX4xqse6hj2
OyS+tzoEnkNuiGLdRmP91azZX+HwD9Wb0XbE1yQNrV0Cz+LZHy3ZxwrRak/yvEKaNGwWMnGU3pDn
7T6MbEDJWSOec6EZHraMfpcaQbfHy5B8F+SGh9hIebkg2/27ziqzH1ljyQDlFPrmTVygo/dLa4eK
VL+CCk11ReKAvRg7QnZApOitO0pCf9RyGM6JbxDQFGFdvymk8S3pLPuLSv/MlZ3JXgZBOq2NJo2X
cQeXlT3exFIYZmG7aKWB1gtxp/s4TmMvLruUMHPaIauU1XY3cqpYFUCtsAbbq4CYbeRk2RH89ReK
7xS0mOUX1GztVe6MHIqV8rnWYm2VmCnVC7ywVQs6w4Fv5ZjZsUhwnogpVbfge9lKuUE2+oG21JPS
biVPa3op8zgumdLbKNK2XPS1sVVa034irjVfcO60N5xi4LNJkf+YapKgJWild2wV45dB0YrHuEqq
L2VbDtamlGjALCIfpf2mK4CYL5KELY0uifyga0pPI7GIhm9JTeN20dY93CG1fQt6PGAtld2rgfSJ
vcbO9jtuO7zGCFVXppTcTAWW/EWjSelGJBbmCl7VVdKVfbhwqlLcUAgMbkiexUKuA0dzsXdW10C8
SJWqYxWGm/VD5ADQW9Y0Z9FaagLbQEw7pwCxmcgUGfQgDZ+GutFYuIhfVfLMPzRYBV4pg33T46b/
poN1nloV3a5l4jKX8l7ZxNXEzF5KGmChNn1A4N7PqGUwIwZBdORhEYVthq28xmTQ4rkOdU+yC30T
Em96pSbmyORSt6TXZg5n0xjpMggpBA7MhAtDk4K1jV/yyFGH9SRwsm9+ZsmEUzvP+qD3exl79oa/
RYUfUokHPdJ/kI9d33YUtV4DOHTrLumJFm20Mb52nKnfYBDgiRW2jQQmnsHADg9F861nqwv1Y9QV
kJ7biA+2BgIA1qxbjlDu0OwaJMSH6h1nkKdZvX07lJO5qyqwZqIXJszD3H8pHBpiad3blAkhkoEn
mIgWkTjFqITregReVUu4QjktriZghwvPKMsEyYBjdvAjybyzYD6uzJj2oRJ22k8lwLZZwDR36zYK
diju21s4ceFVCi/9QSeqJAd/OvlS+zUm3coP6cVnTLduV2rlahKDfPD91vTSvmzJoUmKzdhp6YNg
xp0RG6XrOJ28qdOWuGI43IM1y0eDYtyIvv4WOrnlxdDrlj0bwR0TKf5Tzemu2MpZu17PgpsmqBL2
v0X+swWZB9tElK9aFZdfEZ22FUcA8hNfCzww8l4pW39v9368olrSM9ga9diClAPVgZbOIVMdAfWy
gGuGpxcot7HGXjtxNAtr5yYf6/SYZ3TUcfqSthCBFi8pYR1NtQGzSTqOPLFVqSut3slT/x0fT0YM
kJot2VRxSKo6YMkki20RhCsuxwlPQomw4/s3vhDr85QF7I11vwg8doXpinLH90aN2hWJhcQExKyv
Y9970KZeLI4gQzxdGbUM5SMlbs6iTCS1tvJdJwxgrxcgKc1Ko5BCVsRt4CteB8DzZ2hqxh3KA/XQ
DM5PlBvSE2lGzaOqWnW4MpqiwmNVD/6qsRXit3Oj2Mi0PF01wqFsigCeDo2hm88LoR+roJR+kaCh
06IUaionag6tcTACRNRfCb1Od0rWPZoO5/7A5HTrWBTyP7/cuc6ERrNlNtyhDDvVD6JDkBWJsETP
aoRxrNRqwwlgcCva4BfaLcpcOT6tnGsIvJHHAH/7oNBypunvojbClP47mhhKXKPf/hjQyIGbT5Vr
6kryxrQn+SX05xNlTz3u89s9V71HuoVKU9dUnH4njZjE0gQ6Dbn2CEXQDzihKOkF1Ek/v8q5h8or
nGvYKIw+SKL1wddbPaMH894OAdZEPdIh/0/R4/LC+zt3Q1hNOQgR8EuLcf4pvzT+EpyC3YjyFN1z
la4QWH4z7eLb57dz6Ron3R3kMqrJ10o0qCquJ0BWup0dPr/E2cHxrkxExg0771S+5zix3deqqL2S
Bewa/Ya6U4ucannXR19CiVZLlXfgbGpqrSW20K3t4yf//Ed8/PSIjzGoo/L9OZxfThoQulG2mlQ4
FcnuBFGJQpjLXkmqK8z4FVwCJ199fr2Pz5XrWbZDxDLGP+v024NZKttjqVVeBrRgr5vjwQoV68J8
8nEsavTQATVT3wHc/J4W9csAcUhVmzBFVmCRg5liAq+7KLsr2MSXRJFnrsRNzIQKFPKwIE6GidMQ
oTyOduExtRFWIDV7bbSOZR0/ff7YzrwmjLqqrPCumLn0uYP1yx2ZZZZoDhI1b4rAvaYvko0BKMmX
UfV3dtR/q/lXPzYbgdr+cqmT6YKDqulnJpdqO4fqXa4Hi6wHQbsYHGxUVZdPj6NBYxp/uI9TVqfE
J9eV/5WYAMIVJlVAcbPyjdpwls5qjSpYpk/JzrDjcidgHm4hA03XfspmUK9yJDKIwVw2V8JNVREL
UuHT4aYvWspYY4tFhbM2ebakKvwrJOu/vVH9VEP43sqkuC/zAaAOPu36pTMp2EGT6U1NKJ6dLJdv
lM6+xwkVvWRTC9I1xdBWp/7XGsvt2iLIkcaVuZ0zAyOD9oxSQWxU28fMZ3ckwNTmRXZf9vb15HO6
zIqE2JQEERCEMmtB0jExI0EPMKLuVGuH76pdDnqhezS4+pUQtgqrOIlXnOOtq0RHyxAnDrRU5uuV
E4BTswK4lqw+Dk9Lldg8To38avl9fmHROjPWVIKeUHCwZrHun4w1P+sgVtcjzyWWmqtOcbQtb33w
griOixlx23ufD+6PnV8UxRa57JiGcCycdn6rQsf3W2YFzFHCLSi6ZG4V1AD7tFJsfDsQV0SmyEc9
coILBpczny9tbeTTM1/mo/iiDsZOCluTiNNoHL90Zq98qyj6Hg3FjN/++Cbp8jIbceDhv6c9dJoj
bDrHNveyrqY02s0ueMrBZJbGeb01mySylw1dtnHRq1TuPr/4mftkX6WZNMSQSNBs/n36wJ0PI6zI
c6/xiWDBuHgMBnK97Ri8wZ9eCaYA3xPkRBkkjnEyIXIQbIICZamn2vbzOOb9SrXJ+akRXf/xMGW7
gWAKYRQyDNk8uaeyKYo26FpYkEoLIt6k+qLFt31vmMg5zR9/flso0tnf6MoZywlx8CUYCMCT9NY1
TyrHHPwNdhfCXrXkUjrkxw8QTT9bG0wLBl2t0+WrokGM8R7YySTpx1CTnglk/REP2jHozQt7kPlb
/n1/yqXQ55jcGnP+B1E/Uvsxl+jGamXqahRMnMJISZIHhjflHegtyJ6fP8nzV8QQhYxt/uhOlxe9
tGyQxYlXKd0uccoXxM5HrU6qRYshcRG26gWL0sexj01IxiQx7zq44smINBrOHQIAtCe17W5MO4+8
2NvIlC9c5uPGZr4MGhlcMOw+TpVVnS0PUcRfDW5RlY6SBVmkHFgRP396H6dKroLQeY4ZlDF9nAx6
iMFDHscKYQsax1qOe8s0bn9auXmIK0FXzZ6W2njJBvhBbY/r433imH2xmCxPPzU/m4SD/iXxHGOk
FJYCrV3mZQKSyKFVN+V0skgkh/QG6zsJcWw7IPcb2dqIoQq2Kc2kdc+2aBqN6p7Aa+Lgy5LNwbwt
IEDc2KONMR8dtTe9ALzdhTn+7IuxnfnwA4QGH9fvcx99yXAO7E49SlS5G49OvJMGih2fv5izowxd
JUZG2GIftpyZXrGMBEXq5cJKsep3npwoR9sSl3YtZz5Yw8HswRJkwnc/GQCGhXGprHImoqHU6Gb7
4XYw5WH9+d2cm4GwP6NHxGeB6uvDM5PVAQZegoKggbRtsUwNRgt/o0lfMZP9+S6aMyMyUZYMuD3y
6QnVFhEq6JBPdEz8H/Ozq2GPZLX//Pldnft4CFBB0s4T5MZOnt3QJJAPCz6eNDJscrkV6uy+8YOK
a7GuA8P+3qdlvEXFcskUdm7OQxEL4YjF9+Ohh/qJDAanS7wgUG9FLr3MNv8yfioJWGC63nx+m+cG
PMcelcHOsf+DWjDlHi2TZG+vDMpkk5mGdejxA60+v8qpMRLhKmdwHqbKcqQhcz6ZV51WHUCRV4ln
t738FIVysZZQHC982EkpBXqrf4wxZy/bQnS31ZgnMGotbRPaCLumkah5I4jLlVL5rZv2Nk3Zto0v
nW6Vs0/eUrT5y8QndLrxqf1GNjDesNoMOrVCUb0owimWSEuabWTZzy3RBSAlQiqZOQjvpO+aLVj+
b6j1gRWXYldCgdhSRXIW5iiBHwm5j88f5JlvjcYWW1BgB1g3TxfEFCBEHA1st0mo+VFOCoF7JYoq
P6WJPb58fq0zjwNqIR82hCmUsqenb1UZ4RDgw/cmX/khU3AgEUV+aUYguJaTxy6aYXFhh3Hmo4OU
qJjsaFixPuibuzodhzoouL3Y+AJ9TFqqtO4pZtbTQlPH6rGq+2pFS7bz/vxeSQlw5ooUG8TTmRLS
E5ojuyk8zmo3lQnd36zTA7LkYIH3+4lo00tUgHNvkkdLGUBVOP2e+r35VnrR6FXhSbgyl6NCCmEO
UPDQV07mZSYH6c/v8Myaww2yh4JpiXD1/Qv9pShAJqseRgWPdgD14qZ63a9kPH8rDVncv3MpB5uv
jR8T0d3JglBaYDCynCOa4hT5nZFWUHksYe4jDHIXpq9zY5RkdIYnLtC5Hvz7et2hi8knKgMeOcHH
NizeDKM6pmR9QFusDoQLiT8+HDGBYbpQMWqiIz/9AJWBgrvaTLk3qXCtZau/r9t6VVIHuHChMxMz
2mKZqB4qz9g45vf5y/sqpx4ZCCnEXhoYzzh2N/ZUHS8MCe3j/uC3a5zOylIMFlrnGqh6lYUeReWu
MRrjXm1Nf+GnPaigQMbA3tdg9YE0PhZ9baEYoGHT2gCAe6VFEpVHtHuIQyJeSlFcOOapF2mi3k26
Hh5UJwCxM3b+V7+U803WoNDgdEsSTRf4JOjaqLXl2cymECu7iOnh3U9OhuIiV5pkXWRNvZG7ync4
QA3BbZzK7A6LKFrkSVTfhoMVbpS6GbcpSO6bTguz6464Do90+mNUJM2SJ5yQAUPddBGiFvJQKOFs
7KfS9dvQQDGYzOwi0h7mwNj154/33NhkFbcUxolGn+JkbEL5qsRoMjbRCr5Ug3ixYXfrmrTGxejC
Vi3+jc+OPTebPcr3KONPrgc4O6+0YMw9UYVzzekG3+i2F/mFzevHkp9OrRSFP3sTynSnFAd9SEIN
X2buoSQ9lGVUIxyyv1fYrYvgmq406Vjqt6DOLxyZtPPXpUrLE+Vwfbohc8qsysC2UhMpxulLOMi4
hGpdOqB2l1OXxjlnHPJefVckXbVKc5RCUpszkVdqtzWQ+hpxL201uZXWCsF4Sx91GAOu3GD8oI3l
xK+G0nFQH9ADJdZEhIHA1Bl1xGEEiv+gJnoDj8EgzVvEOlE6Uxm4Mb8HRFf5hvBbuYvtdNqAYavW
OLr4/zOSnsNGxK4lEThTacalV3FuTp/5AZaDH4EXMj+yX+aISG6MLE+63JPFCzEAcxCDvEkUgP+f
j+Rzc9Ev1zndGHVllwEhIW3HNlJ5mVNvWGakmH1+kXMLogmMk74C/TZ4CL/fjFyRslkRLuHRdLKX
o0GumKw+F0mIsLYZL5jOzl6MeiVnFgd32+khwqyZjHISThHhgPmEE7Dp9HKNDAxBpYguPL5zE4FJ
2Z/VAsveh81vOo6aGSOlIDugPqiNZS4Vf3wGTf8mIsxboXnhSSrnxoXFKYkDLF4q67RPMzVlyvNl
nxYPaYjVQ1V29lT3W5Va/KrQpNDTy0qA4He0+0jGoj0GKJsJXCb3LLCTtUOw1aOFLwCNth8QFfH5
mz7785gQKSNRv8XH8/ubxnDfSEnINqevyjfNCZ5CtXtINZrJ/8Z1YMWidse99mFz0HQSsFZEOR4n
0ZJqjnjJRwnze1tfWEjPbVspTuFeg/Lk8J/fb0iDWGWAY808gXA8bNC59fmhBiQS28ptWlTHLHUu
FCrODeBfLnm6YY0nQrQKQ848qR82QVu8OWRJBb65q4vuwplDOzd+OZHSJGP7yFn45Cgselsvp8HK
mGbU8ZsIy58wUM0lmU42oeFxsJRKKVoCvs7J8J0Fx5Iyy7NqlD+kUD3rFFWe/cpuvFZFtoy1BbNB
KOoHQJ8kfeQpnEu/sdeD1dtPtsGsuTAJrVhkUjMAXJhLm4X6U+5VNO0AwYZSJkmgvcGTWLqCLV9k
d/0iG7XIbbNRfShRXrLYq8aF0XTuKTizU5cSB+P2tAGbpmXT5IiUvamcIN1NykLI+rNRGntqps8i
uoi6OveKZ3sGjkGLYuvpYy9jJQDTwGcSVY6EOKatSTjl9LvSiC31FwQNpk+ffzBnbpF1fXYbA2Rj
5z6P81/WE8ccbRKytdRLnEB3w3o0ZyzARLxn0TzHwCs8dEivn1/zXa9xUlVGewPuWeUT5Wh7MroC
iVggE3amZ2aTswz71nzQQ6Vb5tpo7AnwSJ9KNYPgpyPZetcp26FIn7J2Ei4BeM5G6nsksxd+1Md2
H6g2djccfjgzfTj7AuSfyP3gi24mHz0bWNk1qjS4rIDeSUUzSQMyDeRTRuo6QR0uR3oyyK91ZfX5
D9HOzJWzLxw5BpQgGm3q769ERhphZiLK8C3HGq2RWdwcael0QGCZG3tel7UVMZJEfBZEW6YUkRUp
o48KtKy767VeBtfoy19CCKlQFSb5C9vifBP2DClsE8kaZY+xQZf7NqLIZMruXN2MQxfBoL6qiSSF
/VBZLqzImUQCkDjRHhItH275bHGijHwIz6HdOrtUtr7K7ZhcOJifu386YHjQrblDf1o4otwWpw28
eDJ5kuEhxJ/rDeYQPUeKFK4/f9bnLoX6Eq0BbnSWjZMNCE2nqsrmZckpyF8pK3u29AxlsnPCNHj+
/Frv7+101M/VXwDkVBk/MBZzyUzbPos4HHSGby8EDWMcH5OubPyy6FY5Gbd7pZD9OzGo/Y2qSsFB
FSR86VpabspcrrfvP+j//Nbhbt5p6d8Br5J9FIqT//mfxwJZafYf87/zz5/5/d/4z/95+Aa0Fsw4
/6AEPsSP7Ekrab8n428Eh3/9S/+FuVf+gjn6D+OeYfU3v8EmXsRS5h7qOw0O8OQ/kHvN+QtHgqMg
J9DmhrLMluFvyL1mkgSO44gzAu1DiAjmnwAc3vEJvw00dCDz0k0BD4DDh1UEdlZY25Mf7GgikxU7
H+sOvRJMa63HeBFVlrPr5FeyXodtWek6RyIymu67ohNM9lm30Sql2sgikuULBQ6KiMxdv/80bs7A
v830Dyns1PSPsHQ0EtU2t1ZnlMWt4yTyLa7glt8AmS5ZKG3xECm6pLtRDdAmoF4MOqlhp+G0/g+b
E96hofdV1W45Wpn1PJVScDOGFVpePWyUr5xRhFm7aVdOCHlNicAJPHfybdYYBPysdBBKttcn/rQi
NisnQUpJez1Bkq9bSf0Yjl3gFYOUgUpxKGLd236TjivdajRODEkOHrVuFbdQx9gdaudYMYnWrev0
tnaHhbV9dIoyRZVdZd2CdlcaLNo+rl6zMZPvdV8jOrEDy0QwNcFf48LGC6DgRySEDOFLkSbrCNla
uohbTT/kqGOSPujXee0/Df7sA4ymeocWGJttqzXfIzmsb50MO4EZ44UJil1ZmM3RyiMMN84wbqym
FXsfF8lukDppFVkT4a6pE5s3la6NV3kQrqUoTkgHaZXiXtKdrzKQHZjRNM7Zg6VEf/kI7BeYpPpr
KSikA4ZsgsqtcGwg4nfDVWBND3IbpLf12IK8n9DhLkBDK2ihE0l/BUxDjnQZNijqDR2UlCZH5r1s
J+V9B6GRHaCd3RndZIXdUquV5FrL00Z7jFlcMRRIEflvlauPvkqmZ9ofKU0POPLAKwF/MzakpeXr
kmz2ZKnUnE4bJAC0Gi3FGzS/dOkxEoo3yZU7yOCo9UnAuq4C88BTr/bAwJBPW6m8Cyj97eaz6S4k
cT1Y+bmcfimF0hwLqyBIpFcs8n1bqXyommi60XIVyDn72R+BFZpr3ReVm1XcPfBlsUzHDvtlhEgO
iXOnr6eqHyqC2MrwJWHYU8+uhyXzfo3lKOjvZavrbxxVJ3C4b+hyIGDZYLxJXSEhx4bSSSMEc8R9
KLC8tPKEPKiOQoY0afb+uu+SBi1gpZtfDP6SpTSkKKttp3UNAP0vakCkNwkv4xs+QP+aZU5f2fhL
OAfqXY9xJja/Nuo41Usfhd1W7cy4XhW9NpLUisFzxBSA9HhhGVh2F2qVWeps9Efaj0JnXOHaDyac
mr50NPA0kjgmpWLrDLWyJyejMNyB57ilkFJjmAHbeBUkZr4nhfH/sXcmu5FjaZZ+l97TQfJyXPSG
tNlMZiaT5HJpQ8gld17O8/j09VEZkeWe2ZVAAJ1AdaM2kUAmFO5pJl7+9z/nfIdPj9D17Bt9jL+5
p+lz0s3Yy53AeM+IGltehHPzcR7KhapN5z3dMLT3mGYcbESB30l3ouXpkk5lMPvAZ9r2Viqwebbu
cG9TlmNSNldY+6Stn1w5zN/tfh7XwO+NvWvhTyI36marUlOKMyfh8NLLyaFzzLEm1ctCekNXrBmT
JRqXDxN9YbVN8Nl2yWlU9QjhnIV7fxZZiRFJm1nokcfDf6b1tJeepsJul3oHOnKK0CrMVcMhkvlx
4KQXEzx77fURCl+TGsO9VVO2gIkCDIM35U16MXgwYA06LD8wgRXKpm40StLLerbOFsfBkUEljTzK
7LKvQZtXt6gTbUHZpy7uAhrhTtQ9F83KFpV6iZy4eLQLXUlXWhcZK7Xgf7f4HXWJs040HMGivxt0
KanqG5InmtXyR8dsNT+cugzYwJCsOZ45fM0mSd7jsFVyuAMRCTRF1NYVZHKqfMNySq5xrCr3pgvC
C2tbhXvsEee26g3QfvdHPYvqgAtmeAkdmfo9kseNVVW1Gwtc/4ql1IRvC7lTCR2rHjtM4yjdPt7Y
Q18/mKJgGgs0S96zP2It1GfRzaZTXNs1dRNeWaGXJYyGluprnRz9azGpeeYZGnGvbT3F6TqwuuQN
vl2lwcMnvwsIi21fqA2m9FD4EkJvUysvVMIoCbUMDX9cGrb9T85390YCathUttW8WiDdU7q21flk
cDZv4knE+zrRsd8OZrXmbBj3NGEH3/qk1/gHv3Sc8zzkCclTilihT3u0KCu+q2Z67sdmZZ+00HRh
ek+6TDy10aqDOw5RsKeSpju2jkVcn6+NAIo8ZmqNl68T/J/sNXsNlfs9FuqwWm7oflKN4mukteU+
Lm376gqp8adm7zrhTn4RzUTQfFSe4oCjfzbTUzg5wfvYFFR3dtTDmsroh1qmrByVjEVZGvF5gv6z
NQqFxpt5HmHV8aADlIic4Wx2Om3ReocoKEkKdTX/iBxVeSU2Xd3XuhiPhlkZkLxLmb8Yptu/E+KA
bChMe1VnBZWdzCXfqRBcOhQqk2DTZEccHbHdO+tJBvLUFES0PF6n1Nw4Fe29ppA0f9LIbBO7n5TJ
WA1Z7YrNVCsRDdVzp361YuLL68qqku9Ga4cJ0KocG3RohHqwiqHuzzTrtkBAiRYNb3nzubFNaE33
u16tX6JGJl9hcPF1yTfFiPuLohrJbVKth4To2zaOM3gbwqjt2c8bKe6AFVqEuhi8LgFVpXtGrOJ1
KoJ203YKabBW5fsKCGMUPCxx/irMKuPfGfUfOhHOtYoesbxE6+zOqRrtRF6M43hsJppj556sFXOX
Xnqp05LGYcGVvIG/J1xI8InA1lL4HLslW6ZAQZYZHNIAgmoyCQEEp+daKarsNki1BTwcT/e4kqMH
ErUqRcmNJoj0pTrx3Ka5he7Ay9p0zDtpYiAl1Kvrp4jshblyx6ZpfDpPBJmgzAjXbkqIKkCoeR/i
sfrukOPCpDor7sE2IH4wYJp6TR840OpJm1vDq4d63jsxJmESTJ11ajPCx14ZpdR7jpSKwGCJ4/5U
Ud5DiI1zJPbr3LBMn/GkftZje1Lue2FQqNzx0r/nqSUOrPI7EOA/S60DXSC8CRCv8mqXVHyeq3EA
gMCr1WD+KlLhPIyjxt6zsimXM+LJOqJdcdBKV5Rbp7DS+K4mW41MFdjZOQaQ8LXW3eqmicF+rQIn
3hYWDlNCsYnyTkGbcoAsWOXbqqnpnlTCjKCh1GZeGZUtu22UldpV5/6VHZwyckEt2uVPN1cxwqQq
vvySmgKW6EWvEPDqLHU1dpUU7dEiGFz8oSL+z7XucSp//O//9fbBFXlFYW8dvbe/3dC4QrHd+q+v
dftiwA7B3S5qp88myr/9wB9XOlf9wraBuxupkV+rJK0vFolK7lNQVPDI/nKhM8QXE6cdXHMaE7ge
LtuDP1vL1C/Cwt7q4FXCjL/81F9oLcOW8/u1CV0d/znLKcFiW2c3tai6v2zppqxt+9yOnINaZeNR
iZuSgmE9uY0Isx/0uc/7IWgN+EEkaMkpgo88C5HVLwx5DX09dqNctdBWcTaUU09fT0sNzqwHxrGK
xvFdtlEc7otKVESOyesqfgXJZtNpdNQEY2p/ncx2uGcXSXa+nig3Okh0r4++n8xTX3XOVzkWMe+L
tHYyr8X7Nq0AyBL4FpBJXSPa92afrmMpqo41r2si5WbC+mD/nP7IVXsfYrU/x+7Ys1KtjFtCTHBe
dX0Z/GzFnF1Cpb+j7BWM+pRH8csciOrNCML+eQwZrvSpofZbiJJeqtCsKq8e7Wtp9Qx54ySaa2yG
491s1xoF4LUx/bQzRbkv8niglqEnGogdM9hbuE5BVpNpA/pdCOOkS3RyTCgznZcjy8Y3pD90eSto
1mYfyBeN/eDoCydztg0RAhpmMit9oIdFXjqz25sFtWm7aEjDLRtv50Cupt+qBZa81ZxlkDpoZIy2
DH+p7U2TBF1WwK2ZMZ7kGhW6RuF+TJo6QnhyajLPMu27o0WhhK8HSXXogmQZnjWLOkymSnL2o3us
Z7B5Jkdd7qlu6ZyNqXCjTYA379bbGfmdSRa7RFGb71Khl8h3IwQ+38DE9FClQ3vQbEfxC33kw3FT
EAtKmacXzSbz5jnhHOOInYrOD027/4b6OnkWAV3nqMmCmOpS/TR6QchigVtY0K7CDDxEyu78QhK0
9qMxqibWp2UFPWEEdKryfB/aOBPSs+QYXp22/AmJferQG+YqWmEUK34OYZLydqOxamD4nNv3vBaW
sguYpr8GmKL2vcir9Qx6QuzL3OrfSjCcV4w8/aooc3NDMh7rQkzx6kYrXF5+Y6QNl7ltwvgr+Ktg
7OGKOFGRrrVZaSFSQM+94UOV10x3Yc1/8O3qg+HDnIn4bEcjl+Qd1JnoQ3RWLTsLziFgohWlBmBh
iSu/DOZgAXvQ9KfQ4c8IGhqJ0/nBaEY65HJg1X6raWi3Qa6VG0ofwPrwhPo926TD1BpsZrMk4/EG
bDBBrCjDZPCgpYG8cY1i3ahl5letFmximUyewl1jHbEX8epQZLQPaUfuQKDDVM0G/GPcVMMlUKua
p7k0An9Sa5W7cD7trLHic+/GscyYUynXzqlep4c0r1RK0YrJWjVNJ7iSB+4miuf2oGc1iRbe/3tB
O9epE3O0Gqos2VZm19GpnM3V0Wqq7qDHXXabtNzgtlBY5taK8/amuM39LHkwE+7TsyOeNIVjIHUS
KgAKYxVblvSKKG4elU5Pz+kwUlCfV1BwRlN7qI2EU8vJGKHdxnA9FbKdHyS6pBs3dPxeN1qv75Kr
MPKvrlEzps882EohdnEb3iwrl+sMvcqnOpzJO1Jpsh+b1NlxqaL6LrGWT7sYHjGnyZXaT+7eLox5
Dd2q38JI12/WksDgeGKqNAjb0wNBr5npmst82QD6ZX+1hvY8nqbMnJ9FahjkdIGJyIS03Ihv8GB3
rf1IRqE7loOVklcNG84Uu+Ds8CIzUN7VmdvQYjmbL3C6+OTyML6yu0p/JGHp7Ao8NbsOs9pp0BTw
hmETjptAnzufmDxUI2rjfAAS1ZlWbepX6sw5JrX+hlI8EZ2KwCVjz/a4ugPnaXqob1CwF0ibTNbB
zMbFpwqeT1sXMQ+qo7jue0TlIZ+56DFQQA8efdBS+SkyZXOJG2f46FWoSH2eQEpudXWtwtRAqrE7
LqxO9q0isn6VbVhOfsjX/y12zI1udsrZTMb8ovVdBKw4VB+BZ6Y/m8loX2wtNB7okM3vK3oVGSEr
dZOWRnfXz62zj1Wjgd6XKFxJHR0GFpGE7iEyRHFwKMx4Ew2/0uzxh9OoV4jZWtnsRuhll6YxqcDl
QsVTNUwP3HMoXssULToDFmhPqhv0J+7nwU6VZuz3cZOwBXQ4MtPwQpl3vIsCJboqSWc7XtI7Nndj
Ea5E3Oq6x8w/w1ws5SZL4uwMDi14kjBxpJeVZvM6RXqUeLPSRyedLc2u0QPAIbM2fs/aLvFnUc6P
UFd0H7CdzVIuJYfo2VXzVAF+P80yGE6sFmBmpJa6mC4reTOtTnvQw17fzAW22GnAaORbXF+fy6ps
rmIGzSSbgjsDB1O1440+vsmkSh+FZH3pdZY2rgcqHX2iCbCw+a08wJS+b0H4xEuCVGvbb2pluWyp
JmJOifptUkLsBAUgkugZwGmAr66lkoo3UaJCBJ4L2dOILrps3WlWtZpEjx+sVMf5w2l7aw15Kffr
mu4yD28zSLm6HgIvlFO3HdTscRjHagvoKlzzSxqAfWnSVYc/414ABVtBNzx0oVKuKqv+w0z+P/Px
/2E+Rjr8Zd5dhAd1EWP/6xn5rsjbsMh+1L+LH3//yT+GZdv6gveBRiY2/PzHp8zxJ8Ha/kIVlAG7
5PO/19FG/iBYI4AQWoJkvGRtLPDWvwggDkRsqCJEjBfAKzbSvzIva59x119lBhebMgZbXReM7iCm
F539l3l5biwYUEJRd21mhdxroYCarC8LuS0rjGIDSU2oLeuxZ79tQTXzDeoq4AMWWehprHfzE8m3
eqO375Xc1VP6tTdVGv2aAY06oYSKAj7HFK+DNqfbqWAFbRQ2c3ZuGH5Aq2sbhtY6FMUJw8JTaNjT
JqmzV1Ur7poyPOTheBwm4zCzsAxbcC22oh+LqjOYyfqnTs+HpRc0WHUND+Ncy3NrTL2HXz7z6Jr9
WefxJkanBtwgPubM+sj4lnBjDmt2kLlvtFSJwPFvfD3SLl3Xh/tANHdUrSt30zL4hXQVekaaHU2r
yHx3UF0+i/aHVqA1y2LILujSJ2UMESLG/FszTsoqy8Nvk0G+LFaTVRx3a6k5J64/1zAb18Aozw5v
PvooIugVZfVkdegqMmS6UEwuEJCHgjrNNlkWapsyaXNwJVFxJCrVRvAZA+hb9zFnyqWg55CtU88o
klymyn6fNcHBkoXyWOSS4KOS25vGaNMLF7V9hf3F52Va+HUv4f07jqw8jVv4VjGVlqg6IKkZmJjT
T842wnsKxsY2WSQo9Ec8UiWKxjOXfps672lXxbvZhJWZpr2ym3Inf0jryT7gVAh8q1ZO7FnOim68
06pJo60QP2oMqcbAkdyMp8y0xw0MkGRDr8ODYjP50xHhK4lmrVXFueeBCHynD+V2Zp8D9DxwdvkC
WJurDqawMon1v0XZ/W9eTf5Ph9fyQP+rw2tb/wjDfzzx/vZDf17yDeRZLBXcpTGVmuSw/q7cusYX
GBhwB/6JvC/0L1SYET7WuHgvcAJ+6E/hVudIWyD2KiO6zQn2184t8x9cZZx/bLlw8i4hJCwQn43c
v5xbqdm3FG/m6cFxUDp0Y6dF0A6NXabTxukk+yqEyheW24gWyrOOTobPr1jpIk/8RlP8RDh+FkWM
PdRwh0PKZQWjAeiyHuXIucyxtsZu8n1khqRoBcBWENTAekBRVQYPmqodRt3Z9DbRevvS2vqBT/Bg
dsZqrPjJlFkLclF80YFaUQsQ9HiOh4OM2mMERRrJYk8Baq5uZ6WhCBmWb/69Te37pKHmOe5U6HXt
uhbhzzhn5K8SzoaFczcpFWrQsK/VntvaiGFlTbqeFbhNut+Dc8SgPMlo0yW7yDGhNz+HUbGVVfeY
Mr0OycKvvgXOrR5eiU97tpNt8vFxqO9Izng5gW0RM2jvGHL9YdFtYWSONVgBR7uzQU+X03s//1C1
cgsYrMz7S95cw/yFdqC7zvkptfKuxwrfuvqxF6+qjjTKwE0L9EZCMDb6bwb1HaHTr8g07gMtBNHJ
RtvJnoOIdQrGdTxDfACsP4bY2gJZrBQuTLeoiFcJLKBVRqL4wFWOXbFe+Wp3lydd5bdRgkCauE/l
sriPm308hj91R3l3IeZSUNK2UB6WuRhW7NYAd7Wx8ixB3q7SfWNXE8pAPe3cIU3OvV20d/2gFd9r
lIjlbrNGKZ8uJW65ZoDnTEq0eyjxGzHss6UsLWuTuT1mgaC113Qya38zAfzfnr/+mx9Ovx0zZN3+
5cG0zz+it/wflo+fP/Onn8T4smwLeeVRV/Xb/tFxKAThVLLgEDhka3+Zpwzti02MiBPJxjeyLCD/
81yyv9jLocSP4SvReUz/yjxl/NM8BQSJCJEL8ZiBavFQ/z5PgVKT0UzJEKPEPK5ElaZvCLJcNrpP
sYIOPYSLadEwmk5BzkhCXTtZi8Yxf8od2qJ8BIsGYndadpmDMX91PyWS0E1CsGeLcjIuGkqWzzkI
9EDsWb3ql/pTbIn7WtzNWkp6mesWckzjpvj0LefBBuNyq8euv6j9W7aoOHLRc9pF2Sk+RZ65T3MK
ztVyfGs+ZaDoUxJSxCIPkWlAKhKfslG5KEgSrmvoiTpbavn0Oli8HtE+GRctKkjdDhwTgAvE+GA2
VmZNWTAcfNyEfi3cWPNiJxbbypUzDoZFzxKf0hbIF2Quyt0tnulF/Sqbki7fVp3PXTOpGCNQyUK3
Gd4RKFHO2shELHXC6RgtytpEBcCbLrl2RrGO4MyNtu8WMPyix42LMjebY3E1BRs/tLORI2OCyLJN
xyhhMsvGeyMVn7Dl1YT0Z9sDLFea7fw+78hKGBOqc2RftU/NMEY9ZEOieWLMWKaZGqca1JUHMQ0N
W/mmWRvDJHbBTC+Yl+OJOVCGYNNTP3dH51PDnBc5s6f0CmXzU+WMFsHT+dQ+a5yfXxHPu4duEUjj
TkMr7RbZNFoE1HaRUgl8VOs8d5XTMGNAaPPI4s0xIXxBqTtRgNU9p6BWKub5rD4NQV0dmf36nzSP
IeCG0yLmorDLS2/k6bqk3ixe5YMLIBETbH+XKpgUPHeRhqtFJA6bsTK3YZTR7qfHQ/MK6BF78hBU
FTgX0jXXHNultuP6Ed1kmYhnPcyie3c2+dO46NQPWqnHGwQd46h96thykbQV0YaNN6Fz64vgPSzS
N/oQ65YsHl+UPKxZlSKRD/Vg1xvrUzlHfUJFHxZBHZsO2nrDXU35FofCuspP9b1H9svZhM3JO6QX
9PlO6sk6VLm8uIt8D0o4f+R7TJ4GrZFXe4ybu2YR/O1P7V9bbACSa8pKgWeY0eOATcBZDAOIXXgH
lMVGoBWhcVf1RlesZZGVqGM2LSbekPGUQ7UEPrvI5OD2F9oNnuLy4PZYxcpDwe76bxigKbZuDU1Y
anrKEfCoodIbpZ132YDRC4+tGtymAersQZoyBt9uXTUnTlalgcYqRMRwApYa3ZKnZ91AwH8JArZZ
Whr0KVOB4TZ+UupwlXF1PXTs20tvQgT3uSdVvswj9WyU2XhqTUvip4l5zxVN6oO3RMoM+oT5naL1
muflFjQj3hW4oOnTGAwiO1ldq8ZXO+KN7QLTQV9+MGZek2zzbCs3zzrv793Q1V/BuQ73SuK4yYpp
YtiLuj+Ak7XuirKsWYwl+iodl2xQR1UEOzF938VUhRSkStkQN+n9UIv6liKogveM2ToJN13bJV+k
sFwPc3zkaZU8ZzHPR9ZKCu6jUx8TN474NwkFIq4dVGs30l+sAPapGSsHoJReVxWqpzlaw7+GC85Y
NcZXaQhU6qYufI2PZUOaoblEqvHidmVIN4Wg73volTu0jmAXLuL01KnPOaYCNvoBX/L0UTcUc8x8
hkGrHuNIZ/WksfncqI18GgXCTBoXXx2bBTHtIO8m39h6jPSbOtXuKsC5HYr6Yg1xfG2r/BtsYJj0
05HborrJ1OKhj3DXZaPd+oM6ca0dkn6l5ykr946a5x3upASz9WKi6JvK9mZp3dHg0Bxq0RxbzNIb
YMz9Fgq7sdKaCVAI+Rh1ZbuJPNQhwVT+75Xzi0TVvsNlYWxYb1Ge1xlHi2/7pIa1TgV3l9/UsSq4
O+bK1sDj7LdTMZ+ZkmN891SdANE2y/tqwhoigIfJFQWn6X0CH/aCMvNhF1QAJ1GoHefMrahfGJzM
LzH4LcdspWS4/abw0VbrcMU6pQADaurrOWqyVWiF0zkdwVpOvVY/zbB4fMU0mrPuRvdmzXSMjURy
ye2bc1YnmV/j9X7o0yC4ZytH/QVtIx5c8Wkl+JrcAG9Iogv5lo7Bm2zU6l4v7eGqj+54jOpG3KzI
zR+6gbt/K6xDY2c5DCl+dWJFfTYb7tCmwj9kPAY+nAluFwm6/9g3N5bDtj9347QR0+xuusFOf+IA
y8/zsG66uTsNLVZl/OqNceaMUU5xG3EHr2RW3cxUpquKwkqu/YXwzUAvt/gM5LtBOxG7/QLHgZ10
N34J07NbqCm6HUhaK7fsdWTNzUrT1CtuA2NFQUG9z2Yhrik0gZXSTeXFhMtk9rW1rjQleQDQqnuU
opDQgGO9achEavxmSPw+zAUksQw737CiBYNsCmurlXV0VHrLPZjNMO1y0Op7q+UVSRuGtVdSnB6r
f8v1/P8L4/U/X+IB+/yrS/xzxLr7LWuK/LcRmw0kMEB+8s+JGV2eJR+jrb5Alz7F9z892PYX8vUq
cCldVTVGVu7rf64gLZrysN6zCIW2yaj9y8hsfrFQ8X91bv8FyZ4j9XfJful3Bvez3OcJ1RjGZ8rj
l6s8wHCzbRreDJjgsAtlkLYBZzNUXZwxvmpp/xrlI6uwOXsN8YWkVoUvR42+BbqNrEWcyc6PeQYs
FwLUvgI0GeTzo5bar4wNGC/r8+QaRDxs+7EbxH6eXHxpXPqbVmCDSaNtCwy44Fxs+no7CpS82V6n
jvJcquYtsmJGh3mrtx/o6keaKt/atL4qZfqd3e24bo3666DG9pE1xb6ZjdavafiiqGWihkYGb1pd
bxVwLLgqn7oqzP18nh6yRG4S6RwSjLEgfkZl3dXagsGesTGpDHt6m6+SWNxpTpKtFIBITH7ZkaaO
TVpV2G8dEjZF8VjXs7GJBCh5u+jmXSCZCRlimXxlV5q7PjUuUUdWXSlempDqwApXNpd+r5Ss1pai
knZ0OC2xCeVDhb+I5174cWteaGDZqnVHX8uoR/vISTucvaVOAU0WNr2nz6rJayQBLXhyOBqPDjbI
Vah3NKgpUbKbewERok7U6ms5OjTjzInVX4bepdumGBYwub0yHOVid/ZJVZ1vQ1tQ4hmE+0hJKdSJ
WCDmLpy/aL4qrUNGkK8zqh5yJZJ+MhcJQ2p4hvJnpBsby66PVV2+GiNH8r4dIylWDWzhKdW/UVXK
r0aKhGuqhS8UQjz0EtAy4XzMqst7aXJfsDi9Wql65dt+opxjPbbWezGqGbWrGhR8zFCeMWIR7FxE
mylJzI3SYpUi/6WtIjkFiHd1YzyqFDZvp7ncAA1Y9xMjsp1EvFBLh7aJzPXxRN/j0biPBsD0ODF9
s5PXVgnsXdCWzMBh4bWN3A1twGvKfMqFvs/jaUWZFVvV6F2NROl1uvxhSqLdsrVf/i0H7f9TqwZg
Nf/q+Nx/vMnit5PT+PyJP45NeCBfVOY9FDcDKwar/L8vQLn9fFki/iYhFdJn/6nbGO4XMitIKlz9
MerjaPr7noEVBAtT11pKtlG9bVX8lT0DzqjfD02id5wv/LWoe9GAbvxjxDXRgqqjltc6U7MECDTI
x+qY29OkrxVHm0ybl7IO6TQ/jKqL32aOStP9TvPjD1nM5gMZDmH6CBmPkLHG58RWoiPenLGlD8oh
PolJhHMCLCYZVEXME96EVA+ZdUJAwU9qTlWOl3OEiOxIGU6z5VoQx2dbl7jQIQk7G7yi+T4LJuHb
MVu6bFrMOkQAmU5QuWVEFmcdu909XFzoE7E6UGcjyvLUdHq7nay+OuhuPXww47waWet8cJNRX9IB
x61aRuVrnSWqb5gZCFHRvKFZsU4cHUm1is2u9zhPctwRZjA2fFHKOScxM65su2cT6VCg4te0FPc1
tCJWLP3SZwBuXI+G+KJIqT9T1X0yOmjrWoSvqIHHdJuavLjBP6e7vFWfUzNyn0ZznC5jPoptqbvP
4+hY656SqED02b0RK9WOaVM/11lG+ZCDqqHGUXTCnzmAxZLRnaukb26LLYTPulybpZUc8Ym427RQ
+u9NYgf7ibrmDS6n9EeWRhAuiUv/EJruVL7DDWVHId6PrsNN6g7R+A3sxZB7Ie40ryqdkOtt6rzi
QMYKYMesWJziOYuy50rhj86rkh50OfQvQYvsRPlYsTaSyKZeiRHXswdKs700601WG5GbPfCGMohp
qLLcL7+RT1XfWBtHCyK24l2a7GydUnTewnbL3763V7nS9wIwibA4v1I8YZ5FZfnNSLTkOk3NfAmw
3foSMs1JCp2zNFJHkz9FFGuXEOzWiFGU8B+I6GGwmvRkZuV0kpMl7nBCxFQPBMOV5FC9yZtmfG+X
LD9d06L1u0TBTApnrYMOS1gws+PhVM9BtBvNvDm1AQUl3mgN4YfUU8WnfdHcSa3NuUV3pQ3P3sVw
FbW2eh5yDKsWaxKG9FynKr6yqFgInab7KsaJq3klJn2TiKSiiUS1o5UeSooJpM57UsnonS4wRh37
LCMH0WLQyP2+oobAJdQRVfyl7MqCJjNPzVNY21jxe3w6P3mHF5Q8pO7OBrt5qk3lw5pNlTlCxrFH
5QDl4bUyYAyew8wXpSg3dqy6z2ShEq+v7SMlRNE1Q93bgMVRv9P/kW6QNq13nL/zYR6zXvpWLynC
qRXTq7V2+AbMQODcCOyVajvBpmsL6hvzZJiOBfj01kddwT1iJUO5ygJFrqdOn68oQMV6Zl3kW9YI
ymPkZdXoCZd01SQumw7dVxOv9D2uY7TIOEgUz3ZDrg6lmPBJu9z3HJoGPQsXierpKVuKzB5oTa/7
CYdZH2/HNphQTJz5qWeh6PVDpW0kYbmVdCngqVsjuJMMFlcLO4UWOPUj7mPr5opuV+divgydSo3U
aKPI8FhT0qiP+yjIhp0zWMU1zgjLa6x9MLqXzvSQAEC4w/GjP+p6Fb9Gqlax9UkCImn1wAqCdsF9
TgT3YYwr3ecC5gti9ncZrUdqXqBMG1V9mmLSahye6rnp+LoLMwfsmJFL6lWMbyFRYzRM7UMDqnou
YTLtda3X91nTEePRKNWguoH+Dr7kba0HchVEJeTLcuKqq4v2YXbl9IO6mdKfFXsicp4Z9/ZUZaSp
aJVYEdGWvhaZydZmEbCKUJI9VZ9Rm2Q3PlG8YWyqkl4Jy+mtO7ZMCCsFB5EbymEVJK7zIgoVzkU5
pEs2iuQL0rhCIsC0XngJzju6gpUfWowgMw5SsGIwup8xY+XZMKPi1lSW5pegg9qiUt/COQu5Xabk
jIgobJ2+UfDnBZV8gQnVnriSs/AquoN0rRznXF0eSf+115l+hM1AhdBV1fCFN7JmPdGSf1obIcz4
zIA8Tm7CWVFM2q86Wxo/oPn068Ee3ztc9yyt7CD1ggSXfW2Zykkq1CRTOjE8lyN9bYZWzjfLGdwV
AULrpSNls9HxWSJSOelei5KRNH+ncGCFgzeYkfGapD0QHbuKzhpU6u2sFtrbQGxnNbbzU9BxpOvD
pO/MHqQ4a5HAfIgibVyV6uzsqTS9zaq2Z3pQMdMK5O1EnfiCc910V3bU3w9lEj4rI2VPOAFZf2I1
uxLmpt2bTqvhqxpaJF1EhbAOGAllMglcLhFEY5pWPTW2Im7z3F1xBLVeBffpSLySmZLfvcd40rMD
cGKPRyLa5q6Wn6w5lHvXUW4JiS5/HOrC8YRYegXy0NlFo9VtQqdN11ju6ThzghNhxwRjf9PtiWc4
dJip+BhL+H08UHLTZaCPw7ajFGtMiQ06QXYKKXHjVRQMbzJSUQhZHxznvrHfNTtNv9dNia2tqe8b
kZkPs2M8qRN7G6jc1Qmvlb2vCfIRtLfBouObfWpoFDqYVvYWz5S/ydgON1WCltkvGfpuholAOiJs
DtTgdWsjCo1bE+bFda7MZIUyYPZeHN9rYam/KITTTi5vZSphtKB/1uiq26Vzb56yMoopnKJPUsTo
iURfE8v4OiqDQUVhlq6jnIJoO+zTR9dBSO5ap7qUDqvjsSnFRq2CH07Chc6iTmXrNHBaB5xZu6ZI
55MkKnwszST81sO1x4vSF6tyTvH0Wub808RrRjte7utJbD8kAX+FVktan78fZmGufT2n6rqU2mvQ
GAr0czb0cVnQ96dMd+T7T1OgGU8phW2HKhbG2gDqRUOg5OY6JsFr3U3j1hij+nVUcqza7n+wd2Y9
dhtblv4rhX5uGgzOfKiHPvOQeXJUDnohUkqJMxlkcAjy1/dHya6SdF02DHS/FAqwAV9cHZ2BZMSO
vdf6Vk/bkqnT0R+heBXYtEbBuoLFSuxiJKD5kpLL4fbN6N1p0062yWQ4I0aIRjK46+Ksu7NfI/1f
OXU5XJyijpGQcJ5KSEz6kBle9UBRlZ+rJmCrd0VEm3jM0b3VdSfAQcTygjFqV8Ig3wfaxE2HBHVT
adcgVtMpd2ZixQQKVCw7qGLpq2apy4qfebecSfUxcQqx0wEcuSlDmoTx8aMSrLVEr7u4ABEW3cjR
h0rltuJUz23F+H/Ub32A+HmlGuZLUa48MpuKmMGGNzVMo8j6/FzlifzoTcOaYCv1VsZhtOGDfCWU
tdllZCqCtqwMgjmViVIgy41DTC+T43qT49UVTl5dE8qer+3c8bbjUDIzN5z4PepIuEUiNbKledhi
gADr+zzPbqh7mVUvgDbLm3cmHIPtPEbiRI5njCSJapPRjHmIkGJ9XfRkqw7A8qrvxnpDSGa8FSkZ
fJQe7VYV+Z2LusZeKXPS+JaViX6AJGGTS/2xFio+WDqKtn7VS6AXk8pPrSJ/OUaTvWnGonew4kT+
C1HUbbgTKH1W6Wze+ZINaTVOcXYRYyc+a+kXN7PGnGAOVrG2kRLvaKyQMfgQ6KjPok00BEn9Oe3L
gbg4dMeE9/g6yXPnFLlBmp/pLoT14zgN/Gp1964NUgbDikp5lbWemJkeFoyZ1hU4y41L6Ke/mZK4
2hhdhGqClHn9RXoyeR+JLcGNrdwXXlN/NOIx2k2kBB6JR9btSgyB3pgqSE/9EDTXjeRP18qrX22e
PPIs2x3vaFznGGQ3fTxZ+9THsIn3UlfvbWSiAk91cIRCMPMEI2a5IKZ4nJNErprW9d4dyDbRavZn
eY7ccNy6c9jet2VjrzKvbE+0FMo7c0ySjWfXBF/VydgfnKILltVg2lD1WWhlKWGsUZWrGPnxAXam
s8V+Yp3NSjmn1mwpAWiQbYMi0RvXm0obnRvvZ+ay/qDTwXkmvJpJgEpliRNNGHSKzQJ9Kr/c/Uik
xjotuglJfXQTZwE/K6m2+kGPYbwZMiSj666fzetJEsaU0WjbkCShm8XR5vXMLSRtNnZhDPe66Y94
JaiRlazKky6z7DEOiu4Vf53HmUkNl6ma4wf022oXLD92VCbZ3gAFF69cq0wuRjQAl6wrwgC9XprH
KVPNQxSVZrdJa/5oT+biMVdtdU88LI5W6AlPbULvS8igeanqmKxn37xyLIY3GH5NktwsKdGmhCTt
4UE8+2EpHwYGFNUGx33lX/c6gQCQNG/4p4mYgMQUkxCZmPM6QK5H6DI50xjiisi7yYupeM5MmX0I
sjFCtB4KkrZ6YcF7GboPRJYh2DaEvZaWE59VGUu8OXG1I6uBh1C3FaBOr3OnFUcPah3ysa0NA6Xx
00zVR8VvgJhpaz3dNn7A0KPCgnzfxiGVWDO3zQpdj7Ul01lsLRz3x5Hkv2NCsNeVmwzpkRQu/1K4
nBx87XEzmcanIqjnD0nMEGiF6YovZ08sGqabT885SwVGioFe2pz5843BAGZDzF2076yhuGdSDwdp
5r6iQUhHtTEJGrPydC2pfNdpGtaHKosEqRjAEDh/LoWscNsr5nwFonrTXVYwJoBTM2JZUWlWNi81
oKvyhsAtZW8LgJ72dSPYBVAdKSSFAOeVCQvT8eZ3Y6rM8Za0xezgMRblLwQ19txVWurHeTQy9lej
48Db3famsn1r2/dEEwAEBpw4nvlJ2iDYEfxIb9RGs9jnq/9dOoNKnM7QlznWe/ycYEyLUv8N4En8
oimDtQHdHiOnT1VGdwcr2k9aWNnoMStsMV5iQ7kbQsySlUCt4evyaATBJoo/WqW9HzLrZC9tQKfd
uYnYBj4hmf28VXW35avuma1vcpJGf+hN3X5X5P4beV+3cOQ69e//i6bSjziQ758N6jLyFR/t3a/U
ulIMTWVG0G4Yml58Sa0YHdK/g5n92ZuAZEGQjCjY9H/9Adys0xx6QS2klrla/vWMYsdQe/f/pdn4
32Kq82OD0aLOp4v4X2vKL1/Gf3ut2/xPXvR7V9IXvyEWJ6wjcOCQfW8+/iEnD3/zaS8yLoEItnQf
GQH9Psxx3N94gAPubo8WJwBUZk2/6zIdE6BOiDTzdzm57/6TvuQvN5ATuJAwcfHZrumiEf0VVyYG
rxlMM66PQ2Cw3uRV7N7Y7SgvONOC77PBn5hMPz4Ry9P4o3J9eS8SnIAKLugv8SuPbVCmMTeBqI6+
PYrLDDLhAnMgfJr4Ba4a2HDbHy7FnzyBv6wOy3dzGKMxEUcoi+7+FxRbi+zQl9j/j34p8ng14jGL
UGHO4tJpxz5WHTr6LSuveCRiyXr86zf/pd27vLmLFQAfLlcvYIr389LU4EbUEDaq49x23TtjbeVR
PQ3BFTZyfY/cJ3yKLPPvvvKf/MTkOQW2gziOe225bX40B3TgWdsx8MtjWwp9C+imex9oasyrMG31
bWxO//gNPcaREEd5R6Te/7ICZ6ahpaXa8IDzsj77tGeoCbtwWwa28dGOBu/72OO/vIf+lWrvU1mh
00OazI+LCO3nbzgpYc4x/sYDkdkAPUE7K2uh6ZioGEanKikQUnEJCugF/pSL+2Zwq6dKohNYJ14O
eyb2lX/fTbRaV+3g9sNKgvG5EmgIXiYr+Ju7AJf1rzc9AkYo7MQfcDX/NRuFwMwgzrBGHVwf7N6j
AckxOqu4MJtdXDdknjdAO06iTnCOrchkFI88gxPOwqI9WGbieadUBTZx6tJ9i21FiUBUDPeSiqz6
XM6BuDBAK8GemFZRbqt2EJeS/iduyhxF7qa3sISujDZdTgrWHOwW3cbFaH2j3fa+WZ+lMel70WGx
itKQfgwtvdr9FAy2nDZeO1MYBnljZefWdvWtxyrh4SUZ8vCQmYPxnBVJGN03rdVyy0VZA1bBV7ir
akaOiaD9HUK3w3eS4tm67pxwcO50NY1Ip5IiXXswjFcD2FcUGstCgAGb5xQ9hr41xk7fhnnTBmsd
NfIVFYd8nVvTPhKX0TVrPQzylTiF4dZUavF6NDPLlzazcJuJ1n0LWo5xdVsIa1UOkXy1k07fG41B
vlXXB5t0Tt03pj5WdaymUL96dWf1a0ZKNXEuiHjue6flm8qcWrSE2NeswyqNnqwsz9tNH4zuW9Hz
OwbzwO/WOuKxD7loc9CET2Mzu2+e4en7NFbhtrFHpgLYartgHWqDU4oaIn3//V5N0L/168ROx/6a
hpZ6R2xkYL5w+bIWkepqr8ahmNcGNPHkROhcWh7zxmjKDuV7GPRMs63kORnG8CmQrKebDkuf3pZo
zLzVUHnOW60C+ZpwdrqNmzK8CpEtPcmiZOrgVCl3hs6lsXZiXZ9bclaLFUGy+rZHeDJuBu9bBWop
+ap1VpbruM7nBn1my0UKE2Ef+yRLF8jF8l1HJyxwU9eYPpbf39GEuNk9GtKEvPgNraxEcegNzcu3
P9NFUcWMycxYN2YUhXzXu8Tvhs2I+g7BoeIGTpbHw+voZB+YEETRWeDxlGucSj3lGkfVeySKArl7
B2+xB4RCUX/pGqgALq7a3NIP0oMsGK+iWhNCXGQ4uzmt84KqSIV5HEXnw82IS6NKTkp1qbGfzD4b
N02MNeZe4rMmk6l2mbPTaOyiKws/9isEcU4dCPsHaCVqTm/HybDGZ8XPn+xVVaFKsJJqXM1mDiQl
AMVSm3m6MtzB5XdWj9KOEhRkE10OcrN3oV2sm6TRx9FunB0wDfviBpjRh2E8IAzUZ2SS+tEre7o3
Mkq57MZEE5e+hkI89qJMqyE1b/LoPmhxY3hJByKlwQPRRYP7Ed91iMnbVqMN5CfV58E3CIEKagxM
PYL/YmUiBAP8Fr8z7hYXr0z9U5UmdLzNKqSfPjvTlahooq64d1WNXj+mQynn7j1MIdNtlEFDc8PN
HZ7ghTFaCCn8wxUY+ejJrhSqCGE4H7qE6Iu0bd4q4WcXeCGugzLSZskGys5Nhz2CW2rKXfWeCP7H
inVZ37PNcS9jzkzSg2dE7NJzm+4n1clXV3ThUzklNDT9OCjRCA6Dvp/RJT/B4RL064V8pY+iMVnk
45uug/gpwxN2Lmsrf0QNlsF/nXmwwsm16ZiqlCaDbR8DuSRRh2FUbdhG60fPLRGyZdWGM7wT74Rd
Bi6ZxkgRnqFSi49laxjQcxOnD9BxoIYBxCaV3oF8a/MTzAv70xwPrkeqQH4qQhldjYaMb1uVJcc4
CB99Qrqfiq59m0q9rP6peFIlPK6s53fSYcY670qREhAurY+9EfXjGm2meS0h3DwwKaUDk2IvcW2U
6Rubmcua59I/E+rQBruwsqob3RNVs5sd66lMArmptYJ/PZSMEZzJQnFoFA6919JG6sap0vlUCJs/
L9mx2g9uElrRpzAY03bVNDKqd3NQp8XKinMMfbnKjSsGnSBiwAXI1dy5OOkIODukThXc+IltMpDo
8G2jQkPlaEXqtdYBtYjs3ODKHlNMPWLgsjZh2G7TQjksFk4RtxeiS6YjJKrgQjY120JZZ6hqaIS+
m0UWXqGeY3nLPeSEq6bnTlExg6ZYG8ut1McV+sWkFhckV6yljWexpmchf89g8Wm8Lgmv0M3Z9roA
yUPAZ5/xmfwA4HEKJWpJSKm4BbUdh1deIVNUjFbOet8O5PsmTAjXgxsrsLlwbq9CyVgyC0isWWVs
Jgz5/EDfSpu391zm6nt/Yh+vW97YRlb/NgN06NfflkDgOsQg+ka83PqjWSAuGTHnrXo5Oldj35t7
Wk64m2i0q/cKmaTEvtlyR1g0zd/8gv0RdyHrdEmmDL3Wpi6STdFBnT2lE+ea/fePJSq3LfYNniXv
FBkG25ffsto3RdsehqnXt91A7VsyZ2GQV1TTyaLfWeGqnkpHXwsspmTRt2H9OlqNTG4sECFcrJJ+
03pclPCbqk0n/95pZKHoV3gdPedVkRCOBC0yMAcfcznT6FOfK5r2aeNOD8yh3FcvESyssK4w/8tW
M/wo+oxBXS/ix9Gf64l1s/CunNkOFOuiLx4YtJsn2SfG165tCCDvx5CIZZ5iZD2GHz5ZjEm8VVC0
7OQNLa5Hu23YnuJWV/mu9R1i4WOdLr9oU3PFC3diW+9l4LJhtixVD9FyRTMa9G9zX3LHFWhjL4Zo
ODV0KKhak4xw0OBIzdzIfBIQu1yH34nS8sGzU6N/YAxQeHKdjkmcBPcFCmqPrUqGmOLZGpsp3U15
asTiQxZQLcd7PXaYvgTlRmHCFUS4HOVrGHjpphvRdIwezc/SCKlBEGogwXUwzNolWXepkUxb/m02
GhbZqchmec3lb+7rgJUlHxLjRRthejK6OMLam7D1wMI+xJYnVpP2jR20Xpfv0XgbehQosP3w7Ewq
QoVg38UBS7rdxv1OmLHYtLMoAc/o5ghENV7FXSHuMQNH9YoyBCXI0CLnzqlIOq/Mvxqp49JqrKND
ONdMO7uGSQpP4LhmVfhatc1Xo5huQu2MR+5rCoMehX7YSfPGLadhM4B98NRUHnSPU4LaOHpg1jXt
MjbRTdYk41Y7zo1jds61tvrqjqvNvlzp4sTOV+6dcplc409YByUu5bC47sm5WBERMN2Y9FM/SMPr
X9vasi8g9zIUZrFJAYldvwgLMt6HW7sU91R+1dYyRvOr60XuyUZ9jSMWfUCGkqvyRwePq5HNX1wc
/MnF6XmEd65rj8mm7E0oklQEg1zTFUeVMUGuYAVJTFYI9itWwy6rz31jGQhhpkZeq7zgJgWaE16l
zB8aErAXHDpsokTdTvmYpajvhr87ii+npJ+O4ljcOXDgx7QELYhfj/14mrKQHU8epPut6B807cl2
KXz/4SkYo6egUUGKC+B3Dm4/n9bCKGHoWKOXKyqPxbj3fYGHozWKlaNFffac5ejybTn86/f9l6M/
74tJzPXoa6J79X45JXIkL+wMJtFBZ4X31hlleyiVLvSO/ijrV11WEwSVhLW4GZYq96/fnb7Nr79u
EFqcinnA+RC/WvTBTtA9ER65X27EAWSGQfMYLKtuhsmd0oxsOnr+suVYslTeBNezuH/7CP+vnYj/
7Tp2aKL/smH3f9ocDuKb+rFh9/01f4ivQ6BormfSsqUxt9gS/0NFGDq/0bcPAVzTMaM5F3JX/af4
Gl4aRukFYoYEkabcH/0626aVh0ZugWDjPwkwGP4D8TXcl59vLswA/LPEmAka3nzSX27tZYrhSKtn
sl8E9PFdY7i0VTfsZ+gMJ0amLtG5dcb2OY7Tu1sr/8rNnQbojRDjPToOpMnsYm+FX5jXOc7wy1xF
9iM6ac7pHiemTawc/wKWS91P2ZA+YkQq9jnL2LGMPfGxllGwxb2UnVCJb7tJNZ8GlWVwaQI2gjQb
mfCpXs6fTZlT9DOIstaRzq2HVqWw56uiOke+XezhPK9s3VXX0BnTdVhEVHgZi4HgfHes0pI6qzQ8
ewMq3j/hCwR+GBX6BnlusZdFEF5NKh4o/z1t3WmjDy9IsMxrMaUMzmwWYOYcdrODfFfsRW3FLyJM
wwsWilvBhnIdWeJxNqd6I7yIaVXjQFQ2G2l/tUGW4QebvHUAzYpY8rLtbiFmOSuR+XQLHZDAkCap
eskOku9IIRqqfVioTUqZRaJ6/qFxMq9Z6cLJ9niSskOoum7DFLxEsTUJMFlW/1wHaXTT9fisOmqR
z+E0Ti9V27P55gHInylrL56d6TtiHVOUDla6ayIwS6b2QG7bvd4MVezv5FAMlNc5XyMGUsaIuzgM
FXqzJnf6dyO0iU1wp7UdItmp4qMTGXrbp4W5yrFLb5QbXZe5XEYlxrHIfQThTT0/O0Pb7BvaZl/j
EKawwuly7jxn3HtghY4MDctbwXTVgkGW5SeA2ZGxtecMBpQzZU/xlIaviOXKbZaimIukNz5I1GCP
YeSk1zM5WNejMjWD8tZOnwH7qSvs88WDUzsSzRAzPuSotXlwYfNl1IS2fTdjMb2Oye3ZTT7SFBgX
gX9fpVIMq6qjRZAqe7jyxtS8DfFEneq486L1kijzeeGAXSLPKw6T7u2z18kCg7mXIiby0xfKWXGp
YunelXBTDzqZ9MU0BvtsjW59aKHc3VDMqscMG9lal6o4lkYPjS2C9UNYRXChILZekevg2Yqd/JiK
Qh5wWKKrKlGo7UYncW8KOZ6thAnaUDct4Yjdtk/i7i3pA7oRk84ZLsrIf6NLRDnB2CqeJMcxiFsw
CyNn972h6lfWk+3kn6fRlsTTxI716gfVYz3Y85NSckLqVJl3Nc3CavHmGifXUMs5lpb4JRnYm9ej
4TVvpH1kt1BkG3Zf2waGFQXJvhp4EcS+4kOQUnwNNEi2HMfLc0ZSx3a07fTo9YW3QbSJsNRW3Sd6
/EO76nLx2NXVMbZG74T3cl9VgbeevUWQmhZZfmcLUdy7UXHwJhB8XjRXR4cg9o2SDAh7FstXpIsp
2LESdQBAgY2vOk1TRGf3UpnOlxnLGmINSN8zONNVhjrnxafd/MGvpHFHiEqNjUCi1moTDIko2uSt
0bLB4zY5N+0QZGs6SS4gvn2kODIHQcgxqLiDUDK8GBED4tyzxV1mxvahImtYreHJDReOfu1nm2bK
KnLMzWhqf1+LUW9JB+qNLcDe4KVDxydXqMYgVo/+VG9xiMQ3s6rzPbhlwtcm1NzrdtBeCHRsRLmA
NLKvZgUmq+5pPobh8CHG9YvXlBBwkOdxwzKnOFmHsjXPsaQsnKrI3AqBQxaZZoAOYbY5IuOxYAUw
12FbgUY0UubKyBQLU5nb2swaTL55/anwkvkc1Ul455akEcAK0+Vqjo3uLl38w75frd1Kqjcv8/U+
Y7xKBUwoC7Nm27wMQW2ukYeho0VX7m1Luw6fQnaNy+wkyXMbOGii5+FjOHfegR1xXiMZGC4qdugL
oQG6UhkqQcSI4VVJD/UWE2NzjVq8eTKitLiovJTbRfGyI0wz3sxWgpRaNfZzPpbWwev4lm0U1LtE
Z9aX2Y/769ElJ92xm2VzoR31gs84/dBZYihWXpqHOzsLY2QKIN9Qc4xrQ0TJrRAoncfQQZUUN/rB
7Pnpq8SdN9PUSVy3VnAOnBCUnS7q5MZGdMyNJmDmGA6BeNLEPjTRmN2TN9Adc0g6H4o+2qeImLbw
R+fbfEDEJQe6kasJp3u27o3KIdMXVEVDXpUYYgvufpx/HBsr33CeDlaDYLvFLa7PNO7lgZgeXWPB
bsPX3PNSKESj+VJEbXRgZUqwpVubCRPW7dxnxmfp+Bx8u8DYlQwvbkRaFUfXMaIdsarqrpjG4EM8
ogUWZmM+oE0weTs/MtbTZHg7INM0VKbmU4V6GSBfz/LftzheV4V2OIIyittwxrZX2JjPbmVaQ7fi
SI/epK9HtzRWourhQ5V5at7RZyV/Isuy+JHjGQi9rG/AjFR22N01cVMc6oRHeoUQKQcRp1oE7n4U
NNjXZX4cigRBmh4NUMz4coKqvB0g7R06t391W+xHrLXA+khU7j/lnffqpskbiaFf/WJ+DWp9T341
eOJ5lLxfw7QB78SWA/4jfiJ5kojZHweZW095Nlafl7HDcxvxQprgBrd6OnU05IBOpmZ/ko1qBqTv
nm5m75pSq4o9aDO5yRHcqjtn69VpAnIPtHc/6j64bbpm8l6UF33taa0EhwLRTPhKHJsF6nIgiSiq
zX2PJB1sYCLr61Q2OLgkCyi1VzhshI5y5JDY0k9MWduNGjNrQ5GXk20xVae+Tf1Xd3Kbj6YfAUiM
SG0/+wkZomTAQszbw2gsZqysapzpZcWdm70HSGqMD24TaXeLoDiqkLOkeX1s/NRGz29Oe3o21W7w
1LPyEci2QK825sSV7GLnWdOyPnip9Nfgd3tMqZXehYVPOVkkp7R1rnombxxRaNSs8phdxvBhR1GL
fKhmMhwSJtoci0PjITHS+EqT7rOOKzFdBvo+l5areZq7cdUl6fhGB3o6taEHHtox+r2o9LSq+qXc
smdGcFgc23MKhiLa5T72AzoH3SEoYIHnTZDu0QGa6yly7so5UTQAjPg4O3F37KMoOrWllZ46M75C
Nk+qMn1GAABet5liv/nY216xDrQ7EQozpDt0VOHWiM1o26ZFvR0jRwKmBWVJo1yqNb7u4NCb0mKM
YJV714zMr2Q5UEaTcAHidbW4et69AJfNszL7ylefewdlofshahwqDhpb5EcV/3OI+47s+xOc348H
MmQXy9z3r2UXpy+t+jL9ycv+EF7Yv3EW80BiUcyA3VuOZH8IL9zfsHTZxFeai27I4v/5Q3chgFsz
nVjmy9+oV5yuftdd2HD8+Os4zy9He05h/4h7DeLm53McB0X0AW4Atzfg2EiF8XNrxGpaSNG92x7C
wUjtNQDgbjsxP8vPCaObM7rbZniIXRWdahNXwJFcme4ukcZQ7vNMTDkAyoFgtAQ719pH3Y61B7O8
JTXMVFAHYDwQXJAXUtkoiptsjWsVnVQucFuiJoYSZ1Xui1cNb4XAEclf9Thwxnjo8nq+Y6D/WEvQ
9UXFCHSF4zIir0AA22ztbL7uR4c80wB/0z26TQZwsjNfwlxk3sowUuu+qsb8pNqho9ESMOaVvHD0
EK0RDagvJboIxkJC3Eczvo5SGeFXZbXAHcB+gAwcyrk9crZDPks6r3yzB9EhvVUhtDBFnMryQzGI
DDZLeh/XP10bjKbM1SiG9ujm7Rzs4XQjB87K/jjj7lz7ds8LlTsqC/qCxHTmlWEZPg/ZjBm1YnD4
4pfdfO3JIVy7VgjNA9bnoRtVexyMnncXAVGPuNKmnWLWBcPwG1GwC1t3RW8Qm8CobOIEs4CIEUvG
xmvf2+5DQPWJobm3xRUjjdDc41AtnqaclXYzxL14gWhLVyzXJnzCokz0TcA84etMnN1ag9g65YlO
3o1C6Yt0g2D/7fOp5VNxZ+O4Iv2pPVr0/GlLUpStfc+vxp3Z9tWeEe6wrgOiolKiUrYqmNC6zQPR
gn6XWldxIHpAZX2Xkxjt4V9JDlEh8vngqa61ce7ghd3bqHdr3EAz1kGjzk+zg0wIpwmLZDb0u468
lxdpmIG3E3IKzD23ynzoCUR4CQNy5jLKLlSky+meGjTdLk2VB4DKxRPKnOIhke20nMHUVUABwSlr
CHaJbbXepkGse6rcPj6zuCbPhBrbyImJTzQkFzvwspzpT+fSGK35ktkMstedLWIAMc47q9xt2Hu8
kKAinQHHmMm62QcOMLGisOyvo2dTQkTY/GrmKYwMGe9kKSGxmdkll5y9AcFwX8idV3uMQtbO9+7v
0NZ+tu3iXN1HZThdp/OIlBwM02buTM7RTE71eqAM2zOaFLu2SOynog8AmgXaoNLzCLjBh5ICVc+F
qR662nlxu6IHsAiQJNBTtp6GBshu1s/GvB3y4rqMI1AdSgAtS4k8Wzu+Jdc90V6nOAqQTKR90KJ8
Kepb5c3lnTJsbzdOE7lTqSNAzFbMYSmOtiUqpcPse90WesB8SpxlNJNbjITHwrU/aBrEeLymgCNP
6/GgLv4/+Gs8GFaVclONFC80mBjFUhsxMY4y8q5GZezpl6hrdBvZjQ6oZSpjdG8ZAlrbIRk6/qDP
Tsl4vYiyFXwN54pM67TfjNjvXobZSK8jIeLPU5tlbBr1sZ249LMEOlORm4gHDE0MoKoMpvPa5DVv
+Nd46I2Mec4Bzmvz0IRog5Hyi4RD9WAzZM+rGZvnZOK9BDAz2LI9zaasnwyPOoBxp2lt6Q3VHVhx
aRrbapoFMTtF52yY2ast7BwslGCnoaj0HAeRQHjTeUT6f5foWT2HfH+bNsoMoF2Wta82+HRamPUc
Uo3JA3Kfj0HeIa1nJEc/qe85u/q1WHNkbdfkkySPnh8jddYFE1E0M9l56LJ8WjNDYQiTWR4CeI9y
BEmn3icmZpVxKt/qmagvpmzWsY4a/1JPvfGY5+hpF3/5vHgUM1y7VdFhNiMY+bYN8vzkVwwN6pHF
3PIGViXl9dHrt5WlybvoK954JtKgSTbo6IX5/SmSHouWxsL71I5klHqGybI64Apj1ZjYYdraq/Ya
WwVdkMJyeBxG6164yxt1Sas3laX4JNBt5uvRHAf4BKMRVhd2++mi2ryeNvXCSVQchq/bQLjfQ4T/
p+f9N+WSsJcQjr8olw5v41ua/lgq/f6S30slLIG/BUspxETIdgVNxf8olXj4f0OhiqVeBEtw7w/A
EcvCUy9IvKaOcb71yv+jVhLUSkBK0LQvEhy66OKf9bx/KpWQUGKJ4Dy+BNguvJGAeu1HVSNthmIm
68J6oNmFuQCSlJo4UVPTrecCVZN04vYuYQr+mZOn9ZgkuXFP5M20h9QDL7KArblmE6XRxRhuxCpK
FzY06DwASX5Vpsnf4xmxBeByqNNbFhiJsVOiDKkTwLc9EtOtFAgPLMOERB5W44ZwwWkPPy+/nzM2
/pBzOaE5Rv+lYvUG1OeMDtlbaYLfvGApSFQ3voWxnN58O5nSZR7oi3UCHAU/KBXLjmZ8c3InQ37i
kYZYEo8TJl8EXVaQTa9TS5RdyOnVX4Mn6r4MbQzmSRYO3TdT3MWJdyc6gxllXSjrQ2/rOd/8cL/8
iZT2W4j5fw4Mv10CD0EpVxVcQvAdCfMD8qWE1I8nX3kPMzTARXBCXLClmbeHtTZwOlhNh4vMKsNb
aNHWFU1ovpr0ghqvS24ynUiyaQvskXiuuR+u58hNLgwx6neMnMZz1bjqPploT7tpll338N7oBCzB
yEURBfs4ISu6V3Z9EwTth66w3QPChyvOtTiAE2vvJ+F71tAa/+svHf5covOlHdNfbmDMGabDMP8X
Da8kPTyOTFnRnS6jV7Fc/biuMb9YDgpFwC+Az2yITdnYAR6tSrSGoOB2aqmRda/NTzIn65Ez7qhv
4srJT2PNAhtN/FdjW9YXS9biHHMWv0mA2F/ZNKtu3SB6ih1t7cM0LZ7yCiy3lxfmIa1Gco6N1tjT
ffI2ZGhQlpol97TdmcPZnO33yoNT1VrigAvXPRCvoroV0ZybVE/5VrujtTUxzO/c9LWQYXZynHr8
TFwnxVVnj59lC5jym1yl7WitUxIOa/mtzBv1PQ9lfqEHwMOk8vQAndss0wzC4lIyQL6ZXTpqeNxp
Ket+k6aqWVEvhXsSRSxg3TQ9/apC9lxxlRbsYXZdJnZzNQWF9Tx1lfwSECbYrqqxXSRPJDoc9OyL
XZUodQi1TM8FWNjriBb9bVCJ4drNG76cZfdoXptkzg5Tm2TLASG27o200zeqE/ygELOBAxH5PbrL
s2nk8x2JZOoZSmzzKUR5c+VA41ubTE/+JmX+V9wxFBxQI/RwbEI2uZYhZJMf1yxwFTBEkduRcGnO
/5e9M9lum8m29LvUHLUQ6AIY1IQASZHqKVmSPcGSbAl9G+ifvj7ov3nTkl32yhrfSa7MPzMFEkQE
Tpyz97dvO1BAe00oqv8JXX0re7KP8c8cirZavpOMCF20o5PvQ6CMf+AdpeKnLD82nd48ysaiSxzn
+r5x66fJs7Kg6Z3iC1Mxz8+GFpliSl7MHuWLuKiIRYWoF2FvoSG5nVG8nThLcoqTaD9RR2NJteIw
8dmu5t2A1HTdUKnuMWd2Ymt3GskrOn09lPLDdMVbe7l9f2zrtPGwIjnzZdvY4kLUVfhWrUcnVyso
jVKhHkv0/VeJSjiHFjWTfWzuZfJS6qSpVK1W+D2JLrh6+95ZMXSZ3GZujJlNb6p5++ela6yn53/v
Vza3n3M9EgAsDQaz2ndZ9k/7FVI4pVGohCejrR0t6ED2IzZqtLsUEedlKzg6+U6jNMzXCeWNPdVe
fYllLJ72Lgk+JPqwBmGM5JzC3Gyon7PB4cTlNSMTmBokyVcCl/gyqK7FgbJW2/3nX8BaX68CCxGe
KvvT81MumYIUEMlT7lAyTamYrpo6wlXthDkTVtBTO5Ix2S+MVVhBd1vb0p6qaZnq9rkY6VWy9qBO
GXP1bE4SZO04Ma4z6j7cwXsJ73O5CptiQhDdf9pW/0+N/vv7+NPNtyRsHoH3AuPT588OUjLBxzba
p6q3OZuOSoVvPM3IZlpATw9iSZbLdFLTdS6Hct+9H4KNsiRfqE6G43vPYPSM9pDbY3sgnE67R1vk
7b0RfKzfNn15vbgquZAG3x/Mc86BlFPx28Brgp8osV5UOPYHfVlcKAPNgqDZGrNyLwcJ2CC1l81k
4O/r+j58NGKRkkWpuUfFYH0bEl2/I6k32tV4O7+2DnzddhzCA4JdiC6lLDEFG8b0KiLFfmUUljb4
qjbEFo0Xw4gqexFoTchSLBu8rHV9yK0h/FpKljo1wXTzvvRCT4uwsmoxrsuMf9iXWQjtozVOuaHm
PihSc/A9o4l/6LVadqkeh1958oZXZnDrDrLemlSGxz6hkLZ0zlIbq2Dnq5NWBz9RZPd0Mhc66o2T
0NlIv5sVjLYmiqdDNhocLyCmYn7OjYt4An1ry3y6SsXCu+TPDzFF4udlSPQFNQPyB8T0lIPrf//T
MmSvLoh6GJpTnIuObrPOAkPnyt5MGFKzn6FMkBdJGA05W3G0oxSrnx0w6bcLrlbor4U6xFojgzhP
82ODRnSE/6tDgR+0NFntueWua8gK3rCS9JdVRvmF7b97MUZreO0TaWkBoMdCBngeQSBApcsvh7Kz
ORTrM8+BVUJ1JGI3zHe5oIsPQanoz9xImwLQYPIwWcWXaazwmJLCOgPbMJK91zjaLQCPGflzr/c/
QBiwRWbITtuqqc6IzlV7i1V7BqpuLTnX3xV7bPeopuzM1rJhDoC0LVvPnB8FKvPArBi/8Hnigmk7
C8KLLB7W1FCWD7BKfgetXQTtMGRH4p70s8XLZ23jmEuzXxojri4xj1uez1g1fuA9kDwoDczvZqlH
0yV9qkgfFdMuBI9Z40To7aU++YXJbrBRMW5tyJfiBNh6LXDQKB11d+JVpQoH5d8qyzbRvm+7KS50
vm7GlsepkRulRnBzhAX1LAMGIfQnXAcFb4Acs7yPok4hq7Z46ywiNV9iM0xoMgqnzs6JI1vLH28m
ICSptO0SNfoLeW3sq13DqXNmZ9d9rVwEiAr6iDMPAgPQsarONYugNx8DlPkkqiVxeZ765RYQARoO
lOXTqaW2PCPQ10NMrZblzXAy9+DSUQGXUNA1cp0Q57PeQvW0Bnp9rnIg1DktBAQIOzyFSUOVuZmi
NuhImAVQWId6kJhL/gZa+gQuBdcKoQEV4syMOWo+ZsWVlEV8Y8DD8XkZeNwZb15u3xfS/5xs/3ay
NSi8f9pzgufu+b9Sf66eCxIzwdu1UfL84Wj7z//nX3Iu/X9TxQuPEamxojRJsfjXFMCFiklDkBmA
pKG0Vvn/PQYwOWH+q+1P3KUtcbetVQSWTOM/Ocm6+mdpoIcHdGXN6w62XQOP4McN0TMq4sArNz8z
3ejrSH+XV1dWbZk7PJWac9cyZiupvp7cQjzN4yh2PQk7ahqOHdL67aI1xsFEnnRQOSu6FKN98Pos
JxNarwOpNYzeB699mzHeBVVMm7lylX5B2lX9DbGkftIMJMUkAvaBmY+LX7sJeGatRBZEpYHay70Z
CcDL3K44JzqDKPWhxxM0Ns1WaQYz6dFqj3rXoposrmdl2Gj58aun+XRolVxumVbYQSVH6Yt57O+N
xMuIFpvCQ5ygcLQ0cQuT2d7D/n50rCLZGOOIRL7I48tOT8R5SiCir+swsQQU0K2NaOUGEwi8mPyh
Z264nmw3c+PYZ4UcnqtewEAwhzGA4Dm9JKz682zE3mAiPd7UeUMmBcoP2Eit3MMHW3N/82mLpOhH
l07mzuqh5MPtsggR7Z+NYUY90A3H1MuKXZFgbkmXMtkv0MagnCFLglp6Aka56/KZoDLtOlwR673W
TGe16Y2biUbfyauN/Kkb7PrRJuu7IAVpEV1xyujeX8DvbHsw+gzHfTBsl21tRuPWcIeVBtJkT8DE
ktvMjK2DqbQOMnLJMKQGe3fXmFp4h8fQPreyecG0UTA2QubUXEAQTa7aKh+fQs9QP+iheA9TYWaM
g6t+DJxKuhcxeaFbBb7g0PS5eyvHEapRbrK158Zgn3UmDjGZpNIhOm3IH8qstM9hGnN4o7a9AiwA
RpyeYJXtIjSrkNAMN6gT2DdB4hm9AF1KAKIy6hJqSUivd6l0ODfa0jebxi0lQXt5NqIjQA5+pXds
4+sOvzNAwHyTxoDLbgqjcosKMHxIjby6g71XbKciqe5QtmHjcJDIWiRDX3BKS7/V9VoteEKuR7ts
EbsipW3Q6eZ0M9tDcsVII8JEwRF6qziK7Beq0TOzG9Ff23DXgrZxredGN6mjgHS/tL00D0Ss9il5
Sx13taVL2RJcf8MN1PxhmrEK0BMR99giYTN2/EnweRRpOjbNGyPi0bT7EMiRja8v3TQzPkC6OXzG
olpJMk5fnavKdpgWgHLaIl/kDwrep802b5NyOw8F9UBX4NJj/RH8gM1/MzGODsIp4TAs1y5ILcrk
ChCO+pE0y7AXsA5f7QlHb9hX9fX7J0vDtHYx5wn+fE5dfhutsewJs3ioDGHs3loTz6CldcUbkyaL
+UrZ36vUArvmQIfAnsUX78xiPs20X76AUOB/SOveONgDm0hAaum81UGK7OFBpN/en7TU7rjaEnkD
79/ZsM8TGCZbio3qeqTTQHhqlPa+vTT5g+WNxuMIELbadoUlbxF8WIeKoNKToL4K2rajTxD1ZPvU
Az9q31slqJaFX80Ix3qXj0X3o5NxgkCrcq5dQV++QVt9WmlXpxEI+TbmiUR14tnhN84OUC3tIuZg
RBzHESAvV5QzPpAcqM5dtTR0pJy0ukO14u2rfDUsr79WMRbVXQKBx/VVtqYCim5w/Srlzs3Ssi8E
zPlw48B9GQIwUgjaxzkimRho4MJQgMh496vLwdA3sJj4Kl2uVMkcoplvek0xX8UXO9jVtzKhoCmc
2ffcS6Prr/UxuonX/Mq8i8+KtH2zR+/cMyug3prHGEaeJmXuIGLtO2d5iOiRBLY+uReOs9JAwjWF
R6MfOFe+a6zYS95jHF3NCrkFMMGTBUFFiRRL0sAengk3ChxZEz0vS8tPivmKpFXGMmmgQAeapQxv
6CZO12KC3YhVkHHp6BI34FQZgxwsvNu5zqDlkt9zBkaUmDEcwnGgteIH8W/+0BivTTlgMYqT+jxd
erUtjUIcTMP+3ooOCLl9S8AdoQVDb14zoAq/0nt9Upr7fe7xDi2lKnY5QxlkkODitMKc8ZEt4FSM
9dhSO0511yP694c4XX4U2CqxGpPmjkBkV3fTXZn2xDbIbG+mXezbTPP2VeJApGogK6fjnF1kjvji
zBgepNccsmkuDjRzzLORTTjQ3b7eYhgKN7qHUiiCD6xV1ddGB8I0lZV+MWe6pFeCoYs8YhxBnO50
UTS+VqCYEjMC4ppzmCtfE0MmZ9bY6N+ko6HQzbL7Tqj0GVWWuWWtQ9E0G9dHTEL8ivK6o4VEFurM
srAfmEN+FiE8FRtOVZa/4KHxwrumwCA5dyEUQ3e+mmI4DVszGpLOLzsDPWm5tP0Wb0d5UQnnisNS
dstjhZ6TspcYzdnajphmKr/oQb1kZVYHlkIprYRRvyqbtI2lMA50jOjn1vVzn4NCaphbB6kYnkiF
gbxV8bbnYGrv8dF81y39K1nve31uwi8jM+ANNP8B8Dyj0cqytcvWQh8DXMZ3WIablPTXJ9rZ4JyV
SUdGdy9Gt4+2FAngYqU9nKSdiC/Z3Kw1hPRMX1nOfASwPCLkM+gsIlNIv6QS/ailrOJVhTJ97do2
P3otnKUyUmFADv2w450+7jgVHseoMLd0zPUrGabVLcL9id57Q2VlajbG5da9qod6/Fbqc/5tNIR5
tfrXfJsKC3RQAqKHVcRO3iW9JH3DbsjnLVxv40xpdDFMaGCP5J+KiQb/4hBqQHwNPq9CZ0lED3jq
tWtH4GDPTGPC2FMhrQzbiIDZLO0vpN3iHhMlSUNVY6M8spaR1+DUV1eVK+TRQhi7DRscqGQthw/M
TrH2ZrhRt4si8XfTeaV21UWufaBSyPZCrxoik/OQQ4ld4aRspzc60sa1KKLuy9gm4xkiuebRabpq
k7MXBqR3ExsmaQBoVo3KXC6HrKAKK4ZBO+oVG1jN/PisCm3l122X+in8rl2VCJePlXN4t/IXSeDw
RrXhCIpP0y/bsGx3uVm1ew6mA1PiDIxu3V6Sob6zNG3PjAXdqrt8TduW+Ji0HHJ/GhvGOCITmwQc
367A3OWjgrH2S0UXHWD3vq3wCxk92UR2roabBZkBqbVQPSuMUdfExeZ3TapghZqZ9tXsvCtR1up1
lAgUG2Jkd17tkPie41HVTIwQBLcmQQ9ldkP31tgAaz/xBq2uSznRCvX6GUzbaD+Y9YRBb4oClB13
s2NKQAukS3aum+7nUuxRnKMZFpiJhip6baZ5b3a88gCI5dshIUhy0qfpmAxC+Rgbw8PYhBdJ1JzA
Q9kBssj0MBNsex6mbux1QarFaME51J88SI6FOJc9MMhhm9Z0Tup9VoxpdGs6aYOctFdjtOELW6To
ehptzoeIMzSqfk+P5oKBfT5Ph4n6d7mgu4tSKI0KEumwJQ3B5JLos7H7DGPUhvd2XwUFOlpjg5si
nr/HCIoHi+ZCWBlE2hSPE9xSTfcGwqs8ItKtfrwL5bJsxbyoqygFAZoOtnXZ2ctTs5jJdqmdE7gq
TLFL152YlZEVg9L2upG1/QIRZfZTo1xehBLd5QiQdZeI4bWNoGCPtjFcusNgBtCerCNK0ZHdDxMc
UW/GxSid5hRRqmAI781g1uQ3ULQhHsQ+fR67aMYT2VpY+9EFFhqxSuR56jT/FCDfAWlGWJOAWYcY
AKYOqTK5ZPeeht4cb8z5sqqO8jz9QUMRdjyDiCuHXJa8sr7HNOSIeUm84xzRH4Mt8Z6rNLfdi26N
3Q+Z2fhXR7QDhqusM9NJ7EObenf60NMJaKhltCAbuuywkFaI/nv101tJi349L5bHvNXzSxUX3zmA
gnSsDGwum7FjmIL8uwqA8X5vioK3PsSHH3Jw1j0r7Lpdjy5j1wpywChfnC1RsdOpC9FiUwOdzCQF
4ZMukUL+kZtHwFFo6+eFldaX44ODvvYc5UZ5QYCoW/vNTOZoVjbSRjxgxi9lo0glB+k47QoR8yrQ
PYDHG46GFXVA7rk/3Ehn4xgiW5ySPnIfu1aC5jCL8mWJKyTRQ2haGlu+BDcM1re8R92BqkYsLqr0
rtopNsatKxZ6qshWawJTeUEv2VUS9eNX0WHndRqJowYgL93eFJYbUvSKR4iu3HVauTEH38Tr7k3U
T1G4pSlTIlRiBJJ0C3DnZKRtFWBUgO/SqOEtVkVxJs0uOWtp3uNTKl+zCZW+mun6DKa6gCNHwkLU
uien0IebKO7qE6ryJchAeUA8gOhpR5WLMN1MgtRzwyMf7AsHvzCQ8Kd32JbcQ84Auf2nffo/XZ+/
dX0Ymxl/6vrs8qpNfnzs+vzz//l314c/odvUEM6ao7ImmPw7QcUxkc57njDIJDVXWShCgS7+P//L
JD9gbRV5NBhN3ZDmv8WfhkXyM+lUTIKhuRk0cP6jNtDHrjh+VNNeYwowBfNvdcGX/bkrHo0TyOG6
6s8Mo0c7jAsEtxskF2+l2HtqQ2lQUqXS3g+8+K/e37XF9NN0xgZChAlRcH/wADvG58DDpuHFPyxT
tx97Y9jKGae0IOU9wGZVnP30s/xGNvDbS3krxgyFCLfu0wAdseggRGF3e0uA7iCcedyYNJ23pgux
+z+/FLfSe+/kOdZnp/EikIrOloWsf5oSbA1LEwDeyvxukv3hz5f61MN7v4Hw0ihvTR4KWjcff75p
IOg+t7mBXhJ6m2E2brHuOW8TPbeoDFPYqaa2aUK8/LVONfnni/MM/vLrodKx6Fni1ueY/fHiNA7C
0Ky7bq9VMP5FOsXbUgDm//NVfv3hCBgiXAK5DZQShl4fr0L4DIFbTdjjIrCclmcTlgtD0obQurQu
YD/8+XIfhRY2d9Q2VpUFA0/QmyQVfbycjQnbhOvf76PZ6ZA0t68EJr25qPxIxivOHXobfxlN/Xob
bYOpvIGog6kVtsOPVwxjfCK0NPrVAGX7Zejl/Fhetf3z91pv08elxlVgz3lMorEbrW3lnxc6DgLC
QYmj3BP5w+lI0y4AVV7PzE1BVRX2X77T7+7iz1f79KMBw4uayM57EO6UTitQPBrgMtSwwTeVB9e0
zbKXP3/B9wHe52/oSndNgsL+TGzpx284xxmIduayexE7gBkqi0Q8vQ8PTrVgqKiiLOibkxxm129y
2ldOp7tHlFVnPY22PUXSsO0nA3vKKOvv02RqB1D1Hj2frkFpNHNQiSNfMMP9y8YkfvP7mzpDAeHQ
1jd+eeJcFcGF6VhGyUhcJ61p5jm03WwaDho87USJhu54NQYmd49g4cn6pi+SUa1w6yuJT82P6si7
Jtgp+stasH/70dif1xUOMfEzODT1cjh1dt5RqcZUu7EdgAqf/MZFwauaSEEYNlNfH1HFBbDLaUqW
aXuhwoKyp5g6nM9gKsBerM3IkjAKUUN+LiG/lkY0n0e90V5BtNaQxtN4wwiFORnAst90oMF6qDwP
9LzIxzOTxm8tTe44JCUUSq27Bbl37LIWjbCW934HXhmbs30eW9mXfnShw1uzuZnNBdyK2cOf17rr
ypPLWZNI+vZoZzcTbIsLPZ71Rw17wz4t8YiH9vyWzeapc7tsA30cSxgwj2v+crn789P66wJhDk1h
wKrnHSzlp4d1UpHd2+P6oyvQx8wy/cTViRKY7vslrLd9X4j/eElyRZvN2sawv+43H5eH106D6y1Z
t2/D8CAUibpInr3SumhNem+Z5zz9+Rv+um8Dw2W3EZ5Y+Yjvspif5u2KVmzJb9PRnMrrjTGAWYmq
EVK10c7Bny/162PqMg1DnQIpgYPyZw5B1DPhGIeKt6CLXaXSGnGoxl7+5Qb+9iqANChTTGw8n3+y
Qg+1ohu5gZrTErTWSE87I5bNvfnzlxEUhJ92ar6NC6eBahFNq/3phwLLszCd9tR+gksS4FAltmYq
aJSSI4SITklKCh589ILRsXUfWyPaV0Tw/G1bWlU9H7dTQBE4kPAF2ciirU+vpaaprCUZJAIC/O9b
yFj5LhzTbsdZk3G3aS3WAQcd4H29eiWZTZ6yLh33ka0Pl8WymEc7YzT951tj/PYzSYmtm9BJatZP
r5WIxo0Wxqbal1FfHvTW3no6gToL5vurEDe3H8u+/pozLvfzRpuv+5pZv5PoRuC5ZYXwL3/NxTRc
ZWDfl2X8hqXV8Olm1Xdz2SMSJRL6zCbY5FjO+RUO+b8VF7//Ap5AFkBJz/pff/ufFkUoWg97w8hN
jedTxGl1h4Ep+oI4nZd+I9MgBCpKoI3T8cZqi+McL89uIu9V63gHGN2hP7ntsI31yrutFkmssLW8
LnZYHk16NzsUYXMwZqnGu6LLd23S1H95JYhPajbqIx6Ln77Bp6dz7HI+cDWr/aylkMEXrzx2NrQ9
SHZBt4p+zN7BDpTqB6Y0qyAJBsGfnwLzt0+BhxAWCJYhsIx8vInuzF4y273a06kiPpdJov1CWXUj
LUVGrqf/qPJhegQ3FH9Xrd/1Q+SnlREHDDTpHkRqZ+iKOY9jIbVIxMj8wOjrNZZC3092mvqQ18Qr
fTXBVikBDZCDpacVHgTvESpieyYGm0E2/qkz+qjPctDvnJkLRRYptPVI2MBf7vmvpZsLu4chPRWC
o3Na+vh9bcSFWZiyITRp/liGiMfSPNAWsArEsZl/qRN/s21DYULjTl3/rlr8eDECIpyyZdPZ11H5
5iVuyFsbuIk1/adM5PVJ4krQiTwk+xJA8ccrNWHU15KO7n5uo/tMmBEI13XKBjIU4S3WNHwrDmq4
0EGB/edH6DdvXwccswNIkRfTL2rqLkJgF6a62iNpIMjMvZlkcwJ59pbL7oUjr/OXF9R77flpM3V0
7Hq4/Thwk4n68bviq1RTkvDIcgwvT71J3TMjh55LWtPmsLzqYXEPz5CRwFxT3FhYFQeF9IdO+F++
+m8fJlA9vFkQa+mfX8tJjyQgHli/QCW7QK+ls0EISO5BQjQLOeFvf77Tv3lpAjAyV98FZ28O+R+/
uOOlWVT0Ez/y3E77qBahv5Cf9Jcz4m/vr6CTwZPE7UVc8/EyqSKMQFi12nNGbn13wEs3lKiwnRCg
DIZIVudg9YE2NzmGa9ThdANIzx6082UBk/fn7/zrodzFuEu1rLOGXPvzeh2ZWjMBzPgwBP5tEc5G
O9Uul/PAgDYqhObXqkBAL3EvVlmv/2UBi9+tYKohbjZ1O06ZT89ah9zbMKHN7kEFxS+1XPPaxjbq
rsGq2gXu14oZe9XzBzbavHIpB6fJ7UBPYRZsikbGGYyWebwcYhNkn9F1vfBt3L8//nyXfvMxYZKt
Tg5UT6u4+ONPFmtuMtul0+ydKWxxtizD1lKNt6WWT/5yS35zKY/9E8uIpA2HVeLjpRIE4UyIZbPv
lrB4s8xZ3i5ljFpQc/T/j6+10sct3Vlbar/sagQyLl3tWs0eFUl7CyLM2VWzDM/TtqOL+N8+85t/
do+fGfa/2cS4Em0RSkRJU+vTM4/OMUqrnislph4xGSjruyJCOMzbjYhGpiVgLIjQ+/NFf3srOV9b
jkA2Ribpx1sZRXrZebHNyA3uiV/YjCuI+DCCVjfUXy4FX4E/9mnXpNLQPTRN0l39XR8v5mZW1UeL
4BGxWiDlDsyU1k9wNC0BE8kyRy6JjdqhJodcjPpK23Fy7KftMkmzAKVks7gSkx7jIUQx+2AAqUIZ
W2ZuT1RbjsOxQ/T7DFuEiB98X2oXxTkgalWu0JaSr4TW1qlI7/AGfJi70dTN+Zzcdm+fzK1cthUU
zHQTZbG4d8g2FEFOkLCxS0UxOVtQV7Hx5I2EL706Kc2SaFNzgonPGZabYdAmWRt/UXkl5gO5SJ69
J9i0sLaaXotjQXaStkfjOqgruyBy+NLq+jm8dZTIyx3/WRt3xdhCFd70lpeRiJUNVnTpynIFhdgm
M87eZhY5aJ4DnALL9BkU4JJAwKg1WojZyQMhACY6AgSk6QH3UlT7bl8hrAILOmPUreeyvUgHjpOY
5j3C/fZKjRhip8GeJ0bbc6ifF5oKdfoORW0EdWGvxRWqE+NZQnci/gsIM3Mcq2rvahsq6r7qVDrf
jKEc7srEwjMEudqTJx2RfbTFIx71B4rYade4ZO7tSJdz0Okhe8CPovDvlO2q2MnDtf2na4YH50zZ
7pc0bhgn5QVx98qCMAWdiWTOwu1v6fPu+lX/Fq5KuFxjuNqVzrgJi3QC841izmy86x4JHYOm3bRq
6kLEdYMVR5j6GQUZVjYG2arBi/rhaK6qPANYEZ5vCDs9ir1+1e4ViPgsUxu3w6rrU6vCz1m1fp6V
4C1Z9X9UzMsGaTDBQKs6UHYI+qweLUuJdHBp0BAOq5oQgRe6sPxB152ts+oNba9ot2LVIGarGhH2
jTgnXC6+NFetIqcFJkco1aZVx2gjaExWZSO+pPAQYszxpzTrKSqUZMxt2YFaVZEZ8shm1Ukmy7xG
d2XXGd2ladVSZtNkBKDCyeTrWiw3oB98SGzF+WjGoJ3RY2L1PhVaPG3FSEwoWTsQl1b9Zviu5Fw1
neGq7ixXnWe5Kj6h2iKpQ6T55qx6UCSNdeCuGlFZVQwnV92oRI5xMPWEENBVVUqT4miIaQdNWOwy
e34qVgUqvPszaVt3ST8/2VNYbolnolHXh0/F+6wrQglxGHoJZGYdheHCvyeYMjyqdUyGMMnd6uvo
LF+HaNY6TovXwRqzz+GmWYdtqgdLNTJ/69ZBXL6O5GZmc2od0rnruC5ZB3dl4Q5vlmKYN/8z2Mv+
GfP1/zX1o9Jch4DVOhDM3meDBg/PIxEISD3k+xwRO4EI0nW4WK9jxmYdOKbr6NHNxEEnYWyLI7za
EXDmnvNvKuIRud2hbdgzbIJ5jEb1FfeHVA3eihAnSbAoo/1K8NROT4HlbjSDz7yXmlF9n4h5q8/M
LDdwcbitHDZzJdBgaprTgbOTLjj6fB5sbc171BH+VA1zyZY7BVCtzIOFLMR7LCnTjZGnxn1YlFly
IFkPMayXNOS8GSQtgfzGutDQjIsTpb84ekg9SX+33sqFYEmcV+33TrmRQ+5TBAZjtBPzYpowb1pD
hvWb5j6qvBJkARPxQQ8WvP9fmDMVb22N4wWHhRLfykm2AUc0+5oZfv01WV2vCg/EvqNiuXehl30d
FH9n1tDUkp7QHNHE5n4yEbxhWKZ6pAvHGCRVONRREfMkxKbXPMWR23xvaivbZZPWPCEmTc7SNuzy
AzDIbIckUz3aVTNzPgRgGcDfLbqgXxSLIzc0wnoxFQSR49ioUQzz0K/5kZIWMjRkaBwE/IqhOCtq
kh828CmGhyYcscK5CIvcjUcQXQJW2sLIVjAaxMUeY6JHCzQeYR3Gd3oR5/gW297YIciqtYfSs/iK
ss68+DwyFj6qkw0PA0j18TLC33eduCAJGHovlxXCkAsrtvirZp3sLT1x7obOwGxEJdIcycUjE3JU
9Tdad4gdUJxcRy1LdVuCxNgtPUbjscJuspdSRtd5Xg/SrwnlvWYRNSwqfl2a8M0xKzwLuHpcv7RD
1N5aSyvuVcL9frckL3MJ7CLmpqKGmM81Hs3b2m7rFxIDytYvnaUeCE9I4aBT8Z3ZEzg2R4MCLlqr
Ob6bnJdB1S/dXLdPxLYZ20XK5nslIhSVC5Gl+aYpi/AY0Y3Y916H5BhcwrW1NBrgFqKIr6fEXjMh
nKKYf+CNtsBK1MZoAo6ANBaSJsBruQ5GyOu+FrtNs4HXDmDfxYylNpAfxX1NGvp1Ylfhl9qJIzjq
ffXNiZwsgJdJOKShLaFYVTvqh92bxjbq3OY4t3oYRFo/nK9QqDP0hdMXV0vZFyPCpE3CugOAD9F1
j3ln2cSuTQVeQiy+hiyXH9osXBnfHk0cBOFjeIwL7NSbcPBW8t6YI89Z6qrfLKxz2lilegTxN7+5
clA/ZGTZfhjORNK23fqU9/FqUU8N+y4p4uHBqjq0Y2PFh8xtPTu5XQvSJo2dO81DGEuY2xhfz05R
io2yyvYpX/1qLkGuD3o9Zadk/bkNmHgXdipIWrEGLpTh3CR4GwUjRUZ8bSnuGuDv+UYnuQLfH04n
bVoRPTTtcUAWKdJvPSZVFmXeKamW7ETJPn3xdCYyyzhY2nFpaYmjtYznN1nT5kOgHkP4pt+icOU6
ZLLikK/QgVjpUiAr1pzwZMUcuTZ1r5r5gGYMnEwMjP8GjwIoCBpIPGnsWfF1nqUgMAoMXTeamdLE
HeYVJ6QrNx4OhDC6JYCY7q1yNc5MAMBTvylGOOFVKh6saA0iGZV4dYjjIxYDId0tu8XyVhkpTA3H
KFcSUmr3rwY+H5vfDNWlVtfcFoc3udrrYybwKVPy3i9kiJ+8Tmc3k87wOtVuc9uFhLn3jVFfdcNM
0Am4wluBeu86dEiEw7a78kVd88A+RkjB7LK+Sy3qHhuisvXbVnMVe3yVrbzOueLmYVe45Ewc7vBZ
EjqIlkDSN+3g+zSh6X5blNtdhUUd7Yc8J4nDIaG34bV5YbZWRharjJIbx1L1ri4t9aWth5BEwPiN
EBD+EfCDmgzP2nyxvcjeWTUBFrUFxBb9D0xHbOF7EnQJT2QiEWRdyzp8F3TjSFyzoDg1lFZKiA3h
rsAjq7vOsy4BBa6xOaQFE4TaBmPvpVcN/R8dosoxLeqWy2YOCuVCXMWyYN8wF8breqIRbKvV1+Vs
h3cOWUQHb0INxKZbIG8vGTY2wtYPdtIdh3nOIfT3w6Ueje0F4FoINnE5byj1KQE9xn+0UJ89O0aN
K3GJZ4BNfwy5heFPF3veTvyLqZpt6YjaR751jg/AeqTexuyoT9WLN65zpqrbxXSWD01YSaZlMQXp
kFbzozuN0Qnf4biT8MCdilBfbwRbh9erIl58eab/V3zNComxQlbcJEOzIjZ6Tji+nGcr9gn9UYdM
002kTRqhw4VV71TfM/gSfR1QoY432ON1BMepuusbjdR3ojxPveIivR3Km173EChzjtlwKLWeIRE7
D4CW8rMkkQ9Tqhd72qUxdSCl3KZI5grb3hhfJi6Nm0oYh9BcxAsI+XFH/pK+h365BG6CDG4cWIyq
jjvsaLQKo3l2zikurMfUsvelPVU7lhMbcIWAehM5aN293PPehqw3HidCUq68wltQLRTWfQ1yk6gl
z9rZ7F3nRYhXXdhS3s5opHb28H/ZO68ly42sO7+KQvdgwAMZISlCB8efOuX9DaK6qxsmYRLePL0+
VJMzzSLFGU7oTv/FcGi66hgAmTv3Xmt9hORvPerCVd3W0QYrhvo2M2oyAxW1yWWVchuQSxkRwgMY
nWVNkaNs5xAdRpXWAQMErJVo/DvPpaC3o/QtJf32GA3FviWQFkmirV2UE5HHs24+tYmWb3kUt1jv
Ugo1B0YDJp3L3HbCh0yWlBk2Ml+WwHQF4Tm59fH0rWVu+admSli99HgTO0jGpVU7V7lySvA5gzAY
WmTzYZrK/uyC7iyo0UiEdm23QOo9pldZasVwDYhv57mrC46lGT5TGBLl0J9F2KbPOWEpO8egAU9r
jTDGala0NLpEg1YVLokGNLM51Xl9QshtTUCyIJj4Fn3fsU69cR/2bdD7jTxnXOVTUwzgYW10/hMD
HtIPmvaCvi9M6SbdGxAcngUzU845b3VZdEFOhGlQKZfMK6+ICfnsW+N5hPV0KE3vC/7dbyEO1Fcq
1uw1a3D8pg0ZkVBENLwDCK1br8tvJpeKJZtqg6G3aBckBh4iyqFx35t5DzLCKgd73Xt64+09icWb
RcMtr7Rh4ZQUk1de0b7B/0kwCeaDLstYhErDSV/zPC1uzMrPb0jbJGEqmVhA0xiRJKEkOvGjafxe
hfqsAlPjF1aoAI5OjQdjsk1/eK6peLhuCYecHMIZuwTp34dMgVOZSYB4YbekdzYD9FpkqPynMly4
JYXkZCoXQ0u08LNyCbe46RqaCBip8+8SyhVA1LkNX/UmNb7IuGanL21yJJpqDF8J1+UQbocJPgs1
h8275igtB7HSC28zS6e4yyqSKHDK4lLZelHbl1sbQWq8hmPL7RGbHQVOWWBbit1OOtSYZfhKxA4/
IxQxT2tSMOSCZ9W5jQprauW6b3iXmxSLoL8uUGl5K9scedEUQkZzSman5dyoF8RaBQO+4YjADoPf
PGtExmIip/24jm0xaTttWkqAlgkppKaRHJw01gF1uzW5ggEAXa6SNrPVBdnYha993SNPjroEakoY
Ofl3s+t41a6yiJkZbEu8/vgynV6LuhUSJCMJ5kZHmeYZM2G1nCfKnSWcKLAqt5EBvSC+esuwizsH
/RjxE0lKuwdlAfz0QuJ1VgZdIBwezmhsEQijaq3b8s4ZUFRwCZm3BkNY8fmk59APqZUu01ODiqHf
5RPCj7Po2/5779IbXXWmo+KzqxnxvZx6k6D1onjKDeHdSEwcYaDgPN4PsWqm/UgbPryyOz703ux1
3iNVOe86KUIunjuNhcb8r3SygGuymJdRBk9r+jJ8i73W8udncqzeE04vyYo3uyTN9823JG3SbCc6
NKUUvoSf7MB6mWOQwU+h3uVyzvuC/t8RWbiGFrtsqeicGO/NQXdrmig1sxXy1CssWTzqNgduNmH2
L9wYOsalwu+QVZnzOGdXhJnhCVxKyIzo73aVoQ18wPptbqqs1I/MpOv9kJMWn0f+iAdQJo8z0V4P
g2n3P9rq/6VB/RcaVMSei0bgH63hPziPLxfN6H8LWHmzpKCJ/CPY9PD+P//7rz/6qxTVc35hGuB6
NhopFCAfSV2/SVHtXyzwK/YyZlzGJ4s3+TcpqvvLIkeg/+kvehXTpeXblN2HStXC0WwZjPB42BA8
0sD9GzwJT//UXLaFYQO7AskO7QLdq7f0g3+ajntyRPCeseGM7YIhMYSMPTocEf0ys68F3spe6Tz+
uhe7B7pO+PYIBhR+4M4EuQXm4KYAz2by5Da4KKJqr9FeBSquAI/qKx3hwHueAPyaQpytqmyNS549
+9DaHXvLZKbVS6ZYzvvEYAwJzhmvx0etms+UxYJTyEvR4FAlbx1wS5/CVF8NBLZfGLFpv/3gXQoQ
fkFJ79IltNr01c5k+ag3jdSWH8FOmgcyTaZrswIb16G7AIbJcZBWdOOPt9HoiEeML8QHpLQUcPiw
EliK/sdVZBayPJZOXfpHV3jNe+Nz1MqKBVNpxIUWGMSn4JNZ9pMpG1l2ZbfwdJSwicYyzajeM1o2
7smTBdlljourVOv2OPmsh3lgayvwyuwbS6eScOm6XEZmxedXXoQX1s341RUIKwTBgq18B0iqeU9x
r7CT2KV5nzQZBJmw0hdaWc0f+2Dq5KXjvE3Rgr7qIt6AYwy82yHj1XQrMu/TEMZ3QDwyOnpXjHxq
W/KavrQQcVCLAjf44I51g44dyk5wgsce3CkJqcvvOXrXQzKe0zDpERsICasD/BvQpeX7ZKq0ENVG
yB1r7mv+zY8LmukRsdeQ7aF0dcsV/iCPcUmb5tnl3DTCAAvZhuCEwN3SmYcnN5BS+QiUhPwWBdEq
WfnNUmwgcOR7GVINklc8agsna7LpDHkah6dd1eZOv8dBE+tPNYEU1hajBQGctMy+x2HHN6H3hXic
MtIc5sbZMgx2OQ2FtHRn0gtvvN4mQzQbKwaGRm7eF4CuXj6YgqVDKU3XClHnFpQUv2kG0R5h0P2I
L1luopam43XscrpYeW3P3WDWDVdWWC3oEAJMAQwiV7DPmUc7msK54ebTTIqJsCcIf+UNCkcJ5UW0
0VvFeWuoeAg9MXKB4Z6w1/siwhIsUwWnjUnrAmwW5EBu6CZxvxk8lhelQhe291LCvLS0pw7C68b7
TuYOq26+GG4ZXDGUAOrIHRMaXfM+jjYvSXId165f7hOIqBBXFzgcjVjYsw76Ht9Yiqq20glAYea+
8aisdhMhGhvOEeqlVpwsP27hDxbbJJvyVC4Pe7rcpKELnnGwOr6SwcQ2PXJ+uM5nE2M3zR+5RaAp
Hq0PXl9bKtB8EF4W0OoCqP1Bjvp4JIhl5QBKlnsVTAtLq2IIDnYjqV5mD5wdLjoyp1yi1O7toQwf
tVTvtZWi8MQdUjF/zmqPh9MtoSDPJuniWexg+BmSnI+jJ/YhIaEFpOAHCBVhCjeYZvGQE2DD9/OB
ee0XhOCkz6wgdJ7JSyPw/mIoM3HBSIFL2FL64uejkYYLGyIOieoeYUDXadVHHhbZZmI9pSpa65ny
9q5T69sfSMNqRD40kO+2GkvJ/WONdTRsZ4rYeCN4KJgJ10T8rmaLFSs3yyG+nZpRnTFYi81HqW1N
PMtSsDz7qCoxNBsAIlYfHQYpMRGkLUuGrsPRbB3V8Q3C97tV3OjEMMSyepF6WO0FaIZd2MbmvUe7
7pLkuSHc+jGwzLtGCLCd8CStA3ko4mKUkjtKE5TQ2CQ1457aflbHqPQ4rFkFI5Njjo0IgTUNg842
we/1A1cpSzgCN4nJ0kw/kHuKCQc3+OTOXNa6yZw3fRA84SNaoPuqm4z71AGPs5aUtcUqh1wjt0aD
Y5vQevUykHLtrnK3Mi6TUhj3Oajvek3jgqFAT+o8TyLRBdPRZhRc4TCnxI8k/bEkdri7l64QykYQ
k4ljpCdbdfW+MzzGnh/3vG3a/JDe8plxdC/3P8dX47JLevHoOAZ0Uktflj3k1lV709OLHreEh7G+
1U3LKSu2lvtRLHZyVfniUbNmLuSPJQ31BGA45Q3cSk5IMsQh9ZsK3wA6q3qjyMe+tl2ergx3CICJ
ga/Xgl/28cTlvW8/DkU7GsFYOXW8/VhZyzKG+jjQVH00EqsoHocomuSTM1isExnwHzh9/UBrOm6d
N5Hh1E+7Kr8x4s4M/Kh4J5pJHGqlls2gwhywmsKIFZjsTeNymCFJrTLqB+iVxEobcGbiwoivzCme
9iw/Vj4AIeooITgsF/T7EICLU84RgY6tF0I3hf8ksps5zb6lerKwBrJWix7ZSus9gUw5l6jQeWpk
B1e55JmsOeUUCT3IwXRSzhy1+14W+WMZGfVRhGOnEwXlDyN1iFXfY3k5IDXm223cIrtnmqpO7DH+
tVF4ZP6HdW9t64qI4Mow2ktaMRy+uyziLB7FD4lXEaGH5e61ahkkmGV10ZBuGtQkVuleyjOwQhmc
a8O+badDE3fqxKmOg+S1HuPvYPJCgCXQVNVUW831xLWy+1Wae7ch2Wj60wRFVGOfKHMXDTAxGKyq
TBEhqpN3bOkdc1zI9GuktjAePBDgcLhgSAWqNPO9YRDbtUps5RPYJa2tLMxerLxk3urdOBydNCZN
RPOGqV+RbB5P28nl7LQX3JbIb5rOGfn6Y3Fq0Y5e+WPrHRnrss0B+Ngno6Zw2Q/Gg2305VnT3eKK
CZl/9DBbrzMDcqJLbNYm8nGhwqsbwXRLrzsxL9TPCGFpiDWaM75ljLMfJi9/sFOvyi6yqrFvKhkX
G05Tgx8wohAgIa3+ezPV4kvskw3NWBsuHjfZpnK8ZO0T/rxF2yj2el/164k8jE3uqzEOiB3l9Gc1
6dln7D9B6+jc97T1C0YmQ8g+nuibKBkehEjVViZevfPC4RXCdkCSqPeFRM3pNnZwOxtZZW4tCVTK
bJ36BpNjTPlTuBtmIOPXtDPvNSLVVgZhdWc/iQmKZFgblLRMkJJo9i4UvXdB/ri9iarmvhJY6Fe1
S2W0afKqPCNyYYmSOfUJx9BNRN1w7PLaOJrQDveOKOkgis6+KK2ZcCu0m5jAK8KWXRLWx6ryN/Q3
gBwtnAzuEHltV+nao+rUZmlcsQlg7rf7YhvBXz9ktUV4FrN3q7CKPeSgeucvOwTRAxh8I9HtHckF
a5JJe2nCsVrTKRdnEnRvugTVSFsU+q0kq55+W9Y+mKOpXUw5eTngqj1+jrm0+6XtM0FdYprzEaxz
tUuTtnwmlxICaN7RJ+L+hqS8DCb2HgO0S90FS8TO6xEeZBNa5CzMTpkfBnRIb5rMn5n20RQyvAzG
VF03W83jtqEfOtDEnXH+cAYmrYEkCVhwCWQgJ2Mjwot56AvnXcWRvTFbED2G0sF6ABs5TGltvYW1
rqp1WDbjMxXxhuq6phJM9GJNToPctJXt3ocVKworf51vktKgQUkyw15vRgtYSzatG3OauGiZMVzE
neYZK0UYjOhYSPya7651sIcPMjM2WGvqiVqcAU16m+D6J/Qkze1s781NH72z+Ed0oOFxz75Bn17r
C9occUgccBlZIdEdscbCVCfu3pfd8KjJxvTZ9kLTXSWdgUZGtZxAyIXx3BqGTMNzkRBc86jIGznM
Lv1UAQYeCUA7k3eOEFWkXrJ1zUx/GKLR5xa38pJZTkJnszdZSPNEfBXCii6IJIAD1jZPqGi6U177
Z1cWsHapBu7yziSvf2hcupicXdqjrADVPjWu6vQDmWkEUyDtn01S8TDFbgk77aoBH7RG5RRxcAuv
wlYMVLN9yTHESUr/hXQAFvUQ5y6RENowwY0DHgEde+elKerZwMxsWiQRfZIBcZ6jd9aLT74cuL6O
UI3AT3DVbMmdd/JTpS8iJFlScq11ZsE+d4/JJAYpiCDjIKbaom1KIeL2NnsT2utsOuo0rG4nczDu
4QJnQV6RExkLjfrspxP/n4jBFgnbT1Kp5ehM59ZHRmSZHsfoTxI3RmSwW9sk3YeloNWXl/Arnmab
yJNn8k3namvngmqkBCRP+Nwg2Xz/+g18lmAu7wCN1vJ/TJZ4F5/kaEPsEoRnthGTXIESgZYc7N5O
GKEJ67BBUwMAWKFVS+Lo1CoYbBvlNuFlVLRMDPWOeKdSUlX+9bv6k68FuIqF1pjOuf0Hm01hddDH
UoYo5MFSpI/s/hDvS2rSnsNxAH+CyqfLZ4ojrY/Uy1+/+oeG8dNV4eXd5X+U4H/wUNCjll3Rz3wn
U8ZRKDWqiYFEQ2eaEAomnI5GFT341r0EknUwFqJ4YUNrPPV2pcwrMkcIsF/pso3ifbucoFUVFel3
os04wxQWC+2/eMOLou73b5g5iuF4FmAZxJKfFXe9iBLN0siEo0NJQ1IAK2yC2JWKoolYzSoosFxu
3LGp3nJbTrdVS6+iijnLJ+VY3+ZF9S+0tMYnDSD3E4Yl0lDoenqYoT9uu596QpqzxHdRN0A0WVIR
EUYRMEBL6pEkK+pA/wNaPpi0SZE8o3joOV8UA6KLnVGzJaMdU8sZjG/2r7+qzy6EjzfmLgpI1yeZ
/g9kXa/XFUTOKt4T6UGFylymzIBIDUPtjVRFVlPcEZjh24cJZxz9BKts5LG3zf62s3uc1XE/iEdd
nzgt2x91sUEY9U5LOETRkaZ8TyI4UVm4JI7US6+nEDpPNh12uiUScnp3XpK3338cSpOcaOwOctgy
GVHjLbHKzASgyozXSx33lhSSe4uZLzg0BxXJ/C+uk/lJjbp8HR7wIJdsflqI4nNAORHOVTL1nraz
Yoc10CxR2B598G7cMyPvnoWf9jURc9pdYUJKB2MZ87YmSHp3o6CPfBdZBqcTZ0a6A7mSv+XL4q8g
vRAkfrSHLHOhFQ8187oLsiOiZF9GdMCCxFM9g8CeFKh5ynl1AoRo3rj057lDOBD8kC7/Vyf6TzrR
rBD/7Ccb+tKVXR6F/3s3+n8X0bfPfeh//tyvrWj4xXCPoFriwsCNzw3zj1QE4RB9gJIfl5dHuAE2
7H+2og2iD/h3OMEdh+Ptsjz91oo2fmGNt+hSs8jTWdb/FtrY/WxzQnTsoarTLRemBOZzc1kof152
SCEoiD4OD1K/iZimBWNJPZYUeZGM5CtWnbPLfOuc9v6Z1BK2O6WjmonlMQSz28fOuRL1TWbEW7fG
X+D7HZH68uwwnmO8Ir+1qXmswiU2mKQvtEbRuNJ0Kdfg5s5J4T51eHmxIL4Z1nQrGjUEc6KvDVA+
W3Kqr1v4K66Vz2vNgstqhZdyQLgrzEPmo3AsmDa9Ml/uordFq6tK7MSV42xShCaz167x1UUB8t7T
WDqPhNa9NUSlW7G4xVTMedsMgXo1DxXoIOXjnEqoSUl0Rp6U9DvR5Bd4/AM/ttGXcnqaOus1IgqX
VYc5tzD2eUfqpIm1gcMMuTYxluCC4BcUVF0OGLrbKemehAN81oHPkk1JYDUSeESBmik69Ua/pSx4
MUNtX4rmyIp2sawKQyavW6L/utxM1/asdlOmwYxqrA1ryc4p6zXkq9u5szdMTk9+kzLn9r9VvrPu
cx1bnNhqg/UtRYFKApGVgucZAhkTw0UOZ+BUVMuzc9fY5t7MBRKdsTiQmt3y6fo9o3dwhZ69Sqfh
iNZ9nU7yeyXyoDUZrM91s0b9saaHsa6z6ioh9AcRAYHG6XCVkU9lRImzwuoAhLi+t2u11zNm2sK4
zerwyZ3TtRqntZeVaDerFNJj6K1HdDT1rM4eeqGVnmfXbR5vWPYfSGu9Lrp0MxXmY623mFyXhA63
gL1abOKs9NbOPB/GcjjRV3lJOf5zAA5mgfO2VVeen55SWb+mubMmP+zSGb1byrMgNNTeNLW1WSFp
w3+07yALNbPaTLF3q2vNM6zjrZubt6jSTyW2WmpN3K/6bommS4XzFfnQes51QpM7/xTV3UXvZzdZ
hwReGy5DnTBiv3rPNG1dCSRhMtq7dDk1rbxmvhvMSPlWfX3JVdlXUfqIafChi+9x60eedj246soI
hy9uoZiD6LvZyx7KQuyIjKIB57oHZKRnsubeLbrJQ2UfyXHckCchVyHZUlpZX00xGMYYzUiAW5lE
nf6tNTJIse6VgTI96dU2aoFMq2iLC2anfHFFn/kBCeKZRYttB12jG8MNp4Yk5fHszPapSNqLSuAp
jawzox904tFdr8TJE+oYZ8NbJLODzNx9G3Mg6/yNCuUFiNCrpp+IloJxCc5JVgphdf2WVtNwZfqk
QSJpo+eIPj2W4zrtPMirnJKseKM31U62JS+JUCk3FXg9qR2A72o70QpEnaPFXZI+CDfZMp7tVp7d
HVEJolO2UHMBsCCh/sUlhaRtVHlwxPQkTW+rdfVdIdQm5EDLJtkcQxS5gT9Fcqt6wdZN9p2c08PQ
cMYifAwbQAQ3K9+2bfJKaXVyaBujFTsAJGlWo5tvaz85d2TNkiP4hbQDAHgQFWznCXn2vXSrm2Lw
H9N0ehwm9ZD31pWMtSOgkA0ZTnfoP/aL5Eaf1LObWA9kZG+RK9v6ltxPbTiXvrkjkpHbXXXnsRqu
yVE8Wc1A9NtwhwDqymzk15ouItVyuuGJJF/YPySIoUk5PhAWcRyqL/Ok2yh2h/sJQCDraxR0qoAs
bSePmcW9RDuP1MAj+Xw5mDT6WnSh7CTc5D0TPNd9Jux2x7lhS9jKm5ITi/e0HSF6KhEeh9o6VrN/
SKPpeWybm1762zFbxnLalS/yddG6DUuOG4QxUWH9vHUXZ0Imdzh7NobRF5u5zZC8JB5KluTVduqT
ZUHBLlX9hrL3kZLt2An7qRybZ0ep02x44PWKNPAHbhzpTBdWMqImbO96o/0WDe1u7qbLuk1exny4
bQDurdJ5QLiac3oOkZNJ5GW19DeNsuO1mSPWy3tt65usrSK5VDhraK9Y/aoa/WkVJ2hsJYVni3Mj
kOWw1YAfI8FvvjZAgoui2Kb+fEFu4dvch2uOvtsJ1je3LpCNIblKE4ImjW7nzcPWGqKbThN3lZ2f
8zQ/i9Ld+Vq7oavlrtwp3DUEu3fiIobKYJoQyTyN9I0hu6i79qaDTB5olbVt0esjOAm/9IAaQP8Q
YYKr7ibDkd43KE3ha8Ci/gKq5pYd7CBr3jJYhyGyTrWH0Ka3zCfFNuTn2gV0lMPAUGPtWN2r1ZUX
ynWA8RH7SATmK873N47cfFiLQ0XP8ps4cuMN5l6HJVxPDjbhedxmc4kGvLnr5i7QObas85C5AnCM
wzCEh1bSKnbjr4lIvhZVcjGT0JNl0QZew2XHroDjc1/jBJk772lQGTo4EmiMYQNcNiEuvzs3WFLW
KY53vVNYGZpmo9vZFmzxC8UY1JCCnLkSlV/ptF8bQz3EqqUz7gi8DuUXq8F1qCkw3x3lUwDklwhi
q1m3NgjsxASvSGPQ0FZsaTdza5wqlHG+Mh/yrkbCNN+npeLoMgTe0GxnnIC11mzivvjCPOBblCCk
yTw6O8gZ+9reDm1+ERfWXQ5dhqH6pqG3HtsIWFARRcO8jYf66Cb596TwjoWhHXK7CEZRXPTUKExz
jJXlNXe+UW4A0rjk9lb8qB2tCRSEd9jS/USpjRQOw0d5Q+bIrd71F1poBKLI+DDoBfMM+aDZEsPr
3Bo+yQA5XhpHCwqhiRU6zEvsSLvET68t2I+wH66jLjzBLMy3sJZl9vxR/f6/PiwQH7/kyDf/Y/nF
X0tF942W4v/6/T82P/45+lYuIpDf/QN3UtJON923err9xsCAH/1BSVn+5L/7H38t9f+tYwCJNX91
DLh4y9/qP5wdPn7otzOA84ulE7GEU9bASUBO7s9ngKWQZ+7AwdajVEP/8pscBZYuRngiIDgEkPei
cxj57Qxg/WJ5qLnpXpADYi6/8Lcv4dcOGt/fjy/lTzpqFPq/b4YskWyObRKY4pLBRsDVJ69jIRoN
R1XRHmtEUU1q4ffL0p3d26n/MjL3qC7nSBbpiaZXfDlM2sHR9Hk91l79TRuF2GF6iq+qjhYcWgSU
fGaZnDAq+7tOo1U/xMkVTSm5I1/cYA/U3V2RTTf62IcbPwWzAWVj2tpjeDcOcHYbk1Z+4jyDjI22
OUqzK/oPiG1nw7maaAdsixHZ+zCqnRbaxNyCKli+wROay2sttYx9OsQ4QskX2GQkW6zLLjVvfTeb
t1rrEO4DgPSSJjPSTr8Vq8QYbRD1Cx8k4fiQJQ41hm8ifSVicE2+Zb1LzeGucNPwqEGdZgXJzCM9
863nEBNbpP03BjfNxqezgfFmXiifrC8ThwCwt0V3DOM+9Sm0UfVfotY8YZ0v+v1UqOQMQe9qwIBU
6u6z30YH1bETTcWeSXZgih4mQOdNqP+Jaq1IVitZBU1g4g7xmEnFd6d6hMdwS11mCQwretlcpHn+
PuUZcaAGqNVCuzElkfEdo+eyMr5HHLayGpNbWez1mtXIZzDiF/bdWDi3nTSPSO3Ook1xbg035iS2
iTt9hVyJCWuUG7mUxHmcb4vUv5E4Lz0tfJoMDj1pE62ibDE+aotNE6ZvyZzGIwurvtNNsOOufvCl
uR6z6Jp0riBq3SvHS49pEmnYEOddNaeBbMilssaVhIibU/vJXnzhQlz0U7qL+vF77zlbNpezbsDy
yrpDVAy0+uPDiHexyBmqzdpwpTWQDkyQ5hPkgsGtjyaxX7abaiuwg4FonUs5xXEAqpFiiNGTdMR7
5omDLya5MvD/NV71lhWSOoHpHsp+yMHJfVw0INCTXRRW5PkzBVBpc11a4mtPxQosdl2NNZuXKBZY
6K5ZagFE0BdkINOkcvMjE0eORqa9wx+5zUWyydvme5Y0OCld7ALZkRBQucE6w6ot437lShfAs490
NF2ikEfHRu+LcqCZ+l0ylxtbNZuOmi1Ad732GOgRnk9EBldC98iKjtxtV8dPZRwGhcV/mfFD2kZ1
mHRvjwN0PdcFjk7mVtBLodWQ000kk79Czs14Qjx7ehzMUXrXNdERIcstXt91Vg07YNjXbhLtRpW9
o9ze0CXfxKPazrnXbfzQOJFK8kx461USu19U3646MWxG5KCIO2tE8Yqn/R7IMaorKgH74DjfOd2s
Q1UEDROOdcjBm0R167ZI0NuH8SlPNExNx07uTZKtoni68dx5LYrxxRSTvyJZFaq9/aCrcptn7iby
wtsx6l9jYTF0z5CjtmeLcLFKJ1Z1iI6eD6gYA7XjO7uosF7IB+ChSolHLJxNVd/9/7gb/ryvmTSr
/rIhdn5rmrevcdd8a9vmT37y1+3QFUDdCY5gv3MsTE/in9uhZ/2CBNtySHpxyIejJ/aP7dA2f4G7
hHeNH9Nt3NVMQH7dDm0DKKrPTsg8BlORrf8tSvynzZBfjdhEeAuTlRfT/xAfZk2uJpWGITbJvsdl
JHaaT8ATj8iw+qlO+JON989eaQHnWLrnUhpYn1pvWWEX9jzSlPDNmUOJrl5VUY7EDcdd8PdfidcQ
lk7WDamgyzv5qckXtRojUYVLllivDp+ZzhE9h8hezY9/+4V8i5WM5DWXj/V5NtZ7mSFKWjr7qZHf
ZSa/o4D5nvL//8nL0B5l0gGc4/M1Yqw7N4iJ1D7UkNSIxdLYYGAIJH6ov//Vca/S5vfEUp59Tu+I
lJ6TLsEn6sO8vhh1gvDJ6fYvOJH+iw+1VFk/j6S48ZiekVfHdUKh/DnaxesxxjDWVft4ocW4HVSQ
aHyEGPn4Mev562/w87zw48UsUkk8n0bzHyJNNcMpeTZLtRdVAygUsN4+9SuEUlrypvvo9jj+soxO
YfuffJ82VgbMkqhtPl86xuwd6stCMeHjPIW031o5QpMIB/m7v/6MyyD2D18oAnBWBQ+991LG/3zX
z13aTUmZq73WMTDJO0Vv0mT8/tev8idP8YfM/LdXYcn6+VV86vdeQyW518TonMx6fOzzoTgWGKz/
k6/up8/zab0YENiWfcErxVmHe2JM3+bF/v1vPF5/EKjzrn1WQu4MD1oXR4Pff6gyzB0/L1W+V71Z
opXq4Q1PkD6uZzufNiLUgWuI2thWILwoJcdynWaW2FiVXRzR5JG7M+AI3Phj1AX4qIavYGQwtSwK
WeHpC2FLfv8wdpJ60p8VQRqrWs2oCk1RVmg5+SNTDJJIh52IxAX4sIdk/gYtk/kkPZyPTphir8mp
24d8dPbk40tEfjRMh5T7WXqjGy1uJMw2shj9NRgY5O8t+ihSGYpNa3rFXaul9lEX8/CVhC6xM1oc
ab1r8CqpXZ7I1uxTYvb8uNwQo6l/oTLDhNvwfsjksN/ykA8t+1ZtcWArVOvwQlrHhvyD+B0okdFl
mH4qq+V4FIJSrvRw3KQV3latVhrmLz7dnLNw5anXBl5b0HpdKBtxBKDIddkCYCPg4YnR/wS00a2j
jQRohyq0PBkgndZ+jteLhpsGC0c3n2j4OqcxMtLXyC+zR5yUyAAa9OUVHe0nEuw/xM6ohlVudzPv
qae5HXtKtIFlTTzreHgYO2t2nT2iIIMtDI/whkl0+xry1ZzitFJXbpd+15EcQldwzafcT76PzRDe
QcgpUR0t775BgzxlJvkqdUYHnGdbZPF1mjDMTkfkvqzobcDIPdn1ET47ygC8YiQ3FMckQt+wshl2
0iJX4ip1yWUjis64NEpSUdyObNI1HVLfh3bFbZ81kX3Evglsy+Urk4QfPuGgTgESxwxyaHTf+/Mi
h4+8RL6KGZcpopRyDQWbk12Gq4yieq7dbJcUpq7ORkdre+2SBvIchwrhhGn0DGSKcpHcujopMRqR
+U++Vjj3wGrwciFEPvIZJ5oSrJzgcau9nRrisTRRQ1tFyf2D2NghUN92emJW4xgz1IdpDNq5RXqE
ySVowxGj2WgqnH2M+LVAT+GJNVXNY7dgRhkOs8XNk/B3raWAPjnZoOLHFkd0v+v8In0TcL+3YiE0
u+DQ8NiKnhAb5Hi3Qy3657me5c5RHTGJg1abyTZVFqfGOUX3taqbaOg4nUrjyyxU826iDz/Y2uIL
AGnSPPReq16i1OZ4PWWsoQilHfqDmnUkdi6Z1vaQ0PmVXAknjuRrxXjr+IEWq8fGDBC8fTeJa7wI
6XPgdwcyZUSgt7SJxJF1nLvxZSRxu3RRJsg45Ap1uOX5C5c3Rsi9dmIIPGlfd3Ido0z8Vijh7Avp
LtLlGNQGyv5n/Gf9DhXWouIgvX0zD35xpNONeGSBkWitHhAmtBN19K3tarCmDbyiyty3Zf8FjV9y
zAvX3HShck9shd7NB1oNN/W40Y2sP/dE9G4iyXNu+y2KcOXJJ7Rm80kXHCsY0wTRPKo2yAfZ4H1N
FpVpm3FTsyqigMrUtGaSxbCFonJbaTz1kiQeeh4K8SA5QZu5ZnXLh7bfAYnK8bXwuYkPeEPTzFQB
k9tbNjb+DRFraHSjAWk2fPHj2HFHoawMXxfzS6BnjNL6go/vNCAlVrlP4k9bdMPXRqsxdkYNaw6Z
wf6N4ZIqYevZm+OwUNY16wciOXLCEuCkZk1kbehVeBXoEPs3YSnrCwODOvbFpdLqRF3tMj3vmA2m
LGImKBN3WKZ4JZ4aTPttYBrG8DV2CoI+mFxFotG5g3HR1Ul2Zf0f9s5lOW4kS9OvMjZ7lDkAB+BY
zKLjQkbwKlIUk+IGRlEi7nfAAcfTz4dQlbVEZUlWZrOYRS+6s5RJKgKAu+Oc//yXBs+XZHIRU/Zl
c9u3a11do0ggboXFNLUIDDYlU9c84O6gXJl2pT/a+9OpC4z0eciV/U0wgdjodY2g/7NvcqJCbjIP
IqA2mFQFE5XExgLruckQ7PeYJ2x1TSK6t4roCeKZwbr9+hNk3PB2CaIK3x4iiqXVT9uRJ4z8WMCY
B6KoHjSM9q3ymetGCzLefuTssWJOjylk0+e65J6H9XjmZt7qqUESnhshuw3tcbjUFmpHIJNblffF
ofcFzssIF87LMLauhy69dVNXP1nI12/NnAzXUbb8lQp3+kvlRu2UgS+PXBOcPCS2tkra8raxuuhD
kX8OWgD81E3e6jiKt8Qzf2I/P3ZaxAcyOyx8+IjGQhbT3EriIjFXMfTsvvxiedhpOAEvvZNiAciv
eGwRdWKbxYkjSmU/oP1v6u3CI22+H7InX4SFZ3BG7zUxK5oJFFYgR/hJMH0vHU9251WCe7idMFgZ
+hDpuAHvR/1Bk9eyRDImyHYsEC1NrQg3qgEXqhAWdDujW4iaReNCD3BjYtch5U8tuSCl86kvnZJJ
llte1MEgmm3NmO7CLfpxN9qlITkBhmkd+JdmcuaSyQOMIc6/EgLjfetM6bRjOpZY5zLVZXIBKcrV
kLLLSKsLCZxebSJ/hACypRYnRoAEuy6AKZ0h8FY6L781no/YLI0JI4aea28nE3Y91Y0n9m0/c64b
nEqZ6A/dMHyo/ADSWCZHwnpwAMr2Q5N0Epr5iC8OZ0//jFFBTsDSDAifuVAPGtuHs0RxzbCgCYy+
qIos36WN+CLVeGiyjImuccsNeV4JOh32FweHvvO8zLq2UcdkuyEoIVJIx+CziVJig9kAgFehhgN5
NkSXt9FLnnwf3uT45NUY5gSt/VQOznwz8o5mYhJ3YockdrQg/wKJsl3jV0A8e9zk5LhvimAOKS0t
65jOkFDOAnKhka/7HN8ypjqhW5KYSEiEa7uGCz7Ar0XzpwiE/E8Jl4qsR3p/Af8fviXRAT8Xo/2y
xHLsRXFoeYHufAdfgCEe0XCrjjrhlFBoXAu0zFmoK/KwQwbV4aeAEQfeCHb4p0btPQPs9H1ACJjK
YsFPP/3z9wli5FToZ4pDV9qPozCXXc6ZSvbVS1WM95HhNff7FuOXzhBTR0FriDEu9XgI5eenFqOX
2itjhmUH3VKEVRGhenbF67iqklNAc338/ee9d9aUXKEtAm+NXglhQal3nVPVUeBIhEgcKC0xopwS
JCP1Fa5mWVe+DFYdEn+YUA96avpweu1MNdry8wT+71mCCIrMNkRFp8zHuee9/vvvd8pw+Kmz4/vB
VsIBFbsJkKR37UmzMluVBBhMStTfI+r+t5qYMcKShgn5/CaWFNvYJLCRkgzxifapNe2cb9zYFNop
F0EpU10ovBMY3dF5InGFX1fgaHopnRQGYYe/f+5DTBz0Kuscxsg7xBiInbszjeteonv56EohX9Ay
MXIO+X8Md228OyICCjaRmTG4S9Ps+fRWhP6PendacudPDr/2O5/q07OCLAbzzCdhx3ufjBIjycCu
ql8d/NESelZfbwai8raTK58IAbAOFmXjBqsi58zrUNjggHXx+8fxS58dEqmjHI+Hgg7beU/JHowP
ewVJ4CGk38agL64vGzn96Rj4BbHgUwAq4L4FzKp+sVEd01FHflWnB1yO3I0fc3BVjT9sWxwSUe/k
NTEIGc1DklP0/v4CnV/vMSUKNDSFUZgNP/fdejN2LnVXTMlB9lMcHVBRhExiI+wbRkrjHmNNcxta
qFEraR7z0OCk1HjTfsB1DrJQTXbVet4yxWqLEdQckhLlpISwT/2NhURd9dh02NFwtKKexvX07f9f
z2Wv09eOFPm34edJ7GmQ+N9j2v/Pp7c/os7EVbKG/j1/E3V69e11SF/H4ddf+ydWHdj/CNbDEMov
xGzE+mAu/3QSAKsOHI+3ksvgwF4jxn/EqsHKgah96fIlfsKqxT9C3IA9qPqEHqxu0f/J6Pa79+1P
JyEsVSjszndcXJxW7g/IrucYos9xJzwgxbd3TpIW+2Spwq03DE/Gz78ogad5Uy/Dvhp5oeeZD4Vp
NvmFsnEEEYN6UFrlF1Yx5NfzWMBoQ4EWWARrtlTZZCpXmyDT4daMct5gl7GcSbcUuzZmD6J6DKEE
Wek29MdwG4TO3cnbUCQYPWbYM+3tFop4bPOZVixgJBISuRWiFbss759QOz2MiFeI7Kudre9lXzC3
gmBY8uO5TfJprYMOnnv3ZGOSsF087cLs8SwYgsGjNYl7hr1fNGap/G7zVNQpBfEAjlEHKW62DiJL
0v8cPL02fjMPe9G1T76dhRuy86oNrTDBhTFN6lxWYqet4Nh1iqHiMJD9ya2B/sQ+LV3C6PI3J7fm
jY8d2qZW8CBFy19aaG6BzONPXAK3QahjmfYEF3b8lBZ8B91IivHI6Tdj4tSHDE7kWV3Exc5v8ZrV
ubybFLXa+pu0dIq+fSTS2MEMMjbcgqZwh7032Auys+IuNIXeFz0fWcS4uniSd1Y1YcUHtNnvTmZ7
Yok/5f3aqsHF24V19WYq7LZad21+SMsmL8HgzRtS50WFRapmFz5QeQ0IhwkU7gWBAEmZ8YBxVdzU
QkOfwYv/IVKw+og8xPDFYojeLJiuTIq75/Y4/E1ecFS29XBaJGlL62IkI8YmwOPSNrilaBzeOxE+
TAobZSdfvZSFd6dTvlSckY/uWigV7WyEXRqX80UQIgfVDb8tBn6WQc1N2tv5rq17Zx9o4B0/8mdu
EwtrLEpclDzvhvX8Noe5u+HdpGBQpV84w3n2C3/KkJBstG1Vuwle7TbQNb9TcpfgDtFoB9hIirYP
YSR2T6fnjb8L/r7ouLfDxPXGCUsmCDsefctcd0QYhtYpfmOTs6p9fpY57eo+xVKp171AI2M+FQl/
9FX2hSKS549QaKObnKR0blcggwez8ORJJ2V30bJcTKpcrvHlZUQd9E8BhcrWD3jCCpYhyg+fDHdu
Bo7bGsdyfhSvhS9lPTn7SOBzSV6mt5cRi7bI++gCFNS+L3sssZxmoiTqSKdw1zcOScP04ei6diX+
Ezs8LPgOcbLSiC0s633HvnLham/bYXH2ecCmZPx7lU60dBSArLJq9a2bqvwa8pzYQdoTO6WTYp+b
uMB5Nn8ThU7vIIXfnLYXgZjLQdijs59loXZjvdo2jfjxACD0O5mEeJElosLZjuQJba/bMFe0n+uz
JdrZ3VgR/okAWRwhLIGqwUMUvX4DVYDntwT5cgZpMDwHCMz3sB7CM99Nih0RI832tADWFc4Wv0vl
Up27hmMMe6NhL5cQisH6mIdxYtDesYxwwRhwOrHhO6LlO3jISrYL6rVtNdrWIaJ/3GZe+iU1/I/J
zt/inO/HvI1zhczYbQnOu3UqO7oQ3VhdoYacoR175+A3X6w4RZIXTNVVlJP3jAw73Y6LsA4kI9GX
LZ5N0DmZJkgQcUpGcH9l9SGfjr0wZ2/5UvUcDvZSbTBgOw+TAhtH/N7A1Ca9lb3rAx4LFyTHwxnN
6bvj5K8TnQp50JyW4iAQiu8tXOK2QWxzuOHCsrOCPDyPRucOf1h1vtgYmDYDhwkiag1LnMvGhxPD
j9FmFwVNjc00J1gZUEWfziYnxKX0tGl1ijWaFVsP/N3JB69jSXSevHNMZsCYLbXxhnp97QCbmxay
QO+nPL+6ELukFdUVuAQNKcMAkty4NdBitqd7jTYix1uOv3K0ea6y8vO9hG26s1C54M0E3hIUVvQB
Vz7kLzWEZhW1b23Avyacds+mx0Au5TyRVpGe2V33qqAq7ivLjmHCBI+INut9biUfrGm8CWp8glGn
QXdIZ5oIq+gLAlFHI/YOeV2EeM1Eb+/Q8jznXlHCz6Ai8Bk7rn3ysnTZFyer553dwBHfAkM/eBCj
d72amuzaxP14kU7A1BsXq8EIGzBbjvtMtLQmdTp8gJTsE0ft20UcnHXfwYWcNIX5BDmAZQM/+G1r
XTTR+GJhlfy1D/WrTAVgTuzO+ZtqXWvxOSWWBVfucEYxT67JWVjmc9hsOiikW9wA2fMZcypYFMxz
HFtF1yEtm0VwNFLOG9oSFRxx3u3Lw4A02HrCckhvkzHWBV5XoUuOXVdgHtaavE1vPO07Zg/WG1n3
eLTnF0ngP/xQiv3NbPyXaj+AEwfgz4AST7bwl9l4aDkLjurjIYDUer76caYrLuZW6mHsKPW9gV0n
6a12v//cX1rt9XOljbELjLzAFe863xBjPIMN8XiwV9/imSnQxk3zr9XEAGxu/uM59vpp6Ht8h86e
DvDdpy1TbMl0qcZDYVggayUQ5pG1J7BQfL+u/2kC/obC+WM178AVAb/5913A9QsU/pfq69/80r96
AHRaKGppr0kfFURdsGb+1QOE/5ChYJbtEflCc8Bs+F/szZDugGrj79ibwYnJQp4TEBmZIBA737E1
f8fefL9gqdBYqdBLWT+EQb4HoyoxAskkcOY43bEGjrSsruI5Np9K8r+2cUzS5g+35292pgRs+rHj
4AMDWh7hoT5zOefWnftDxzHgUTBw4GD6N2fdnbB4Y/jksv8B9KN5ev8pKqTpggTEdnTe9zWD1wvm
yMl8wHgoPQfkbaEcdhoFJExuYU3YGvQd6QJtZt33E87Tv79Ijz7s/RdA7AoZE8aRwzN+z1MYR6PI
Dw2GQ134eMDME57qOJyJg5YYq81O0l3M2YzZMU76RBg2kYs4pGtSKsBeuN7HWnnM4upImeuVAcvr
yMaPWy2rgA1SJv1DbcBL3WL11MKvlbLfI7zD2w7KmDdqyJxAbIXv/ayWA2aKGHUGfntR+l77xGDL
nDNEZbjZxDa+7XXrMknG95h6C+eFB1rZ5qZDVfXgzHr+MKAOv6AsaF5UWabMw4i1IKObK4JOoB+L
kfd/n51qCqYqXZQqIO/aqa4SBv3PSCKazyD4/OI0A41h4snL38eNGiEDTvG6x6vuyK0CQIuJpbFX
dyHpnjvk81CrBGvhvqTOA55j1CUzLtFeu1RXtQxXg/mYCQUjge6OLDMXL6xgGrbZEKhND8nnenHn
9BAJjG7cKCW6YcRbvS+H6AL5wHyOA1FBygPVqu0O+hEjNczns8X/yNPBRb1n7FQ5jGFGf25fDX6y
2zigjk6nynxKBkzGRnySGvrPShz8iaIwmLrowh2w9PJtKz1Q8Ju3Cd7IJwQo5pMRXf/XGpNyhboe
D+kYQf9YLP1f2UBxN9eAQmWpuCNhhpfMRpbU6hufUg9zvaLZ9w2DuqnSWGa0aPgan7HJaMf+NnPq
7lXymiVhBfiJvshBSW/NvHsqObavZGganNUHKqp0LI4ohJobE2DSPY8ZRma9W3XVXvh9cWx6Op5h
Wf35JSW9ZUf5PSPD/MxXSXsjgXy3RRjrb7kwVDVENUOcFIJDw66fGYjpxyisl+uwxfC8cROKwnIt
PWeuGPvm5ibK181utd7tqZ2XIdfikzOBjXuCxUiesxR1UulvNtkq5yZ15G0seRInU3dZMQotEXIy
fG9G7mseNy9BQck0g2Ay0pgt2KyQVqN70hXaV+DG5bqaEvPJmYD1q5rNUHRtfmbl1fCVKTnjKsmg
J4np0myLe9vHPMcMKs7+tESLatbfVtPds+XU+LYLTwJfXXMubdZ/l2vM9yCNXhR9/nmyqNMSgOHb
WL2JMRR6gx8yRHMyXp1j0nvPwjHtkxNF42PssDY3jgXD4jRakbJ4lqS9fBtk0Nw0mceihPe6nRMe
lB9Yw1nUSqDn0pW34TB5tyTcoHJPewzfPL9+tga5ev7TznROVD+7pWcuM9fCqUYZ1SABUSEs7al+
iVXQV9vUNdYm7MioOV2cAm8/9nVv3c8GDj9Ff7ZcT8r0fzW9ld8bDOFoPmPujz3Qn8xFVm79SaQM
wDHYwH6a6G5vTrvXpvBhAcsS1jlWb6p9slOk9JkwGOn5jtveDL4TK4cBZWjn/mcNrWd4TbtRfk7t
1Z3xoN2lkod0WKxqNema0O23GIpcIEUa5b2bw8lu5Ww+2cowDfPHpNrY3tzt2nbxz1iHnkCX42Db
Xc8DR9NY3Yw1lkUDK4w6Pv8wiN66q0Vxb6EtlGVT4pIWeHdLh+u+F8zuTefFHyMvuikpetdEufgA
LSc54przqfekvR+LaCRzznxJVTnuGQR+zROnPFpV/Aq+lRyThbFfhcH4VV3qaV94et72UTx8tVOs
0OO0v5xhepwVEx5D85KHIBwdoTOBF+/iBuiZqFBzbYWNNttuiS78DC+hHK+ctGgrXPtD6OPSEQUs
llluWxF7mzLNdb0pi+ItJk6LHsGrgvOxl2YbyureVEG6d0orvMySuLnu/Ww68xM2bJuV9mVqGHKM
WJAcF8ODhK4ijqKyNH1abbb0c2pfT8R+Nq5iW1Z2dp6IYHWCLsXl5KUhedD2R6w1aJtBS66gPLjF
3uHev6LDnnz6wNDCvpAAhgh2/6APTpOij7Wn56qOuquR2fIW5gxMfFy+d9QFPo4LWPjvTNS/4miN
rsuLeefxAldnOuE1lzjgcBlRaPdMduyNPeQkUekxmZGCYu0UqvlZeSAeaCnmywou90YVef45tLCX
3/qzb85D8nlQZ/lAN4xCEuAc6VIhuu0d1Zk6k2itAwxPW0fsDIdIsmnzBgCuYV9dS+Czy2mJiLMC
UD06cwOkkSTsqn4f089vqpoVaAbbu2j8bsYslMjnLiv1VvXVYSp2rrbqC7vzl5emEN7RMeXy0ODP
RFp2Hx7mxQuP5RiZD2nuLjsdMbDOy0aSl4D/Uu3nGmQqzvf4Y8q7oCcAu4ZmQxPXEcwpGgU5RJdY
UhXLZvJcpqyhmz0FyFuwgTXTmYwQJIzkK561CKCxGS1R3Vu8y1MxHdPUnQEjtSaPIw4fCxXbWEOz
4ol6SI5Kz9E+nCJ5jWM/I+d8su7LYVY3druYC0POasGoOUzkvsXH+puM2xsslIKrcB4cfysx+iBA
BxOBXSmT/LrpF/tI3k3QklDmd5dEWbqfxywwchN4U4DX11T0lwnyWgXgm4lvTYlQbSeDyp/J3hP6
iJoF5+/S6s5p7r3PUzGm6W6BOnMlh7h/Ld3MF9c2U8+FIXxlx97nUAtxmJK8Tzd4EZKyDQCCAifx
9BcSK+otWa1rXdC0d/M8rACrruq9gmV2ac2Y+TGNCzLk3E6ZHDtXd1eQXmu5haPUY39bE8oyVyrq
sQAgIYa8ofSwwFD94jRw4LZdgwEUz0agjKJEyjKX91BhL4fM66srOFwehzMmoioFWkH3t3LfBCom
UtA4hd+qAuirMVZ03+TBugdyyoQgEgSEn/CfEzESxMW7XdLUurfqpuFyoXecjXmaq10slEeQh8G4
R/pz82VuRhTricdDshfezmakKvxefLWpAzvINv3XJgsywE0v4frskvzvzWyMs6cM9T/OeUtZthaM
1d7R4IBMBkkCQl1/VXQAdlL00G5qPMKGLgMNIfSMqKnE63m5h2VNx4/b2WPquPFtXFJpVJ7f3MTL
6VsQNuRaqwFk1LbrobyU5m3IqElScM3iiKDR/sAxWH0FsK71zooBj3rKxAs/5iDanGBJ0zfmHJeV
8TFJBc/OJhqj2oqyM+dx6ZtLBhpc/6in3SkQp6bY+tz0MKfI1aL8ZRryORjm4uj0XIIbS/tBlTPB
MQYf03mJajRbaQi5Y4IxQZAGDq+4n6Jjd8L27vdNhP13PcTJLQa1HrT495Y+HZPJOo6t4YDjbHtB
zgNBr0GPirnNWkwz1opmcZlAax7MM0Z9q6FPxc0eB+9PDY39HlD5PsRiWhR4Nl/nvcZvrF2Y0Fk7
HGRK5Y+RNFLywAdsjwcAaCMpCBP8/DCvEjjpxHW5z3rPPSxD/RxHFQuzIgipd7W5rKamfRpHKW91
6syfJirusz/cOPdvmi+FIML1Fb5DpKr/3GOqQOWBttz+YKWu2Oi+8j+aho0m7Cy5tUZWHa8iFpit
WfH5AAokeE9dQPWtX7JmxU2hfV3//kudWs6fG18mwAza1i+FVv194xuPLWsEr6JDWbqAari8RYB8
Y3u1TJY+77ox2XE0L3vjurx4opEKKoPkfo5ZMdsU/4b7bCLwyS385QCboP7aYMl5p/y42YdDu6Bl
6OA+t4Nn/QHT8v5mIQYMLwEvBFAaiNq7nt2DsIlH29Qd5pZ3mgnSJttjU2TOagM5uknJGQsTN3jT
jtGHkxOcZTsvWFD+NVWxu089yiXLm+Ld2JT1te4c+Vk3TXWdLm5+KUTpPjsyT+brJm4q4qCSRB0J
M853cESXs3RmQ5ccJYc4TL1bAVNs32FXfT8XOCVRQC5IOl2DLTHVfNeOE5MgThhHjtY9cVv+R8sL
zFupYkR0jPPIe3J7zlhf+tS9eFEdRxQFR0zLqdlplgHF45wfWuS6Qrq45CQ+1epztWDNUKyeJYhU
1A5br/YpLIHNT8Fh0s2bvTNHpE3hBH+FwwI1qA3kEGsipeLFwrwSekLx3Llj7l+QhxToqzXqjJuU
oke35n6Y90C/CaaMjcuI7eC62Ugir+cMVi93XBB2JnUk8c9pXRT1qNmK+JhT0uyiZf0XEQV9hBU3
PlzbCN8HpTceFfflKTQK8H0mNgMg8r4Ta3xXFCVccVyFpOdxCEOjninlIY0TQWEo8mmnxYHumyOW
oe5f5Ob564jC2/YefiHbMmT0NXc0bnjcNF9MNsLZTrFahgfNfsonVuQy0FAkWFc8DmnxHHT0j6tg
6bOaCgIHO5NqmsrU/xjmk0ovloWbz0vH+m7qbvPiuMtdSOvYTHLoKY/EucFT9ctsrPpFGpva0Ckc
0k6gFZ+5g+o+0IniWt+KAvUmTb9fkPtVlfQy82y7RzFzGg0r/ADlEIpwOegJq9Nihg9cTOOZvcTl
seuxQMuqYOWIpMFd6Xbj42kI5VRO/eL1XXouJB1WY9M9E5K6rHke5ID/5WQASm1bEEsVpAE7WHKa
kFUF6qwGOqNISsxpa29hj/RYf8Chs/mPg1gIa1t9kRni4XlHd0i6pSSZIuGd2DYtqByMxHAzh+sr
9DRi9QxTwaJ02qfJBNjqT8AsRAqFV7HddBepCZh7xdy4jhfoeUWKOfzHSj8qyRxxmCDZqBUBCuEm
3pQ5+FCQ0iarqVreFLt02adqaT7nfvlBzwHBcuNAuy28+NZep+ElDoZbW/KXVtZaOK/fepYhIJZK
ofFua9x8row7EXq2btV5Pd+xbJp2DWDJs9fO49nclZm/yQQTyFGnICNr85qSUFXtklm2d7DleTJ1
Rilyehc31Wp/DtZjLnNXsVQpesF1XEaoAKtcXRGYyyX2zfWsQddOy9CZgWBW2yhxmEfLoJYG8XB7
096dEJ/KZfmUE/xrUtPDTYv19hovm0LOQWlSkI18NUZEFp7gAQZU3AbZ0tkCOHLrVyBvSZU5yxsA
oSlJ3jq1mOuF7VZtZxNTjEz43ON6Cnol1lA48hPJzqQADulTKMlG9C0f2lEDzmGlTNITFNTjvHBF
AtETIM7CFqxJxX1wotWlPM6Ft21Gq96HxAmcVwB3077CXpw0oBJXl9z3PlLwENXW+7r/a8g6EMFF
5u3T4qLJYOAxta8xJqP7XjBgZpIFbuN0xdFaE/PQ93Os0dFHhB+B1FiK9zk5aWv+4JLyN5UOYE9L
UObeJS72/ITfnF6SyKdXcCWRR0tY3zBgX8vlwOLxFSXFUtuL/Oz70kyBLhkQFkespqN7yPHVFcQN
5shQYa7U0LdPtQ2Ghps5mBqJsdXVVLrJLeZ2nFuxGDjcLdwLMW6vn2FDQT4XLUbueLueYa3OLSRt
uXsV1TphzXNo3z3tE3Y0lOdDxp5e13Pbrcdwj/nsJUM6EMkwDah5845f5yVqLlOXgi9ZUW/qkvUt
QIP2bCuWxGoR+nUkqewlsUmRDMYG2Khb108uaQA4iTaFz+VEK/p1Km9VCEKK8UF+X04aFEnymvQh
9Tyc3g3MO7uLES/rW+b1K+4EiArpm6DI2PJ4VUxEabQhZQgzM+fhNIUPS4Zqfk0lLGmHsZvM7Afs
XHu8aHmQKFuLoylEdQV1uLryHIpYYjHqfUJ5+JlUYvgjqH8ozick33gx6UczUSY3OficqAvclDFt
O8cPqnuq1/gOFJFrNCzH/gkS1MPqU+80JEmSzLbLZsrPntME8gL0QWyOicMk4JTiZKDZKdnYKE5c
UNC6YFMYoevnUxwotAj96KYRrQLa9aPrr6klgMt7XvYsntMxOwfcDZAjuLG1jP+iqzfNxjjl2k/0
MyhUR2pDB2jzqQmo2q1lArLQveZmCo63RLOP8pCETeHrhh6PoXhjCfTdiLafnQIniWPFEPgCUiwg
4npUupATITe4+e2inJxHmRJsyCAN1nbI+yEBMmFPdqDT1RCY6wCi34PbBuO3NZj3fOCrb3CoY+Om
RAqTml03XxBFUnK0mDocCTWmiWlSzNeD6llrj7u2BJZ7RN7CVsFXGschBE+7Sk/tE1UJ4bLjTPwK
FKo6pG6B6AQpQnDIonLQj3UdUUGuthN65IEblS/XuQOkfvrjaWMa3CLsjWWP3Sv21tY92dKkwCxo
8DCPNgR2Zek5Vpxs6JSqMg48DhntsbJlExDKuGBOed1ghvXkTgHuTehxiZ6v/X3S08CegOKAZFTp
0JlOaxVg5paWrHGW8RwggSuejkGRTYdRyc9Lt0blrZOYAUBlD4uFD0PcoC6GaKi/s3v/Z1T5h1El
FpHMf//9pPK/ipc+f/lxTvn9N/45psRm8h9MzNBsqgCdt78Sgb+PKbGP/IeUMLpDx0Ne/CNTEX4j
A65VFo4ofJW802n9U1Xv8Z88xPkKAniw0l//I5OZVbn/w0Bv/Tq2g6LepmrlOmmi3rd0mnHXKOS3
RHAmv5EQE7liN6Fda4fdgE2kecwgqQxnvXHBy3pGYd7rHBVNdWVjgIuRfGOtcWF5q6ya6C40qOwu
8MFk/tSJ0srAXCXrHWNvpjP47WF+T3IrA7bRLO4uzcArb7HnaQLUUKKxJiZAxIXui2yMyY2QeIE5
a9yu8NS5yyusRZSXZl7YbQsqARWdVeQgNenW9LAbrT/MVO2fCcYY7MGzJ5ZK8X+YLND3/nx36t63
66FfvG9NP+mQwiYOEs7STrpufk3waMhHzjaunG9AdKl5QOYf8tWcBEUbYbE2ZuR/mIC+a3f5SoAE
GCQzzfQgYoTvOfZBhrCm7rv4qw3YCewn0zi/WJhH9ZzPcJ4Q6pXUnTYR20mjUI1k8CMCikJ8OF8w
bzNMJIMRX/SLQuiecMglipeVRTPzKPbDsCTLY9LBEZr3/pK3/s2C7T4/RvhuD71HQJwhpP6HDfPh
e7P+v6qx/FCn1dD/n//98+yaYTs32ZMhRAviIn32ws+3mdS2ObUQAH8Tk2X8j16VWvV9ifXw8uH3
H/Tz+Hr9IJeSS0L0heyPlvodscMUZUvI5xx9xfAZ54d9U0S5JMBRsMNnFw3W7YSts5ugY/QKayD3
KA70fZ56f3QV+FmefvomnnJ4+0E5xmbWX2/JD+N6240NSsXM/4qYtfNvPGyVBtg8DOIC9yLu/cXz
/3CT17X63zjJ+okcJvBZoNghvedI+vkTHSJJc0h0ztfZjvtUfnMM5XZyjCh+M6Jq2vWyC+OP+D//
/qa/k62sn4wO2hHI8RnZs6fe3fWsru18IlLzaw9DrAwOKVDjp8IZ2MzbgXwvdNpzuDBOvqpTRG9i
72mYE49ZHzQNmklScmZ0vFlUhndZhp2X3OL95hRXOTCEModxkhKfhN9/6V+WpLfiSTZzCRQ3rJl3
3xlCmhXQ/rivxYjm1+wwTreQdmpFuMWfdDO/fhYLHwtviA0K9d17BMslcq4LoV6/ziIc1bLJgkJp
ElMQeQ//6SLwlO2FMlCsBOjz7w80Eu3wbnJE9VqZoePmdlaYZ2/aNpb3VJPKUru7qNQ1itrf3077
12uEkOOv7C2bjIBfpEERfdHcdJ71Baa47SwQar0Ua/dAoVETGD9Bli0ObJM8eDFJESPib7uuCyEF
W8xsH4hSnroKavu8DF+IvFjjF9AHm0uvNPLPbDP1fnvyBfGzWR98iEwAEc/Pm8VD1tVhPlh/SVTq
sBUzZqPLh96f6Uc3i8ELcPUibnr/xoIBwfroQcB4GVS+MRyWYS5j88qzLLM3v2eEur7+ZI6djLZJ
iHn7fgDLqOF08eYx9p8QnJA4sdVlkPPQdYFVKkzybvB5DdNTa55IQoYURzRZBgkf6KBkQgmc4P7w
mXgWSgicMjEfZr7ALIRDHg6F32ZnjmzJjNq0CVF1HxpoAeU3HwJpis3hEPXLBxZ06D0hUWbH0cZk
fMeVMVmR6AHH9onwsibDnsGfi+VxGdxAP+iu9fU9U5eCn02wWuOWJIlf88wcsmH5aPpLaIHbzG3w
j93gwwaUD3U9Y1yKf0TlV3hlTpmzcmPsNOJHUh+rE8KE9ZwMd8MUlLzM4KVmHMF9J7E03WdxyEdb
6RTy44s7rZ9mxabxb1yy39rPrUo9fYgkqrDrQlbKnE92P1eXSWuZ8WKc4XrDJlakApsdyJ5tLpXu
E16WAp0y/2hV5HCINKodEB/UsCLy/PDPC/CyIeFSiU8K/WxHUojFDfVExfLrcdLgwCzKQFglXXnk
8w/s4OkStn2TZ9i3fL8JAE5WR08QeWmyZcnV07xxk8XjHoxuavjouUk4iI1bc02ELKx3VQLvcOc8
hW0dMafTgL83AsMRBARwZf1E1wqo2gDhoVhvGhO0XB5H17pc6nDgreXmxCX3MG/9rLwHEanxUs5c
d10uDenW7CkyAENWTQxowTNzZ8FfiDW6HQVnQ4yy272w5Jya17acNfewRme7arw57+3ooyrg52W7
BWlDMQEuV5qArXgh5p2UNXt2+W/EuqAl3nhZ2PjzdetGuor3hNOszz1wNKfAvluY4ZbMf6N1/XbY
lfCnWAHn64uw1xjF7YiUl2yFMQOnynjyQ8Bp3Dn1wFcyXD3/csL9gn9IIHPpb5EosgWNanNWirv4
xF9oX635X1mZqrVuizSxtTc9Sj7vKR0lf9iGLqwK7N0kmUbFttUld5BsqZHbuSgS0WtkMHFAkMYw
wyw5iwUWdsN2La31Q4Njn35obVWwgYNs4GygdFyoMnBjYJ+bzizr4cGkMcd22e3WLS3D9S/tBNa/
zOV66kbY743t6gfcMaAE7JM6aEjy1TOZzeU1SfA2fyHako7vt1CLravaTdNu2DV5uArTZ1Ws5I1M
PIT/l73zWI4cydL1q1ybPdIAOBxiMZvQ1JopNjAmyYTWDvn093MmS5DZzbK602M2M3c23ZaVSUYE
wsU5//kFQQjBsCEwwdMnU5zHIIauaewkQvMaB1v0AY65YW3DVooGs14u5Txrgwi/86E0boNihPrN
1TdW7rkrMctoV7GpcuKN3DAVyUVlxYmmzGlyD6cVxDwMYmz28oA8GWUwBPupRdtP8jmGscZ4AsHO
4z2GBtSpxwbP2UrCo8cQEcpCmM5RdRMUTeiU5yjiAp1nRhThmG85iDlutkpE6dysoxr+ieZouT4I
AplBKgazTHsZRSs/45h1H5eR5HdsvS1n5jMH6ZQtWD+08RTH0WlWxQTbnSuAX714ElTorEQQl4bY
rDnU65JAsY41FIqkyaKTakExi0uEPfStdb5IwVHZNegA/E2hmWHlajIBBJrzbnRtjtyUCDS+JXzq
be4C+IQjvytoTH0KMiQLWLlEYIdq2JmqHvmXtDANf6faUJ9LmTkU0xV+j7oijHFe4XgC5XR5fio2
OB3g73nsBctWHQtqQBE2V0RqLc2MPcwcsdL9vFt442SC9ry0YxHiWe84LrmOQHw8bvkCKj47z3dy
fckq1TcsxwlQr8K4hgwyzofZjw3nYiIhhPQVjigiD+tGlXwkv2qrdoVuRVcrpoGA6RFnC7qR1z6E
U18/nBH+I9YKWcupillHnJKOddSjPmnrlU+u0YYxTRluHbMPm5sQgiQ4YcXlP2+HGfyx3nnpaPCU
qiL22NgplD0Wj09CCU/wdVkXyaj/bnYqwcLFLUMXzm6F/ynaKYJklnuLZGmesfDaoMVyes7BPJHS
ETSj1o4fSg/sJ7aA7O2EY3fTBVmLX6a3WLP7zSjHvL0xiym/DaBApayhtkmaY+zgQR6Zlff1I0Gb
jXHCQMtwzkLeqUDgWCfNt4QzdyHQu6zyJyfNl/a6qNyifRgXKx8vlsDITeRuuUKVK+RYI1gCzZL1
uoGI0vW7cZT+cN42cUjguFsAUZ2KnGt1G/pqsNYN31HLIT+RuIBkoRxaZwKyhglIkbq04wx3BG8Y
O1jVrTGrr4Ft9c6Nm6vZIVOhcbIJslpuz2EFAYrPH7JOoVQdqZibLF97Sz4umDom+WK2uxAjvOpk
YnNgSoMicTRNq96RCx+JjaRAW27hRmLIRMC68o67ee6Bvh1lW+vZ4oSbGfmoLtgYMNtSYgQ9mzw+
Qs0OEI0VEjJzXE7CoDTNvTXiZ78LayY4aqW8fEnWcSikcVlnVeHc9fjvpNXexJyhbrZBZU7T7aQm
oc6MDueda8dwugUPHlb1ihRYt71jGBiV1SpXrtfWe3+SuMIQe+vV7iYgXjzbh4kiEnapHHy1VvAC
hA17qV26xv9uFalfPsV2XQ3TJnPV3DwHqRQ9Nktob7yVLTqptCVm2UhkVAwScncfFkbmngeWZ2TZ
fnBhOeXxc+yXCJEspkUwZbHokog5XEhAShjReWvzYVLSkF+qb3Mmrd66HiMStDpIMIm+UKEoFrW8
G2dZ186mDqHDYixqkiScHci8kVRjoTmyYdpp1rVmabSEQ+8Bcwd9rQQcJGzuxtflY8sFznaIHVef
cAW+jxwliQH1MdyljOuiXH8wODInSxMZlKQybgauHsmEjFtGlRLy3n4mtleFu15Wuk5xu0x3Dl5q
QRdaM1NH9LXvmyJxv8iyK3krVv2ibYJ0AdZQ943kmJQdQ9BbPzN4SnvmXlTBDGt0FR3MY81ZlvqY
7YwnWNyEGESJosPnAz2au4hD4MDewmkBe2bOlKIvYAKvqEt88CYMgFt9IBY5YRa7ESo5pQlWIYoH
VJeevjmxT5h4p8CnHq/de4tXLTcwyEmcXldhMPHLzLQikGDVke3B+8dARZ+TmYO8KV/bqYVMZ1OG
dWe1D3A+db0ahAOnjY2Zkft9HJuyIo8uZWIYVenAtYjST9dSZe3pkiUOlH5GaNBdZf3ojW6Gtjjm
1tAzqrRKcIMVXjuMzVeB2UoeP2f4rEukF7jH7Qp9S73eYI5V8RzRD2rEwg1G/e4tERo8yDqCpFlB
+S1oOvLe4MFyzKT6HfSdQV7m4bcnsTRsoVVfC1hgK6+M+Y1VodzC2WTI0HwGv0aul2JiUgdcy2IK
5Ze8tcCefn6NXJiWdU/716tbDAsnPrEAKOc76rvBs9rzMiI6OL5cxtQMg69D5skUnwiyq4oR9zHp
DreLh8lAjKSu1uATxI0BZ//aLHVRYao0oQQf7Vn3xL7bsFgK8DprgjZutqTKOJlNlRLBEuO6RE2K
8A5//Kgb/MtFoa5KTt3Qg650mBdH7wMhmHM1uDNTZN7mnaO3SIPxG4BXiR9cBzuaQLiHFNcMysPG
0gtMhH3S2PvGJi9l3kQ/b9d4GCIuzR4eOxtKCGZxEP1bXW8qpKbzOsTvgsra5AmkPyDwlfyB/67/
NVVJu1wSSO5xXVox78tex7GnS8PM7SNdzItav9uf2yNTku8l70cIg3tEaQKnexiGQ/Rt8McoaQ8E
8WYeu5pJPcs0makJ0p3TOnrt5iUc3jOGVNGgNlEOm6GHUw9phqKWMQ/fbQ/TkdcizoSPYNZDojEY
PJnTTTBUtHyRFyTtA7ZfCSY4XdbXisNlHh1x6oyQRnHvkTbrrDBt3QSmtaRjM61JfyGdA63hksaT
71nNzOpPBJlp8wkRsfM07Cd4zNnDEOP6TdX1s/LpkKZTa3RIu/m0CUJiCoPXjthHS09hMEURnPBt
GTXoDHaICACOZ8MwpkcxwBO5RAVjmmsR1zHtyBC3UWccfLcW/S0UD4FThTGSxXhJFKRuuj3X11VY
O1m6yUdbrAv5qK5YHyHjOr41hV8x5fqEqC/ArWSQJTVKIKvlnqeuT9zFamj3jhqvRr6n+weWEyr4
mF9ERoM+KmvOZPdQEwyt4i1Wgiz9g+VbMa1KhsXU48+tVw4YUujY7CIoi9XMqK8jPWUYOr0wIHrx
No0Qe0CWJKyisbwwnYloUh7IojtunDsVD3K0PL3F6ZZhKbvMUyle5zElTDQmo+kK06ilO/L7ycoP
fmfTU3CxGQ71gZjUwNHp5lnFrwkc1XJWpU2pK1HmiJziCCZeukZCwjN2aZMOFocUBX/vrjsAOTvf
ImjQXeDPxiIPF/2mK+z+5mjNLpsZRit/oeN1Bp9MBG1ZZ7L6xxh3dmK8rV6/9b6cuAm3U9zjlLiF
XepkZ14NOMI/XGZWFJodfWApvkYjRi3cJUm5gunYLUwGYlFmD6KadIc+/zw5ApIDeYYkY+tV+THG
9Q8wIx+oE3VxYMPmew8Z+lPlj2GQj9+nUOk+c4iNPJYbw5mbPFh1RNHxlX78ku9RNWAqpGwSS1DE
WD6F01uYCmFB6ZvKVd+li6r1R/5zaeS+obHKv/tSnuVT42q+JOD5e66aDdN9GUAnvidOqM+nynXE
QFHIYc3Z9fFrvQwx/oxVW8DUniWk7TkCdcN7mLIzrY7AlUx8n0TR08j0cWGzEqWC6DGv47awuAux
i+PQ6Bk4d4AoQ974+bpWiEDOQSH0ZANRtkZ48IHRZ+3r7KNsMWqgRPJkx52AdmvkTx+//V++FR0L
QWFrkRtpWUgd334rU0tMSDR68kERY8D74ILSbSGXKy3Uxy/1y5qDNogWXKLFBVf130PHlFGJXVJA
PQSxL/r5EM5+Ot5bxKyxRRAwj3+55N6PUGCpIpG0bclrShst5dsP1zad8CNmBQ/E9ugzSk1stkts
gPQFYQf6zgoD6n2KiZk/P+foFdsLTrtCHn382d8/ZqamUmp0njEp3Mr3K3Ik9H0Yg0h8A5OgdSRA
AJTKLz3dzn/8Su+fsi3J32AQiyjUY4L0fuaWURj6wkqtb31ZedmZqnPdmicpnRpZe0T95H8xeHxr
ZcaABnotsDNDXhSQFE3vVhDc7IXDZG6/tSVzonjbilAfcxyKWAeuw7bJJ4tMJILv8HfJ8Pictx9/
4hd96p93oM4ytAMTaq0HrVeK9ycLZnK4P0KqaGJzjsots6wFkUQDwy/d/yxbhjbWpTHaV31+v4Li
hlQa8ipcwkTjo/HnwylSqSEeoP9Zb0QkFHQLC/QVroQOKT/Ber5Qhj+S+5EpTmtvlPqyJLa+wloO
uSMbfyU4nahFlNcDHlljO40J5RsQHX7GWWKro4TRsr9sqszQ+70bOl124a3q0cV0SaOvcwyxqG28
Tugrvq6x/KXX/QnQd5T2nJpZZuuiKYVbqK9X29LFMvEpKSeJiS0rzx8zQeQKx/YwDRpkKTNg2Y8f
/y8LDi8t/PJxtoKT9uvS7uksYrJc5q9VjNdie4hqpVugYFG6AniFrD9+Sb1v33zhHLV42DGj8eEC
eJpx8OeBJDMnJL2YI3wlp0JjjH2CcOhM+h4mO+ckWfEOVk4e9DRRkwVFEBA2L/S7+fhtvP/kAl82
k5OTwAD+x38vMEaEVI58l/HXrAL+PE6KVhV32D3Y7andqfOPX+z9CYILlMQv0NeWBsxG5btFjnlb
RMBO130bmjpd7mXq6WWRpoQjlX/xud7l0+rf7nu4xxM3xORNoLN7+3yjcTLzHJXpXdnBWt2EwJcq
2kXAqHS6SYqcFXe6atERKx6ADetyQuBOXp2SLR4EwLpAMLQ8en5fjyKnDrUWRxfqpLXIL7HHIfAY
V7hrAmtNhoYBfIUFVXw0+NhA0bsWTEduB8MSfDgjk9xFiCD0pAg/TH1e0xBkU3NkGJyj+a6szMj5
C67+u+fNM0AKL0z2KRlJvw6CpYxUgHPsRLpeqm/msGJUka0M2OLL/cdfrXi3nvV3yuGFQRgeeOD6
79czDCwwVcsJb31yAvRr9RLoNBsaXer3HPUcQT9n7zkkHZ5COZUaJX39Uzv0GiEwRvxJvkjH03gm
vWDNSWcXXQiiYGRpbyynHVsV5mxSFxlhgKKnYdpmZUh7nOD4S1vyOvhjWqSHSEae2uydxTcX/m6o
Cv2FLziIyi/GyyTe+wlNDBYIqNpAWdTfZGpRtYwrb+Dgx8+8TTSw/DpCY0eydlNmHtx7YQjKgeOe
VWD/+xf3rf/26yMiy4E1YNoQlkgIQfb5bgk3fILBRyH1iCTc+5K2pbR3NuPRg5v5COqmPFa7yJmC
EzT6ebipnbDEijbL74cogRJf4lPG0DTCoMeYEYO4sWruQvrX7hIr5SFex/5gH5IgvSoYtT3i09XV
K7c1sA1nluNewKKrTmIz6c64keKFbj0eso1BMNbnhTkyuYkttswYdMHL34AaEl6wGIrmIJ/iEQuW
9tLhVsp2Tm6IM29uh42q52bLTDy/R5HlHOe5zZQgrSHDc4mMjPCUlX+DByBP5imC9dwvjWltRN16
tzb380MdV5Zcha0bA2FEXbe307K8HT2BEEugYUQiaDglvtoS2ncfdISQ1u0N5r0dZVHYH1KU4jvG
BDN+RsyLJiTXAeE6PZbyxzlSOTUGA4BNnKafe991Qc3DPtuosa1ulxTvT8pPUmhLw3DWpmteOWo2
v9uz6r5Z3uLcxb3s1zHBmCeZ1yXQQOfk5ONN9suCoPzS7DQqFeZBv5TpveyCKnPa4qkpS/o5kdfE
hhcCadtfnJ4vBf8ftxNLj37KtpnHB9BtRfC+t5rsIrMH6CpPFsY/A9cyp+iqog9INlOce9clJsLX
SRca9crMZVBvxICMZz8k0iXeSsGGgsPmXrRuGxyXRuPdcQ2hWgRuU/dFwZ1uY5NQr2xlOVco2cof
RE/6pyWo5RXiG/tzkNK+razKwvM4yqILUWAbj3tU4QJqZIyorBELdLMN5qcUuzsQ9r7FVF2aD4gj
BN5ZgfhbJcLLE3l5+pRp2nfzPZUJR/nMa2RUPrFXpkv0jmW2dXNtmeS2pnv38Rf99jD9+WLkUUOG
s3G65SXfXl4hHGvwkKB8ck2vgJ81mbd4BtqIForsbHBET++NNu2K8ayX/UUt/I6Ex4vrMoAyiAUg
uKPflwSW4XWT48/LE0IdVlmMCHMvqjRH2js9lFaQfxVGMG167H/JBW4N9+CUM6EEHz8CqU+3N0sQ
cZnu6iADQhzDHujtM7CykEQLAOOnqGdwAJzWYj2EJC3YdExJ8NtwiumA8cbUY1FQF0x7quJQgVud
DbVL7FYOAf1isSLnIJYZ4KzVPqUJePq6zYyzBFE56g5kJaIQt2Cg+UVFfAkVK4Oxeb2oibFLWnUk
p9YBuck2zfdO2+nPbpqcCw8VZQZSfEiiqr4okPSQsBd2/fc5j/s7TGOyK6MkzmzlThYJqLYiXkCQ
AHk74huDwWBDIt8QT1awgo7OCMBLm5RBCHfijSMN/xQhi/PZAtVGc55lWPd9/HDfctP4inm2GLrQ
7rt0s977fKIeSJjv3QufmsSR59gEpPc1fgozMcWleW6N9BJ/8YrvtHcvL0ltQIuDOS4UPOddH2uZ
dt6SRpE+pzXW68BmmIKE/WycAFSmOwYRipNeRu1TLcz8PokmdZokgXmFrkPsPv70v65wDIcCaFmQ
ozCD+QU5Ejaztmwas2cfkaCnNQrpd3gEM3MpvFJ1wtbT0vXhkVsa3+chHfFyh39f/D88El+TXNng
+CPRfb5d4XBxuqJbvPw5RNDbb9wuni8RpMb5aZK7amcuQ3DbtGW/I+Uh3CIYnr4SBzEQfIP2/PYv
nsk/WBK+o9FLFqd2/Hl35CxFPw7VlJHv6pnuTeNa3bWtM7w9oMMTrpj+vM8bdVw7ZXGUT8I6U6XH
neDlarpEJuZDeS3H4TQxevEDbnZD0l+TZDcfv0v310OBJoHD1/b53jAM0zfkn2iceAQQ1xDxJUUT
oyEQlyr8RtBWPGyaYkakYNoZ2FRR6UQR8mdnVN2E7MYQmTcgXEGA7MRAQt5WrvclUfmgQXuGH6XR
xWeZm3SHRojpHE+O6CiSHkHZFXau46qbLRyroxrHxlVrYc6IWkySvMmC3qWZMs4C1xr4B6NnnL58
jfM0UohglUjc+Ejdta5wETktGNDTC4hiwEmgyUvIQCPRFwSM5vdyAFSgiuxulE0cfVzkol21HkQn
zhAGfWsXvPZSBEnJsByKJx6SExNB5ZIygJORV5+NddB1qyrBtWHN86usI2hFY7s33cj+rNoq+UJU
oPrhJDrHnlQfQk4//nbeiav1HndhcEq2OJxpmsp3C3oowrkIGqd/BvVuojtuN9kRfeDgyY+P1bnt
DoRQj93ikuzQyupHvJhetlpCux73wqu6e4kr66npjdmd3To9ExJugV2btjmbIUpRrTWMe3++6//V
WdzO9fO//9vDU4HcMOloUh4Vm/r5JTf46Onf/w2WJeewPvv/udhi3z88PeR9/fyPf/BVcxF4n1zB
Ce7ZEPfR1P+huTAC/5MAkiVcjZpSm8bxFl694RBq+HCy8TfTgW+UOb9rLvgbQdivrnwEDGYdjfg3
rOFoed+UEpRtGmeBgw5VGW6p67wvJZaZg4Ho6OOhFfYPUCRqSVnC/KN4JYLlci5qtyd7loaU4As7
P6/9KiUfPinJzUQpuauqZDv7Pm4capu17N4o8i/rlLMGUibSKuOxSMX9PCTX3CyIvBEKN0h962Ai
DzXU6Un+thsSwi6s4Mizy50fjmu7E98wVN/k7oRtWH66wEQ3IkhHZrSXC0TspN8yALxRPc2vkWx5
f5jyC4K6R+J+U+CLwNk7GMgUZunzjro9re4XmJekfhvV2inSY0wxfoTu/Oym+c1U5HemXewA+Z7H
ODxqq+bYoAbBbbZclw50gjB/UO7wAEcKLs9sknPSLKcM1nH2QNmfVjEoyoJYDmvfdVckjCl9qQ1m
3PvFj/ZKW4eERBjD5F4PtniOe/OkkMm9p9ptZtfI4P0EP91yWqkw2XazvbGreFgVhLOS4THfEzJB
fMwsDnJqMJ/OT7DcuPaICVrNSYLVHPkfcFseKmEdy8qiTvIPfY+NmSXPEim/WJVzaizeM3DB3sM5
Es04FnkE9mJYfEZA64VtxHdSx8ULAnxtKD40Ie5BRfVRMUEztabHMAvPndmHl4KaKy38Y3zs+Hyd
fuvxdZJhujUvh0rm3xof9s0kPK1ahS2W+MClTlOucsu+ygesC3BuuMrM+bTPxc0EvRVBiBXmx9AO
QmtfBW7pn0+efA5CmHMXzkIpiJm1YgaoxgsORcH42jo1bPdamZj8jWq6AeQX67zvegwyodjULekL
tkdw8DDejXLmshgIoJ3y6TaEuyfRsdHJZp8r3/leym5vTMlXbEyxu3K+xZ4D+Ua17iZ16h+LGrdV
O99bY/o56swLPPufywFhfYGzkKryZOU42VPQqUNjBTFdlnG/2O5+EcWjA8F1RefN4NA7d1t5w6wq
3jio4tfJ4OPymrlP9E3X9VT4az93TlLp/BiyoIM4mG5LWX2ztMN5G8ESbGssSORy3IJvr0l8eTBC
komIt1rhdneRzc4Js6M1cc27JPXOijLaMxa47WV6KxeTdRUbK7Cwal3k1TFc1jtpTiSdFdAqsctY
mU78tZnCkxxl7zrCLYEJ/6TtsjAjTBsMHYLzJcPgZyIJqWwKSIvhsR+KXZ6GMP9U/ZwmBBjL5Sjy
8dQ1AvjSgTpP6ThEuS2Z8CeV9UDfcT76aOZxOX6ybCyc+tm9gKcU/7SF/FffWf+NUgroN3WX+89v
ovPn8f+cPU/JY/Xnq+j1x37T/pniE0GyXB0MhWEY/8milDvgk4nGxGRwKwOd8f77PSQ8fghxn+40
KWF0jPxv4j+B+M/WEyFB4gxIHCX637iIpK5O/2hpJc6kvDxCMoc5GtbN71EVlNhQ+CE9nrZ2n8wP
TqVF+KXjKWdrxoFRBtgvg6nNh0RUXWEcVTaGSK3OGCoPFfN6Eua7+akVUV+sDbPGMhBay3IyEb30
3LS5t4HX77ZLcyhV5GbESGb5ODs3FLeL32Mq2ds24XY5cngceGZs9OQ2W5Y0Di5M2JlAL1WvuWrE
ieD2dIOfIoMcdxyU+TXHBwF28eIYNkmWcWWWzAp8Y4TizxFkD3j1kTzJpDebYrzKy6b2b2J8OKsR
AiLTbawpC0cRc5WWddHddmBblk69F7n5OWk8WGpYAQy+jeLRJIjghBiVrN8uZvMYG12785p6vsR0
pPTWmlHBj7qzsZATTMDAT8z8X721/kfEhPxaDgLhf7QJV/Dhn9WfN+BLEfnyU3/UgtR0GrsCikHz
pDfaq00wtaCeyryIaPFf+mMDWp+ANU20n9AqJCSEPypBYX4C6rRoj226UqpV++9sQKqptzuQloR+
jSkFCBfDZU6Jt/3j1MRwcLKlO8aIT3rrMR1IQQwvh3ZtGum0adxs2QCrYmW32FZ2KH10bwRMLNW5
cqrhFqRzmTYpQbCY6RmVPO7s3VxtF79tor0IlH/Ga+eksnnC2OHZM3aYEHd0ZWjOCrXL3IZgvzb3
yTf0jX6+CW0VBs0aNHezdNVZKtlEoynKs5z949YxOLPqps20zPmmqMf7EEcobi7jVMVTemRljbfK
QmvajAiO14Q4njqdcRMMqVjDqKtoXk2olFl9g4K9Wdm+qg9zlnVbqO393neCnWmpaS3T9AEWSrK2
K+MprWm2iiL+0SP6P7ETeUjnIqJBtlAA44Oz7gvPOnWa+kulkmADeomti9/hNd9H3TZT7dfFoXZV
6dBsyHXFKt1zbgd7NPdGSkPqiG4bt+JeKrwhIixMV6a/ZOuIcNYtEU5qLdrIxJLfgRTZjOYp8uhp
Z4yjsx6dYV6B5N0R0EC/A558lNI/bqqhVqt6GJptkurHgXEGR2r9YHrGFQYmBakjEv8gW5v3qUQc
YA1dltJaNr5fBYeS5IjTpVbfY+zXjmr8ZLYcweHO773Tjhb9W2W3xQqGq3PlDgiyNzAh8ZZfvWyi
f/WZ89/pOmeuzS7+59f55XNZdoS1PJTJGy0/4j79g6+Hied8wiXGhwDDvtUBQsjpXw8T3/yEeJkd
bqNyDCRN5u/niWN/4j9B49AoNj2k5BR4VfML/MgtAC5aTou0LsbEf+c84Qh6e55gqu6gPUezajue
JofpG/9PeFReiI4RsjkfuKKzedNbVWJtiKYV5zY6gmAbQF0WBK3gqLsblduQENm17ZHjM9nYLQ2X
/TomXShYN50iQTAOpGtA0Yj6TRs81sjKLkYXs79itsyNk0AdRAWCjHZVGB0iM2smX9HNbQpS0VkG
/tKEU6/sONQeIOwOnI/t6r7FUu94Tpv4nMm8ufVISLhD7Cqo61Ekb9sABRq6p6K5iTIS7w5mE2DG
B5PKe1hS4ZbrzKpIFK0QfY0rs8Zwt+gn3Pni8pDgaP1sWFb0OC5GcjbxM1/kXKX9JjAC5xQQS0dA
e9hEraBV4cKIaAjfZ2OUlxi25ieDCNILNCjqbBg7Y2+R/rnG0AA5QaUGcrPHMNulHnY/a8lDWU9I
w1ZG62rTKJ1dE9Qhtni5FHd+y2NmcpHxEnZsHpcEo0H3hBRs2020xdQwWDmJYx2PS1BcKkO4IGdL
cUU3UF2mvd9e4E7n2CQWZeUx9nf1GkpQuM7G2NuBlZpq3frFWenh/72dPXdEmJKBW69LaX6mqFSn
feV86Zi331hdV/p7n2mDNrhNoxoLGT/bl20v7qc8s3cpk659UUepTmANwzNYz8lmFma2LqpyOYPu
3V172GunW7zF5bFgJP6jM9xy6xTWtTdcFkFebrrRafZOZF46fZ9U4H+2OLfwbv5qzXV01xZiuoCO
I9eM/7fwBVEVFBm4YayKvSin/DjI2/A0QGl6JU3lnGWO/TlBNbWB1Y6fstvPu7KJwhtyABtuC1kc
RrNYm5Wl1lmWpteYupoXsOi9TTg541HkVvssxWi3wCWVuAxi0cOlKpIVPObwkAah3PVuQbrJOD5a
YWDsKsdBCBOr3LpmkUerboIIAahdrJY8EFsL+65NxiBug3T1qmK1rUkeO6m01QXCJ3djxN2XpcDa
Zpk8YxdTQUCM9nmXXUyyX0++iIXk9jiHEvqFTIPoqM7j5lrmdX02Q5o4hl7QbFIm3dtWxwPkThuf
Q2Zi3bBsR3RZs72vSV5f9WTWoe0jVWgNRCS3qL2n63lU2lQncaoINlYxR9adH+ZTsusCaxT1itvF
ISglHeMo9q9HpLwuujegsv7GtjM53sgOdbqzkk0WW/eWw1rYmjJNTpgkelfKj8P48+QsBbwJizz5
HdZ2DMOx8pl5fdJ1A19PSEVNJEsOU4H+ORRxu0WXAKthCkSZHmFbjzVNXi0pnyY1mSfuWzSgw82Q
oPC7UVkCPQPMyEgFPn9MYL9m3N1LuVlAgzztQcWMdq7dAAffzp442fokir4y/43ydRpjG7rJjKpg
eUJlN0lpYdCGlABIhKE5Zm7RJk9L3982JAJhiT0r3HPIm8Upm8gdbZvNMwp6rIB7VR0zlBM042WY
KcH/uWF2lBLXQ+ZajLwhvC2z3oXP3whseG2FOTgby5q2/yl38P/Qul/a3Kz//La+JhnkIc9/Kfxf
fuz35tv6BE8VroDp4nnx0mG/3tVcj580c1qABxJV9qb5lp9gNzOJ/AkO0xT8dlM7n5jSkSiIfUgA
3RSu9d9ovd8X/gTn0m/bUJwRSmNP+Z561ri2ie+9YZ7MRFD11wx9QevoV+Pk+9SbozqIDBU0mKEZ
1F/CoSUkiz7ZFVuTCdA5pkKQQgjpHttL5H1Dtpb9vHct5DsPheGG525lK3WD8aRl3mQT3o//X1aI
v/ab+MJ8tO4uK6We21+Xnf6pt8sOlx4oaBSEOhb5zbL7fQFZeizxWy6NZK1iGEkTaAHKwLL4Y+Hp
FUkPikvUzyyb/9iy06N2UCWIO67pvrc+ZjSzYJthWieE/GHdsMK0Gd/9RuZnTdL31n7ypnbZuqkc
Tr0Ii0nYJOHsLjBsfQzau1nN+LhHzmIeWqn49yMIkMLOMumrtXxZfoFY9kPXjNm6NURw8Z9yKP4X
b0x+XXYQSz5admQiJ90vq+7lh15XXeB+gsVgkoiD4ID/16mnv6EcwImkdINVeAFM7hcA5LdVZ3/C
4AT8kQLmBRwBG/ntuLOBJ6Fc+DQSLErdzvyddfeO4sDIy4c6z6lKUU7dCpvrbWMC+c1s/BLJWYaa
toYE7ueMnAhANWII1aVx4pHKu8oEs5lKgg0Kd+m0keZVkaf7MSMaASfCMO7w8DWv4BptSJnHyt2G
PlqTw7Yi9WUrqwJddLBrZXHcKSDwaajX9VRSltju12UcLq2i+NHBDkwi62IK2+dgVskK4707u24f
XAxEVCxOkjY+Wnx3J8YEbDFPTvVwhUQUfMlbGvC0vs8i59Jzh0sHCvQuW4DzmTOcMxd+zOv8PrfL
b25FbKKfJbus9Z9SPAquljx3dnIqDhgJ6dF9qAdY4yZUElfEoqKe6npUnrNYY+4oVyU44zqpBpIE
5g0J86u0IoHCd7aZO5w6pJ2u+srdQbu8D8x0h5VJjivKxmXcVafdiYVz4446F0My82gYpu/cAB0x
2u42ocdaCfJA3MQiJC65wtP5qIR/usK45hoh5QV5GuemiYfy1H3FC+vCDgxtNnOP0Ccez1Pk73az
Vg3t8Woe7a45h4aAk3aBD4u1GaZMRqedHGr76X+3vh54AzR+tPVX7cNStW8xiVeMk5/7bfcThSZd
h2acqfLbKLRAftIIJ9NwF42QAy7x+53DVFvTKdHq41Fo6Z/7fffb/ieCw03gCIff+IKA/o3dT2re
W1hCKxhQjUG0YrBOhIhDWfVnWKJHL90FxBIcFeNCYENSRO3KbKqINnV5nNESbpTW1aNy8XaLSwoV
DGBmopiEby13+cZ9lG/zuJ1IUR7x6VklfgRckMNGIWEpRvh0Tk9cnCdOjXdHGF80ybCZjWwklnWK
u4uW6+iubUoDlNEwcwxzGGfkhzE0+gXD1bm7amW3C53qFr+Mm4y48rWtI5abdhiI8jLQ84/nnQm5
lDzIfRkOzOyby6A20bo3h6CLGZhb3dlA7iJeNEdtU5wpu7ooAvs0m4oBS/C2WfdjotaRExUHJiuQ
8ytMV0lSIxImNbt17biMVHyxKY0M72FJbJaLlJEEK1zoKhJlcNIoOOq8Eb6lfjaVBVBbGHaRHtmG
2QnCXM0FQXHv0uALG1zG6jEEZJ5owKPDEPjJXtJtF2EYncjOAUTGYblHWXNakzxlyTLih9n5EJZX
Q2GeusxCNglCVI7R+mZomocg79tNNnfEqFrDznLbGyJo8q3DCLUx1FXjGtfBZH5LNbYbO8TaWNWd
6fJ7+a9HOjCsGMISlnh+RU5cs5GzuAYaOemhA6YHZJzAF7ilDmfmiHnODrWuA9fTiIB4m1k5q8Go
1emE/e6VGvzvHINfZ2/8v+ydWU/k2Lat/8t9d8pe7o90H67t6CEgCCCBF4sm033f+9ffz2RlFZnV
HOXDlo7O3iqpVIKCCGB5rbnmHOMb67ZRL5M4I4U1ItmphYhkNfdKGaDBrz9HcXDUrHyg/WtsB3u4
jLNxk+DUXQ1N3G30tl3bbGEecPjdnIva0Ynk8Iex9OQp3uRYUl0mVKAWSv0MOJ7GeJUGdLjHizw2
yN6qvShrj9WYKCTeTNImN+jD02naD0l4X0/dgzkalyOjf5Faz2am8Vsn3dUp+vhBRMVXY+juRSdf
2qx9x6TLS4gIqWrGc10aT7FM93hUjYsgbp98pTsN6ehZU+JGRgvbI2gv+rzcWnyJQ5zQppiq/TiY
YIo+V1K4kgBrRDPNrhlXb5Oo1wx+10HRnBkMPLDE6Jb5G/gO23oc70aTPsZE79/J8/BIuDB9J0uK
NTeF/0IQ0oKfKUZXGn3koWMByUgdvB7G2cYmOG+vpL3F9Fn+nAqtJSQnT51aroEsTOkJg1hNznmh
MCfLLJxDg44fWTOvDGW+xwsNrDJjwaVGRgMsbWKPwRp/BhMZSpRot0NGIhOApk2RyOdx5k3gHSIe
qNWk3TQyl49q9fSfc2Y5Z3SZTffvb9TH5/65rn+YZb8fM+9f9v2YMThmFCZi6JcWi+tylnwvMo1P
JGvjd8W2hurqhxu1YGZtUf4tpmGFPtKHq43yCXUWF2B64hSHvzjOVoxFN/Vhnr2cMpxmHFkMxxls
vc+7P3S/zYFsmbpr6n0RkjKPkiKCvZ8R+GY3q0ltY8TjaFZMBedFOl0Ec0MaA7wbONz+ocQsy34c
MUgLjnGx4N7SbSziGyJ5Elfuk+dh8I+53r2ikXkpC+12nCw3M5rHXlP3CBtJyDYnaWvi1NtIrdg3
nfaVI/uiN65oir40Rc3/XvWaY4majRo61ypIii9qTQiAkTwHBEM5cWot0KvxESjNOSLTwTX9+RAa
GdovdaE1CnOP0X8/qN1JKYoC0XsbuNibGje3jbNVj1fM53InmdsDZJtrOzQA/HV4ZUK/dqp2pOVp
UWDam9AK72mhrULQcwyp/Lc0jbcccXu4CajCpGPRTjeM5UBPR/l9iADN42dNDpgdb0DQeVHUPvcR
D78iviY2lAsjATrmG9dpIa3lJj/jt3xgGyAdPTwWufLq+9UqibWHUfa5H8aQ+eX4aQgtOpGNxTE5
jnTaiyXeb9g1kn3px1B9wWSJXUdaD4DBHN6bzJsz6cFHltG43Ai2Zj24URsSh43zxFZu+3F+VOL8
poKV6AgBXqahMPcVzYnM5AYDyV3X2oGD92N0yqQ0V1VRX+IurADbMkigj/ulHvu3uqpquq7+qQ3C
WyvgZOnzrQrSRS2Vc5rAgRIC1jdtTM9OpU1sjHeBZsarws6ZyHVf5RbCTmrsAWrtSUR+RaKHvk6v
rmcA45sGCqA7pGSDCJrDjT24SlWUdHd9mgMhqVFPWhrbCwdjaJSFQKFHjkJjOD+aQiJ8C6XQb9rv
f7OJ358u1hwU/1hdsxHkTZH/fLX+9mXfdz1mftxdubYuARE/zPworpe6e4EVYEUnE4lb7ferNfKe
RXwM9xtH7Ted6fertfXJVK1FA6qQ+cToz/6Vq7XGNPLjpkf3EPoDr2VRkbGX/uzK09OKjMRhjA8Z
c4FdNCyyUij7c0RwFCPzVh3KnfBtWdxpaii27XLMMleyU9Im8BTMYwBhFGDlMznkiDw7gSK0aJMt
Lvd6Y2XASqrMTdKKnrtsbHuz7sngwM+SR8ra97MI9pZE5gq2eQoRn83U6kgGLvz5VS25IzJ822et
zcd7g4yjyiKJYyKsXYpmPDFTNR5mTDf5ddHlTbaSK26XW31I/UNDMKWYnP+c7u+yaZm1//en+6p+
bsOfV/kifPnjCkn6NeNn5jwYRRfN9IcGkvUJfdiPx/73VU4DSVFlVjmsjveO+e9XSKRqUM6WUgET
u2nTZvqVVS54+Y+rHJOFvZzrOELowtOgpHX68QYJDbLLQAMyEUtAHd21PuMwp1Ss5iCktNQdXAdx
+SyqopvvpBIwkGPoSWhdEYtjFc4wzNEL9087ugYfaKwFpL2scu3ZiF/yhvAmT4Gz+MZZxWQYOwD7
a5zIlbbNuX42rtHMU8DE2BzVGy2MZf1U1vlj2qgvfVRp9QpzZGhv00bS539LYeWf9uXFzvlP6/X6
uU7+ss/OV33flk16l8iIKDW1xaz0QVuJrmvpdggdTywpdfj1/tiWF0EmKn6UGDKRMFBT/liwrGV8
zbDRYQ/w7YT+KwtWoar9acGSTU8LdZGQ0T+Vl89/qEXlPJwrmgzyHtNJIhyAT6S3mPJMcFHXJXmz
JRrYEldiNo3HzjDU7HOpdamyG+TY9N3SSqoY/ynaXbsus4r6xSKtiwpKpUy1zdFC0jzTAqy/WXr/
3QsB/tb8Af5+g/x/+duX+i8qgW9f99uSs7jJKPSw4Duhm/1BSsinWGiywUwPoc9HLaH2yVIWZx/z
PvubdeT3Frv2SaDRwYeiK98kQ7+04N69Zh9uPzTrTJzYKrwWXTOYLS7aoA8rDge9ngHY17aphX/0
sTfoQ6WgQce+uBkgZwlyEMPLOA/WYtCfKnj8Q2LucHdOW7toyHTF4Oaw2B6Lsdz6cX2yk8Z3dKMZ
XXLCbjQ9rFE7ALwMx6NUCmVnE7nhUZ2KLSkmloe+OHRBMoCozu5KkkfpOskPspppbj5a93C4NxLW
aaVKz3WsrcNwjjxYcNeFFJ9GPLQOVQwC9fweCt8q7un/c88E3BBHq76wPo8qUVVj2h3lqNommJ7J
cG9Pmdmd4UCB4B1AlsfheJbKYi9Z5g0qrrMPH4jOinzZqvVpzvQL2PadM2TFSSUP1iGP6ovmqztD
DS6b0t6KTB7duqGlkoSMKFpt38r+Vy1VeMPDVdHK1z6KAkoaRcCc9B96yhdHyYKIhCO6GHj4n0st
2wyjUXhL+QKD3caaMo01RIbEcCRRXTYdu0GjdV5Vu6MRk8sd3ESa+jS36ToJMq8zogNq5WsiFXDx
RZ2n9OraXugIpHos2k+5KI4amNY+w92h8HKTYoSnwhD4IfwwTR9zfxAki9m1AUeH4BWzx9CSDlgs
0gBEVtOU2Ahx7Hst69bD4n4to+u4EnozH8MeKYlG8oZjmtIdSdtHhFnGlvC+q5xT3jPCtFsbZvnG
uEkhlBwPtFVb0pr4EILkKnSrxjCo+5gDYK1nQUVutxZclt0S+WVElpMLRVoPRRd4Zi8vecFJvqql
vF+FuVhhDZY9PYnqzeQnF3G1ZKUp2WUUVKcpqR8Rh8pbi0Rzx84VXBhLPnIRNt5/KsT3CnFxof39
Bnj4Utd/LhCXr/l+3lpLPbd4GCgSF+jDBx01Ikae66Xh8j5GWI7i7wWi/AmLNTcgVInfRBW/n7eM
H5hnM39kKMEUhALyV7a/n/g6y4CR7Q+7H22oRdT9sz0fyGIfW1nZ7tOi05pNHom63EVxYoSupEWt
6Y05uV5v+F7n9ApYGkMEiEfhBhAkiylgq4s/25MRTKUTj5HBZRza1ucsmSAaYzZgLlcA4S09nTr0
RtakvnLVTIq0Va+IuN32TSsgoobEKO2rVOoW/1VgO9griByAsS+wSPxnob43KvV/bFTeRm3X/Gml
Urn9sVI5cpl4o9GFYfTtMP7epURKgfbut2nXe4n3+0JVP7G9YMNHtPFeNFKzfr+vc7YzBofiz8LH
VPpriVvk+/5cGdoLSAJjD08EVcHPXcoAB1enI7zYz6yyvtbCTSdlsDRyrVHVI651U7oBZ7iJ2+SZ
xelKXXDQ5H4rc9qabXMmPH4VtO0e/s4WsEO4ToP0Mk/HczEUt1MfXBHi5EhSu7eG8dYegpsiiW8H
o3zIRnMnVeJGzZGhFwTfw6b2Ilneo9e7hDW6n3T5Sp3bW1FmnSuZ5kYReAW4sp9a1WfuJO9hKeGJ
bLutoMNpyfWwTqRdsjM6sYWdkIMuiI7WlF/Xmn0JRuecGPna4H+J6nSb5Mq+maUTye+u2tr7ODAZ
G1f5TSPn98AuDr3dvohq3nc9fIxUyfdiov8lJ9XNoCq3Vmgc/IkhRST8jW/5h67oLg2pbRwSZJw6
M3eB6LZ6Zl7CjzjZ/bRDB3BRRdYrj/9GHeONwQS+61QvwdEkMuQD3DTvc+KE7Dk8mf5I4GNZ74Bs
7Pw2vYCEvbFT/6jkuL3LeCtF2Q4m81r2e8+QrDcNf78/phdNUF8TQE0GYHhD1eMkGZ3nMdWfqNRI
3wpuzbxCW1qjQW781RD1Oxnj5WDGlwOorpZmCamf56aQPXkOn5KcUZdthBtLTddjBIholFciGjcR
7lx8tdV1lw1XopfW5FefzD72+ijZcSjyWi2MSaZgIp4vVETaqpmfpblb+Yz7yeaUJvXUNbN6DIFY
dccCoBvKSf3W9jlR/dzejyq5Dk2/YpB7WZBOGXU9CdiNx+/7kg1zv3xOreSVrM0uv5RVEMPay1Qn
EcF6nANys8t5VVdeqhwMhoxtfCbrQ3gMKkn7KTeBWh7CuP0Km3mVZB3LO1xLiBr6bFDRCg3rSuF7
9cm2UFJqQVu42TxdzVG1xqi1aaeYTDiNDGp2Zj/bGUa+JbkGtXW/hvnsJWLw5i7doFhVvUIvMfWG
KMXbYb9E5DLSg8dS3hHJsiozgZE42Mmahj0YoIzWKU9KmqxpP98LJXdDRq1MG8NdNIOXXnB4HiyE
TZxx8TLEKyRabwCNbHLmOY0+7esG+05HQWtKX0LKm66XD3EyH8WQr/yB+PM0vKDRdQYivBI1+ZLj
86jCxwqBuI9Wfpzi+jO9u8/DHO6CkgToXvECWz+h/32uTTGvpUrfkux8ICr4fg5axsBK8kDMyUYN
FKcrc/zC0edppqDV4mhJh7ztq/ZzOpS4dkUAJUrqV0VGUGZrwpmxDorfnTHWAtCP7kICvJ1/x4Pp
4xFj4bf8p+LJ+5I+D8/1lz9/zW/Fk0mjmEKHARi2jB+7a3yKG5tBr+J71+H3IwkeAR1dlFlgj2gh
LGK970cSzjXQsjptDjoMyyjuV2on+tU/HknIxlBlLG4LhVA86rWfro5J3IcgPexqOxlT+NDGbV56
RqnibhjnrHBHs8YtVlYT0x0xE0Ec9i5+NpvQFhngSB+hJJzVWXnwI6ojpsgJu4ctD1/G1sB6zjd3
8S6jcwra6xw4sVN36ZMmkTWsdhBJ8sBuQOfJAfnztjE5/BJJoc50/Ryjf7gYx3Y+prHegkLrZFK1
iVni0Y2zeg+chVE28ghQXClA/LCuHGw29WEkKILUDBX1w6gjIOPNCUxvRrnDIeLvkJ63N7kdaDy8
0VNsVtJDlGbSbVChzNCqMd90tghWZVCqTmk15dU8wv/LxubUW8GbLiX8kGR9OKRVnDQxJWvbTkJv
0lXJiYO83ZDM8LWs1Qh/it0SFADsb6WX0bwWVUuQzMyrh704GaQtMZhqL1tALBhFxClSrFu/7y5x
JaA2h740VLNyMQJ3dtIk77G2Dcu/SMqbMmRgSIOzltgTpR33pPk82QaQIPJinVRVT8mUPFUUGo5Z
FGeytOZHIhZlrwRM5wHs69adPIEriHIu7fbtqPor34w5v3xjeQtkc+l8a7sa1Q35CBQGiSSt2z4p
2Dvs9J4zRLtXRjXHwJGSWhJgTmdIgV6+bdF/yAjt5vIa+AV59Zq0b6FgPxfEHN2WkNsRdviQI9Qy
XQ2WKK9TZAG+NVuOpbfV1QSq/UFLrFujiYpNMRKMrTRTAMA/MVczQsatXRnWCt/iXTqXUuVo6sD8
zQ/2GtGYpmsGTXYStt+9SjK8ItesZPVEkLR6zKIqVLxBhCODibCaERXlZ3UR7wPFhBQgCvWmSVt7
3VgUW4AEoNHz5DgxkWFeCB+WgLaxsjd1pZYJm7XCeC6aYDPgsnZaqzeKo1DG7oCRoSXCpZb0OxMV
yUHLDPlJ4wf3kNBGLqwKEXnkKRXFWsGaUzsqwR0HEoj0dlfQX8bhFxMOL+X6LOHdIZb462Qj/Uk5
PxAP0sxZpWYEkEcBtlNmsXL+l2zh/0vNB4je/mm3Bx7Rftzp33US71/z/aqM5o79HFQMfryfxLgG
92E+BuRsoba/Gwi/X5XVTxofFwRovKMC6D//vt0LTgKTPva3+eOvdabfrQUf+oTLKEXmzk2wERcd
WHaLiuJDnxDwHCPASG73KgWHLbo75LU3BeK0ciw2vaivLMkEAEP0iGFcVL68ZSbYECpUXZMhEK1b
jSAb3dppKB5K3ITOlHcl8qshBGKJjtWY/RtJmqihyxuMOV+ldG0MYD0DLyMigUF9thp6w7NGP8LU
JNPO8qQakyyd7X7XZklWOQl/AWWFkzhvVo1UBOptaqIWJpSz+qzVSkkqJIk6z+jJAhxgQ2UFwYH8
I1+ckzCAbjvLpIz6SNnFBT9bbbxlkl7HG+KJuujfstihsviZw7RoOP++XbQtire//prvzwAIJoyt
EO2+zbh/RDC909RpCrMW6RN+GM8sMxjLQrFqLZ0cVunHZ0BAX8IkTwFFPx0Z0S9IUt+R7T89BMDl
YF7DsdWWf358COKSEAA7K+R9IFUEUID+W0Z/hMpXuMInI700prK0HDnEk+iVYRlddogyMDnkwq93
rK1lAFMHg9qC9F3miv0yYizfp436++TxX7Ij/w93Pvy8ZP5piZGr/vKcPf/5S35bYRZtHjo2yL2o
XCHvfRgAWpTHTG7wQZNTqPDvH4w2VKYUNER1vA+6GQt9L6rpVQrgsr/LqJVfWWHLAvqwwBYxNslS
vAtGjdTny1v4uMvGSino52gSal9Jw6oVQ2rqyNC+/fA7uf72DT9GZ3Mo/OlluCAwsF/kdTSUfnyZ
WWlqkCu9tG1mTSEEKpuoqWXrKhtI1Py2172O/xV8Kf7itZaD4acfCYM7D6EgPpou63KL+HBw8LeI
G7tX/e2kFCBajLq/NHj699iBlmjZ7L+FdBI7+qeXxPjERoKqbxltLTaZjy9JoIteKUhjtxFpd7Qp
qqK9KGqSkRy4iQsIDFbmvcxZLNZyF/TE0aFjwwlXMALZgMftXL3vcdB2Yx5typiIJAI3Ma9Odi2/
5GNUX1Qo0zeVH9ibYabQhHwpuNagsZtqJTulCck3KbeFO6U18r3d1+QoIno5+tRxRy2I4cyqQR6S
VitnuyhophUBslSfkjaTFkebIASQfG+WwaXcTdFqMFP0zGUqb2dBhLwGbMRywxg5n2i67CuXqOKK
vJ74TsjQ2XI6RWu9opGhRBlqbQyrW7nwyUaeiaGyerlwatI5Vwo4MWgSanMwlbY4kreI5Jn4lGc5
ReKbGgPsCzos24rIb7peo+0bINRE8dpYWXaB75y4yWIOOzT5A+2A2tKQ8In6MUoke0ggLNdmUznm
NBB/8Li4GRGBh3kZr02wwLk7+KxzV4bCA8BOzfKXrjbLRwAc1ufYTsSNjYkxdAe5sd9iLlM48O3a
ZEIFQQ34exyN6xqueAB6Qw1fkjC1dDfKtfRKRlhcuoYWFBdmN3SHCV7kPSDg1E38qPYEFf1ei0lB
xUof61eRqtyEYyS7Phiim7CyjVVDbNdjZhZkSI5yu6ZAl3RnJIbxrYYpsgnz8HWq49ILcIoeAgzR
JfFjepitGn45Ye5ji0uz+bOmCumk5tF8Ic+kGTvNqNDzzHtZ8hJiHmVHKqSzhuhq53PSbPuBukWd
AGzKcdC9kebeviTKFKerOZgxzkuQSvb8ChpaQMZr1aYkNQ0kpKUyDSEzfZNViB7ENZF8144EUgR3
diNFLNISzVYJ2m2WstFtmHi6BXpc1/Yjpnxle4ilmp7U2AbIMWUrftYtmeBayXwiuEz1wsKYViOJ
Nzf+kIoLI2yu9XEYFLI4TY2lzdODvL6/VHHfw3Lov4wZZna9ltrLROTzSztiweIvq3PMJclVZOfC
Q2ja3nBrIV+2tW6qyo5WnT4/SF0NcWIOxUpMc3OUzHleDbYxnPPc7txAsfv1BMIkH7LPpuoXUN9R
9SCNbYOeJKzciJiRcgcFcW6QSRBD3LNKsYjZ495jSJroK0N0aOGntDLmC4vxzLgD+07AqRsGlSw7
viQFpHKBJQCOOIquGQJ+EQVgtQnx6a1Wx1aAjF6JR6sfbk0GQSuE5djE9SmsE1eiMcglrJINsHRW
nm+GfjbMh1HSAmttTonAyWINjexFKSj7dUNhi0QjIDBvjcFiDm56bFAWatGoD45GVTMOKrI6H64D
Q4IFt1jWmvBg+1JPwdzA3HsUJdm/YOFyXFYrsk1scR93g6SvqxHc1psJwp7ElzZsJS76ZdDVZ/Ic
8qza4KxJHiW9TODsZGQ+ygsruchMfdsT1Xtv+pNUE2Qr/MkhfU3do0PBpz/MPc0dqHY2LghV3Q/C
ry6UcdRpjEsgiMdkiiYvm5HUEuyJU6Wplg+bvgGEYeqGV6A3mL5yKOBrLVHVXQFvIHQ6yNsehERt
V9LU30fw7Fdt1s05ymff52G3CLGoNK2pMEyYCiaShvS5OsrpjjApzxuZBoI0heDEfPDYY81/Va2U
n+dGRtBLikxXen0/ZKdR1covyCCsC95IFKwToRGkOtnZzAQ9SMGIkFq8s+TUvkr1yHhOs4r3p6Y9
osXGzLCgJJDKE7i5uUt+Ep/TpTb7Kqw6vVdlGMKofA2gPLS/zkEW0iZuKCPQORYE8/Hcpt6/pL77
X3rj1g0O/r+/bdyDiv1LE9z7132/cRifUL0gYQSHgjBk0W/97k4wP1HnL3geKv3f/HG/3bqZQi8f
hOr6R6n4Wz2ICW7RrVA9Gt/9cb9w40Ap9GMtA/EPlQ9RXfC+QMwiDf6xliG9vSDYAdJpM2kvTTXC
KmmAUOiyE+JgOsx6wTkEOZqLrBdNKpAuQ16zbGunGzRvSptjUtfHsW+ukpRrr7x4u4QkfSF6T3Nh
ohBniObfqUr/zkzGQ68jFQf1edRk/zkKlUNmFw96gU54yvxNxsPuhVOhVFAkq6I6GbIc+27bNMqe
CYeFB0w3L2OZ1t4YFVeibAy3i2UainLlBXl14PE4yoN/GYzp4Frv9jHiM51BpNeWFISrSuQQO2R/
Ig9QW6vQa3CsDq4qqscEQqqVRhlRi+yyQ2MS27mAclQLbU4jHgMN3y73r/Vy4uqDWDc9LU0bPbIr
usF2e78O3BpsDKPR7MbMxvUCOKgMBQkOcEv41PKFYvWP9Tiv2b2hPc+LvGmEB2OIF2HXW0NG5mIO
1k5n0EX3DrtgXfpAru1VXBqnJrVGtypCDBtLXVKnZIBH2s4etI1k2Fv22GltRt2B7vxlSAqWW+ld
5EWQvkvrIpTr0VP7/mYwlPtRAj+YyhbpOyamxoFwj2igbSeiB76J5RAMIcMxo82RwqH1W23bVgIC
vCw2iTY/BEW7NSWTbB6shJDQvoQ6WSW1WEdDFGxZASsx15eKIK7xoptgGHqqPSrtyjKDLxZXXHqp
k/lG0uxUk+dNHCuuKumMVOIsoCA5ydhdSlaRObDNeFFM2iQO26csI7lAMcGh9IHJRLbi5ImnYW+h
ltUlYN1kEm2yqjlSj427MLB6tyj9G5+MsAswq/eQ1WYn0uqXqZmsFSlt1VaZiueoR/YjmUAaG4ye
pIEBL1e7IHIkotU2o92yPxvzWw5X3lMx8MBItd9I9sSBaPVtc5AGCJKhwUleB9FNKPI7o6xvtbL0
3S63LsNWm0EPd5xSITyMqT+XOSnPmr5LgBPYUvmURsPabgacGearCa42B7E7Fcxl5/KoVuBUFf8l
U8ynLsheUnM8KFmzs2wJMwnH5kAIQtdfcdOwFobcjpNiX5nVl8U9XiTtpTLNM+osipher45Tjp90
JuEz858kBG9QFHbFZOwKuumyVX0ujOHCNIttwNXFQa38NiXN1p6lRwSq95jiH4OsuRlS82gM4742
9Jt4KtZSOlE7Yd9uyyOSqn0b22vSjPa+VG+JcbiPBwbslXIi9vYwz/qFZQdbra9bJxvCB9ufzlox
XCWt/0AgLBVN+ECz4yZMCaSIuKK0wXVAjJ5kRQelzwjDitdzMHhtkH2uiumWfO5NqUtnUx7IVEYm
V8pXnTpfxMnXiZBmuxt5zvT2zMr3yFg+yEpwRRypS2/k1o7CowkOyWibckOhswq01KJvHV5HQnQr
1UjWqWoztQiShy61bKfiFrfuGH/xGwXMZzY98M1BOtH1q7xK4drQD37hKkV2jkPNX/cw6reaRA3W
mvLqX3Iy/w/vvPxFh0/9R0Xs9svfSWLR4NOUeW7a//t/JBwwGnTN9+EmYzmO3T8OXQO6psaxaxIo
x1OxjC+/t7oR0tLms2nboAwDlfWhCQN3Qka/hfOcSLblafqVJgyIi58PXQvz+TJARdKNiedn34Df
SKIUQ4k5dpyCepVOhU9mohHnyfjWBrLvWgFHTxvph6wqjrhW3Gm29iILoDdH+YvQIGQS9kzEQSmc
eq73wVAfuMVAeSDbIBH3aaHvogIbrN37a9IF70fZOgJw45aYB14eIq4IEDw6AbDxQi+4uERuw/cw
JeNgFfJ1pQ0XYoyOYzB5gxqsja68hsmwb2QEEJ1yF6nWXjX8jRUVKyyUV70yXtjzuGlh71UcHl1h
X6a2Bk0ySvddSyFLRoFw0rK7bhr90MjNvAIE/CCDiPbfYzugu03SvlR7pnMlPDpjQ6nc7kjTuGQ2
CioNbco67xp39NUnImbVrUJvBRmQcSd144Pa5Q+x3akufYPAgd8ZIYcoT4KQcLfomEkB0kPgE5PL
LMcPZWlufLVakZd1ndFS6s/o8m3s8EPTgOqgzRDIO3LS92y4JIOlQqCA7znIQqWULaczWlN3G0X1
ZNAd5BJfZ6A8ioXpwc2vdK2+8RbBb8n3SikIDBKgi4UHUixkkEBF/jsAC2lL+SSwDC43WAbrB7aX
jS1qPobKeJBHTN3yXK+MhUFiAiOpF4ceS0XddFpzXS3uvbJPXwfsfAG2PqsSKx2bH+xkT1Lx/amR
fIdBfJMujkAM5OuSO4MjSuUcxzm3nGJLGvIyqEOH5Z+QWGHGxGZoluWXefEdyvlMqh9WxGLxJGrQ
+B0xIlAyMCyGGBfZ+TVHNEvcyauKq5HoM9Io8TnGYYA2lgko3PMqiVaVmhCshimyxxwZLi7JPM7W
1eKbbMOKbXPxUnK9ETt78VdaKecmhkt7cV7GiwfTiP2LfnFlFkn21C0+TVAfmxjjprDLVWCrrzgV
jxXGzhCDZ1Ok5wTDZ+9r1/piAF2coMRxfDXncR9iES2witZZfNMZSnIIFhepoiX3cVH2XlENNzJG
UxLiHJ23EvooZeItyr43u4hrnslgpUzSHc3IDVEKbo17tVKN2jEXQytqsOssqa+trD80i+XVxPuK
dO9MRjXYfzEG4AEZLQ3acBro5qmUUfsCn4UD23VnLK7axV7b4LMFzP6IZMxC8O2rjlZEzwJPrhTj
zSWvYmUl+ewibdacerHwBmb9IpcV6qhuXS9/ZVNS97mSjpveNLD/vhuBM7HP6uqxBchf4BRG/PWS
4Rzm0DpaNtG5i6VYQi+Wmem2BO6oqMyAi8WBPPoWacd4kqUJd7LaDRd51W79Rjm3TXH6z8n2riDV
OGr+/jZ5JlUr/HmswDh2OSJ/O9U0FJ+64HzSiVf+2fKJzZPpKUguWEaLefPDqYbaFNCRai35noib
/xgtwJtD4oyPFN0nq5C7369cJU3e2sdOPCcaZDsZ5wgDXJlQzZ/a4hWb1WATXbHXU+wU+xh8gqtM
Q00LN5S4KT41vdHSoaOrYVTpru2DUb30545HZCxv+4LgIaWjt9zBKCaeqKcV1NN9GlTttbZ9hqbK
laSPJ8bIwgnq5LWYA/3CqIvARct9ZRvEiORxeE3n6q5Xy5upxdvkF/FzJdUEKJIWQR4nshJRXIRj
2LrzLK2lXpBv0PfXUeYfzCXNuG0nR2CE6hT8zaUyceNJN0NN2LBhKReBEbl+HppcRFvuYhUTaL01
PNXqv0xlo7OZSq9d1r5ZSngOo2EV6fUNHefGGXO2XHto7uxS1bnbWeeilDFeF2cwlXhX7QLNdjfe
jFqyrjua4pl9ocXGFYKc9FqM5iqWrcQhqHSTpvNaacIV1owvtl28+Kr0Oe2GDRDox05uXoqmUB3q
/sQl6b3ylAqoZapdyPgGRRNcmwogabV5CUzlTL7Zwa7H0IWVSR+7GpwsJlrMsh8BrgyOqs+vM9yB
udCvqr5w6aNtcgJBmkQ5hGrDaRzs42KGaGDU63CaD4pJRW5EW5JiLnDrHwpbDVwt7dBeHbtQPOZI
YhO7f6V/v6byZ0YeE8Vhe5HPj1T1n7sy2KtleTSl+GzLK2D6u6km/EQ2M9vRSUVmFGDftbW+Cq14
U4qc2YvovCF7LWnjpQn36cEUTjVUrsWfHKvGSHeWWYO/qD4nL7CkbS6qTUXGRq0gTiKFldDZ6RQH
SeaEvrqvyuFFQkw8ptMpNPpDkhT7fJw3cAtpJsq7ORJHXAiu8A2HvOmQSIzsssjNtVzYhyA0PueY
mWXrfuQsaPACpRblTcZvrtzGrUML3xwCULFP3SKYwrQSKdJ2xsqkVwfDKvZKZiDlV+EG+SvNnPbR
ZB4QOF0Wg055lLnRWHuTku5ob6zyVFuVtf3ZBngaQMNihEHZhRGoiwegpHC3ulHlMmQ9KySLSgXE
lSzbx337VNkS3R7IPqJeN7r9lNM4sQOxJUXE0yrTcKLR3JjldKrH7P+zdx7LcWPbtv2VG6+PCnjT
eB2YTKRh0pOSOghSouC9x9ffAUoqURSLFWrfapyKEyFRIDI3NtZea84xz0mpDGwlMK4MRFXhmNxp
oVBsGnAHZhzuw9D60Bn9ZgrUwwhKZRAVfESa5k1ydj8Oks/vsC8QkzcqgKRqyu7kJfeiPN2J5rwp
x2wnZ6pdRUR5KdnBsjCFW8K2iWlpVoo6eamatstOTnuDZ1sPD+Sj2qKgHJFPXNCNuguyKOZzX0V8
g2QLo/XQaui6gl4/wGsNwGUIXwWItVGKYNmaRRla2j5I+yOaanuNlXOSOUm2TYdqsIYXI7RUnETJ
TG0y2yHxOnaupy7qD1/QFzS4JHenUG0Rzk2L5mhj5eUdDLMyTv1BAAtVixewebyS+rIpog9NaHom
tbyzCj54KClGw7i4ZFBBY0ZLQjteS1aZ2jWghq2JRxXXojbuhdUSL30qqXfzVEo281oCp9TCMUi5
XdBq24UquaZajsNgX1qx2wemt1BNL1TVzVpe8zo4pNTb4lp4d2sJrk3JPl2L8o7qvE5Eh0kMEvBx
21O998FyblDNq1T1ekrlS5Wf6uj8zX5fj8XFxCmgi+mBcCqAanQ0OCUUjXZo1lMDpwfSe3gqOU0k
PO9LHtEP4aQB3nstZc0Tnaq7CNx/tB5KeBdBVSIAV7L/qx3W2oH+8Hu1g5f9z8VD+zsm5/nHvlcP
vJH/Au5KDUCoJWSblQrx3YAChY0mNUdiHUYXyhODHvDPM/HKh8covHLiCaZ8cSYm9cWkcgCcCLmW
H/uj6gFn1OvqYT1iieh8UfwawEZfCcDiVop52GuFF1FZ3lEPozU1Z/0w1rCWbQzG8b02h2PlNsXC
ozYlndT6BTDoxmHCaHU3k4i2QFyxYlEXRNcxLO35Gvu7unh9rYcSLoeKNlFcyp+XUTlG0kK0cUJx
MnHqoaXDyG7l0sOOJs8lT8+1qq0cC8fzc+AScBtGj9V5VHSQGxFZ2opAi5EQjcDTggB7iHwLqAVl
6Gh8kQdjk4+q7qgAppzAsIS9qOa+1mf1sVvK3ZiE2nZMOEJp6zlryMgeG4ZdVg5bnRQxJxe12B/m
8j4JkPJoKrzupaM/ns7DQ6tan+ukUHYw8us9NbrmKHP/FYAMKjcCuIeJOVbUafK2JakLxDc9K753
+FhlvpUz8idk4ks3ILavq5hfHGx3dFqmEQSePhCTLSXzBEBcHMF/zVXZfZmVobqvwpU4EPHqFWEV
+HQNJVvS+sZnjHzSZqHi0G1hw+CIs3yYhVg8LXG3HFTArnsrMPkxXcl2iawkG/QHzUVFpE5sK8as
bWKoP87U5NDzK6O4FEIN6F6Fd3UbSDT6/9shnk8Xa4/rn08XN2X+P9vm6ek3qAw2b37w7z1C/EtC
S2OxarGAPW8Ef+8REnERaHrIen32k7MR/Ngj4GWtAC24BmRD/UovILMGY+Z6HuCvrArSPzphrFvA
C6nPqsvj8rApObaoGoch/vyF1KcfRbFLkJDuebcL5aHnVZ+uhkcqEWrEQSOVNalHv1ImhNgRstXF
K4KylAmhA0S/m00trTyQS9oXtZtujR7yE+cMyPR2M2Zlfc5fsrTzPCwBy9hqg15iCUZw+309NJLT
U4oaLqED0p0VLwORU4NOx6apxugCxhaOoBondIvZ0mt5AzN4Mc1hkT7p9Emm/ZTWTUMUxDhnG4E9
oPEFtTL/W93POmZMkO+tbm8dxP52dn7+ob9XNmknHINptzJYBfvC2fXvlS3De+PNg1GXLpv60idM
25dXHKfq1efCavuhyYPhvqpEsR7DLtZVyKF/cHB+jgr/ZVmjXqPbrHNk5o39zL95uazDuQ8Xxr3F
gfydlKSgQY+0TVZOVFtarw6jGxVItG85MyTkHQ9U01KUs9cqEY5zrxrCCNqA0lj1GWb4TnWbZVxs
NdWvcRMawzXrdsa0OMcV4b11gHW9WlTrv8prXXlM5xmYv7OvPszZ70vv2099X3omHl6m9fBqvy2V
1bT1fenxRysIBtknmypb6Io3+rGpiogDcPeuCgARYbLCXvhDAWD9RUdwtaij4Xzu3PzJ6lv3zBeL
T13p2/B3GYaAJ0Qy9qpp0y2zZVakKPut0p44kLnVoH4O1PjbvOofVZpvX4bhyYr1phbl9fFyjcey
OFYMOxo/mgsvDCYfXQtojfj44tO/+PZ7vxServ/Mb3cD+kzmkwNwsj6zLy8jlmmq9gaXoah2si5x
sLhtw1jai2l/nXHCe/9yb97Vi8utL6wXL6QiE7gxhpmYicxDU8LKUJvjWH7nLf3Zh/fiMmvp/OIy
1OcCR9Gx4cSOiVbuLjNhvAuRvL5/N69er9+WwovLrFOrF5dpLcSrUTA1/kgFLM/FZlDEM8KPGOnQ
bv62YfzZPWmyvPYzGYQ9o7VeXExUUC4xZuWeFELc1OlzBJ4RM9k3Nv8/XuY3wfO6vH9e5nWUXSTO
E3h1LqP2t0b5QUJR8P6H9vYFKG2YKBoUP68Wdk0NMKPWb3xz1Bwp8CB6fhNh/eMtvLnI1uLp+xVe
ffuh2KrozigeUPBvGQ+cxWID8W44vX8jbz06QLDp3yKlpoe1CoVefCGqhQ07TXl05vqzwYgdhOQG
4aqTFY9t9PH9a731oWHzAUSFeQjfz6tNh7BbIUzoNfq6Iu4mJHdAO6/fv8Rbn9pzvYq7FQLIa7h3
p8+DlYD39EtBvuOw42mReJr7ZfP+Zd64EwgMzHBlnVwN7ujXT22SpCAamrn2mxD/T/YYgfB8/wrr
1/vOlvZ6BTdt1C49RyZfDzyaa4ubP90Qa8jh9f3rSK8IEK8ff0X+9VbCEgg/rFoelW3hls6Fap8Q
ezvfY/z+cTm/uc7WcgrrGPmuz67fF+usS5cyGyXqXwajyK/k0EfzySnYUP/luXl+db3+5PDrcCwB
A0Nt9Wo/I+150qQY/3DlxqflWDu091WvPMtEe8bt66UX1n7xSjBEZ8ZFv/ezW3h673+ob6zCFQMH
ao+6UuQt++tnqkBrqhJrqMC05qkztDGN/eamFP9ttb+xDH+5zqtlGGlSO/bzUvlNdxNrn/Xxu6Ps
T741nOKYA8nwg7O8ViovdweLngwj9qbyS1zV5fg4EDje0+cWfSH5l43ozXsBQLJyyegrGa92VDkT
lAmkeOXr8Phx9dpV9vj+t7L+sq8WBv84aCDMXBT4r29mKRb6xzFXiE0YFNCiwv58libWYu+W1r6i
n2wmH96/5lt39eKaxiszO42mMDHkhA8wqXYMXexEDnfvX+KtxYYGjxAotlYULK++IzWGRN0wEvIj
UdjoYslgptKv+mX4lwfrrVt5cZ3n88yLJ7jsshjsSMSi1qgT8hJiybd44X9cbW/eiYRsFoKsDIPp
1WMzimrCoUgsAbogS29kBHZEsUv3739eMHHfWAhrNKas0uz4fS8aIHCUAKTX6xiJbUWoMoU8Lj/g
5H4USwNdQKZcRmYuMXkrbpSm1pD/qRdtGKm2ZNQfZY0Y6anIn8ycvhqi951WFwqW0Oscgg7dyLwi
nS6QbotBy9dowOpKNsZ4SztBmulTVFgilkgd79Sug5qjaXeZGcenStMmDS16K9wNYThnqLzrYXYR
oyTDHlZqOBzMWdS9pcn3HBM7RD0IehpjduYpcYUx3GIz2bMSdni/G4JsQrdmg3SIJ0jtNk9g6PU6
jDXJR4CPlyMOr7Slty6HLPDlcLwT+/ogk2JLXN+NHsIzUdPyKiPZQUnFEzmXfkvwnhPKuA4UyyPe
09FSYHeiNsDc6QqvD4XRHkqmmGNyJYjqPpfyO7I1MRXpqbUxgkZyUBxd9kImuonKCLaq48IOljry
gU4jNYyf5Gxsr9DNFdu5q8/WXG1HQKCBZQ1/fQUsuAr1J3OZd4OMJCWL1Hu9Nx6URL2fTeWmGcdH
FEebNJ8/TNTmeahKdlwjOLGkxkumxumN6UIAeb4iswwl3M2jmjtSQiig0HxqoswX88WPBfE+zIzb
WknOMb/v2nw85QqKzorQGoTFUB7GLXpjT1yTf3kNHIUpBG2D2EONlSujF4hIZgy1xPOhNhM/kYL7
QCeDJ1Nv66jVd0FgnDpCyZ2GxullyqxJ6pcPcm3uJ+TIU285cpG7cn8c+JUzK2cU9VXDrTBZiz/3
zUFNk4MsDdetbJJ2WTKh4UXKXdhdK3xV8UWX6rSjVvTHdLTHgPTBOLLsjlDjRFfPqio9n9oPPYJb
I+h9YM7XiyQ+MWX0K7PbSqpyLk3BgyKnfr3ke11RNi0D8FiQjvpY2YaeXllm5lWytenyhbl15QkR
5HfmnFVgdsiXQDolarw1p2ZnROoaeYRNAT1MUknnVpOekfBx7Ib+VGWlHxfZVzmQtmqQeCS3blKm
xEOPOVs1hn0bwKpo1LN4YujbhNNdHQlbTc3O1IklUJSgGfFgyJobNgNfkUQKU4twWE6YignS2fqr
IydyxFHyFnncLGmxjeTRHwrVqVjLTV4gkxLPqLWuGe/fVFAdG/LuxJ7sjrg+9guSGJgZCb4RiB2m
X9c0/5FnIT+fbyervzJlwiHEeiuqqR8oFhyP4jKe5D34K6+OufWOVesqi3FZJzm5FvkG+ppb1eU2
rJW9MeXHVh/PSM3DCpc0njSBMEkRoamsHGtw6qRxxrnfECPrikZyq2eWk0fFYZXrDmm+E6TR1QJG
k5Z63kzJRTiX+3YcfXUGC7905sdZGLZFb9x16fDY0g1guqnszEQjQZTAWgtwUSwk50YQX46jaVfd
fOryca90KCGypbCZbLpkFZyKQAPAOG2mRGbBmTYKJMcwyKNBD1GS+m3V/e0SVOdWSyQoNv0YnKWx
U9LsOhOlq1KcNxDo/ImElqGXAXA1h1SWYGAZxzAOd7gpr7UWhQJTezeS1esgFE9dmHrCYp1PpXjZ
iYk3o0rTxvozeVM3vVZdlIb0JVTyQyZpJ1ghx6GJfWWkUyaLbq4MbtKM/rjgkg7qZpNn5kZPCK3J
6uVLU6DnBoHjGYt+L9fJTgiEgzwwJdd0X2vWqAHdU2vJpbi8Qr5zPgbSIYhSz9RzDzOVu6gZbKmu
t3VB2udh9ETW7lMeLWelkd7FhJk0YbpvFfNCWoKjjli95BBSSZMfjdoHq6XxbFazX6rMZUXrkzIu
DM+75IhRguiTJHXkjIhiuXOiEvHCIHi5WIKJyiR3yglhiGTCuNT6bI7a3C3G/uvS1xuJN1I+G2fp
ghwmTY2NosVk9Wrekk4fC1n2U63eGqlpE+N8MMd6Vwthx6OMmtTCACf2aPYYYZ0VevSYAykIFWhq
+ZTYpDMfq7y6bQJdJ51sTbAVDktk3OdBd1atmcJqUsT2MFQ3TbeQK6DtZ7Pgc0JU3ms95y/rQDlG
6kMybSBJPVRVfoHwhOTV5Spu4is5DZxsXVY5oE+8em4vKJ5KZkRjJqhO80SzK9ZNKnW42/MR93I+
7PpAu2SQvAn16iFdrFV6kjm1UnjyoHpsYMzoeaL0efHwWzmdUX4EK3rWxvMFj9uNsqQbac53mVCc
gQT9SJIyss96U8eVW5ioI2DvreL+gK2s3rFH7tuo30jNeR31ftfK+ETDPRhaN0mJwSn0YyHkrqlV
INoi+HWXaEa3ZoespGyfZDHdBkHkj0Wz73Umc00GflQuNvWsnxXpcNJCTAzpYpxp6nilpXhzW4FV
Jz0WhDWVPRHLhuH3cMHtqW8seK/G1x5ozSJmfLZd5HatfrfK2BdducQveDegMNhIMn4UKGv2vMZU
Bf3GrPMPlR5vMeyibzKS+6nNfPyduHkDgKcsxVKoNlYinFQAP66Y6W42S3hm8PbE6pmcoHbQcD3O
BtKoXj+XFuMhLJo7cwTdk83esvRHMuprBya/pyRF48Jbw0Qbdo6po4gMq2hCvRVsNAOGR51ItoVF
xB67/KaMcvj6+Iib8nOW9htZlS8kNmKr0PjcLZvkO1ewUNKINcHTxo2VpbdIVDF9xG5Tigpx2qGf
TvXGDJqvnZ48BIl4jon3Sm9az1xUrNbNnVWjXeiUXTTod1bbHaWMs5KAIYaYkQ9Gpl0Kq+A0TKZL
gA+s+hwOElIJIerZBLOa/1cv7pzgaQE8JDblZhS6rRGKGzOszypLPJvq4hCXPSkEw65WkFvOMGnT
NPCswjpTlHQX18Ep1iH+GGb9ETXoIwYEIsBa7Tzq+sIdsbK+X+e+WU2/qHJfHQ7RV5uttVBNIyjf
MTpPB/OYTfv3L/LmoYCPRKMNgmBhTZN/eUAUiBQcF871fhBXu26NRpc+vX+F5/PL62Pby8P0qwaF
SPWptBOH3Ki05b14alxtg8B6k+8L19wl99Kn9CY5DKd6M/u69/7F3+jCvDwyGq9OJE1lTWHbcuaJ
jgjS2ofiGhLXcFVt37/MW00Yukg/z3CvDr/SVNdyWwiU2F751VCc1HLLbXZuZC7P8DL9y4lx/dde
f6Ivr/aqtSgT+qNUhln6iuKYvPYCh3OWgiU9+Zfm0lu9mLU7hsGbITAH71edcgCfmjVKXGlyi01o
J+v/uDP5onaFbb3JXazOLnvXBi3zBuvUv/Rh1nHJG3f68/qv7jQMW/K2J67PS+SY7GoPxi7RRa5l
nysHxPC2dDxPD9FG36Vb8bwsbUK9NhkNsAc2aruy52Nj3341Hc39t1/trZX18gy6PlgvTtNxWEhy
X/J0umO6bz6S1WPMthR++wL+zxP0Mc+8eMLch+7hOzPo9JA//f//5/Df5vcondVz87fqwTL+AteC
bPpHJg774/cBHX+EzRbBgaqTJvILskXGSATrUEZTJYET0l+Mh2VIW1BBkFAAaPiGEvqD8TD57L+u
XcKqkIHjpcQ0tFqQXruF6mEMxa4rxB1TYKSptflhNiKKu27yzB6YoNJqujNM0het1g+NVRZuLumu
Lg6FPcd17sfN5C1ttY+q4KDE+UPaNczeNP0Iv4oA71ZAEdTiiAhly04KMromzaDCRp3QRXR4OjPf
dh02GEXRLzmmhvYwB4Yjyx3kwHb6pIecN00KMqdu630U0LUTjBZ9dTvcanX2kdTX1KuX6tCaaKsD
vbwdQ7V22iq/asT0LBSrhzpSho1htfxb8sdY7u7gA4xgB9BLDr2ICWQWvWAxDYLRSMhslT7lY1B7
W+1AJyIEA2U9Dl5dKxDi53nYDZZ2RSezt81JkFae7BGHCfIqKXDkpb+ZjZYDo2qNVNv6JqFMdcnB
cFRBCT2DTxoLUzti9sVI2+qWcop7WdirnQ6tIas+NWrINGwJ2lbeNWHkaks0Dz7Onkp067ZMv2aF
oHoFml/hvA2VbaIUoicUoVcIyrYEqbBVRnE8xHgWvTjMQ1fNluE+CJVoi5nmg6VA+8Xbm0YTRZ5B
YwdZdY/nKDvH4ASmRKz9RUDV28MFyTApVsl1qY2JF2ii5g65QH8jrO/G0XBJvI0OQqzj97DCGvNr
4M6t+qXWk/1ADOMmyXEiDcTTQBy0Cmyh2kXWM6Amw6bWMw3MSFPGvQ3R5T5eDwh5QAOlZorLR6qm
ThBOJzzJnBYlwal1/FmlBa4KxMpVqI4i1p3UH3XhBuE2wap6diUIyQi2Kl1l+ea9Fhafp3IA9jZf
iWWLs5aTIpI000mmhfi3NH2WhUmYmjq0Z310JqVR7TTKtDhVp1eeHARnPZp+d8msDwQDb/Ua4kcB
3zJnsgh+JfDbKiy9SRK3Ja0cWxorICpGmdihhaQtCm/kNLxWloDqdWYMMHEgE0TeRbO8izj7dE34
0YoqXsIZEEgS9dYsOagUxkGvCKurrNtsGLD+0CREK08DjD6ZPUjBMSyxBulicRqzxMTtgP+okzX8
DGq5UiwMWHWCDiBGCz4qGPTmPjuXc+sErGY4Du14MwvzjbKeF5TimDba1uA7z+ELz5l8pcfIosX6
vBr3lWAcaIrc1x2eCqkfIzS32R1VEtcchK9SAx/HiqarPLW82hQmuy7x45ODR7hoxlmgFwN6TByn
5T7RnHpijWjx0DCNmz9omXgex+w35dgRdCfhcuaDUw9VSihD3F9A6O3tGN29w4yVlkxpakxxyqti
UcmBFc0SajNVcpY+6ioEejWisx5QhRupW0itw/g/ddcjpUEfAN72cp502bk0FrBdwgo4tnonzV0A
MyRNzqK0PEvrbNpIJKXyx5oj9vKjaXX3gw6FCVyx10hk2k06gPAy2YLrOwH+pB3TuxOefmfi2eTQ
bvgGv4NWxA90ETdJw8Ed4sHKpo63asWTRshNSVuFQ72e3qZidoepYySWQiFzrM8RfwXJZM9ZjJE8
W+MzknBVwkNsUcgBHBaWz6xM6NlF6MckTpNp9rkW8oM+ZRJnrXiXQ3iyxam/fX6n/fdyX/MS/ll8
45T5Q/a77Gv9oe/aG97f1qsEnB9vdhPJMz5fhnLPtL+XMDbxL54QES4Hr4hVHsM546f0BuE0Oh3k
jEzDULH8wYudSLJXL3YRVRdItjWHjDQ5xqG/ln4SQZKoMOdqz+nMwL8uzRKd3d4QzjvRfAonuTJP
6pwa8r4bQyH0WqSyTltHqcIRXgoEWORJKnhxrEQBm30TZjemONccuXNFCW+VXokFvCIYmUJliMEd
JAbS4nKfKOp5a0nneWDgL+DdBu51wKTeEGmj0W/DB9h35aNU445NdDKUhw+p0LoJ+yI+WlCWUxU9
FQODs66PWjLi2fn5O6EqHuchucTAnNtyADoiS9prYnZ5z3IYbi3awtZWmp+MPHLx/1z0snQxkkLh
EZ72NRP7SzMIHmtUzYMoOQFCbbu0JKz55RFqhB8EFfGXqVHRCDC2QvxFTBd3aPRrqZr8tlSv52xx
ZSH1rEp2kzXmIhmvJ0YuQRCfrZ4PsVpjLB25y0QnVmjkLgrIiKhpHcjrV2KFm5UqLAdP0vNxTsYI
wni+MtUMAnydX/SNeZ8XWgMaaMS71Ml3ZGnUdt4oy1Yz031nkA3dTc3o9YlyGDCi2A3yUVujy+oo
xbxuARigxiR+imYrtgN2cVuoq8mp5u6iqVK2taBtALx30xb0276fK/wp/Ths0xx2/RAubL8z73WA
b7DQFFrwgqmfmp4g49pSSS0GcAYtzP9vd1kl04rKUeufdxf7KXtjc1l/5ufmwjaAZ+HvdK0fewu7
jqSA6MFlQcTxT00fjglCAtmROAMrzJ/5t34oSkXCatY0D41Nhz9AhPoHO8szX/HFuR5zhUkXxtLB
Rj6THpVfN5a61rQ5N+t638vDkjDFHBV4AEtRkTVF42s4E0A/H5Dp103uyE3Aex3fEG/BbpkwjsXa
aNmZYqaVE1gqHCsZrzlxEbBrp34P4kuAbmcR5XSbgbvOnUSHRyA3GTh2cCjtWtgwnZgGJfMV+G4G
tjoAM9Tsav+JgVKkulysTDf/rdNnaf+qFfjndXr/9Eg/8BUol+bpz3VKsiuvMaRpokV2yEsaBhJX
0t4QSyJdYy2jyvl7scKZkjn2Is8DSgow1KSh9+MtaPxFt0ZFfw8E8zkf4E8WKz/x6jXIsRaLACN4
SKErH/WVNKKPmYDHTc6kZEjTizoeD1JHKdVBS5COaqR2iTeGrSLe69DttGtZGSPhYlSCk1WEgFp4
EDK8lbJ4r3at6QU1YIYbFHOzcaXgWuhHCHWDPn+xzKmPD3HekHIN2jx7mNNx9sQxdNpYb6WNMhVR
6M05J6eNPtR6jMC/1pp9hjrblVPsokphCbrdD8O06drwZp6MK9j8JeOhabyf8hIQ7zSRTW3K6VbJ
p+guK1JOWKUKzyGNSuVMggG9DZJo8GfRvC0n4/NsFZ+EoGxs8HEcJWEj+Kuc0GuMHAtplynXVYbd
ll9Nd3ujKz2hAmYX5k32ecpV4zKTs/W9JvlEAFgOpEXO6xm3xHC4IV4tMWBXpYe0r7oNLx/poCLt
8ztN+bjojPemOfsa9a0AR4IRahxM8DulMPPLNpto4Ma1Z0B7306pm4mM/3NJqymo54tBiz5OY6cc
syLcZ/F0lAUaElbS3WSDuM276kFf4VdVARJV63FW99yNmsnFIYQ9uW0Z32zDSZztslErz2jTq8K0
glOZDbfVmOJQHAeS/OIw6TEidWTpiF2P0qHooFeY94XJAafTWtWZ5UW1F6ChECBrCE5qAmChFhF3
8bkAdGqu9CQ7LzV92sjVCN6iiCYX4JMIxGu+DqcywObRfNBm+UIrSt7GgekzJjbsuLUe9SWRHLxq
CajRqNnoNdMtMcsqu5FkwQWySwpm3gp0B/LODjSDUJcAaUAYhiLdmDTZGkHIOUBJOX/owgyJa/7A
fqw7kxlLTggk0o15wGyzNBE56NVlrnaQ1EbdcmgHVr5ZNaqTBel9GuJjVpMg2ndzpm+xS1loDKjq
jNhSML8xE43rCvsWXtLcBKXRFeYhYmrLUFytL6VWIysIjCieaoJ4AnEkc5GnpWmYr82zZm6I7MRa
rRF0KOX4p4Wqrhzk6sdwGiY3y6LObfUmd6VGqN3/9uznPVt/9+Ry/5C9mSS7/tSP6kKjWCBVWMft
tBIj18LjR31BfxFhLMmdFvatXwO+MVzh2iUaRoQxTZws1cfPEoM+Jm9eKhNpdTb8UYkBkf/1ri0i
z1Jwf9JLXTP4XtUYkRoz3Cb8eG/FaaN7IB3IWSI0Jb0WaY2qWyPJL6Zcy0kg4nBhSP2uHoaApw8n
chqM94MViK6lVIut1WwCellWWxDlX828vqpTjWllq+MUZzYoF0Af6GV5ak6nUZyRCul6F+4FIefZ
7A22ALRiDlBmbMj9AmhUE2mCGUO1lclbsnvrKicMMg7OB+gDyq6Ii1I/hmKvm6eQ/uJmSeTzwFi2
7TB223JJt5Yxb4Kwws+dfO6i4Dq0rI0MLVjJDSgzhTdF6gbB9FYcEEsphAJAnBlazNFzsIJ/rvUo
5AUgfGH3eBhJtBIAJMx1cuqk2sPS46ijdihS4UEBzoAOEn+4OXihgA/NCj91ohE6w9CeinR2ekG8
yScgitJ0JdUNB4y6uZBasXPrvAIboFyFS0ynQ7c1kASEktBjoikxlXZgrYi1S4LDnASVxdT7s/YQ
WOe8bUDsneXq6GjIqAIrdaqY+XAnb+NqYCM9jcl8krPbToy2aqQ4PfTTfOFrEMtNSE9SQY83JhAY
s8uFLmDfFwhb072qJXYTK/ROOYiUylZt1kC0xCtJbKssAUs9aDRV/jgauUttaWMhtU2KU4jDDhS4
hohDmImjfiURhwB0yKxJF6ULLLdnsXJdBscGdV4iA59TlE9t9lAKt/P6/avKKQ00VypVh98MbHVs
dzOMKyhJw5OqfhXTz72q26HwtFSSF5Qc8saPfae4IXL6gd5WSf8YsMFZLosdnOCeVKtBsM0Abl+M
9k2hNY1e/tQLwwVrGvqFzuC8Tx6BtNZ2GS7bojAKCgJFSnb6REzRCRNgAB04QO5pQ1CsP7PFW8KN
bOTVkxzWBo26umef/m8vXfdS8kfeq383ZdP9jw0X7rci+PkHf26nYFiZ01DrksX5y3aq4/JD06zB
3seLpb9oBT2ngRLZbWnEMqJYWceWP4pgCz+svJ6wkLA//5N/UgSjOH21naJ1Vqm/8dOz7aN+phJ/
OQYM4x6WsyCbO/SVfbuhfhrOWiMSE0Qrspr4gUTxNitX1RxVbiBFV9kQFA7SGD+K5B0A7xB9YH0r
CelWaEGeBpP4qdGFK0DZNGSMr3NFxEkldNeCbAzMPNqjmaGxWcz2YZaa67oUMyT4SgYtSzqKqUk3
O25P8opQldTpqR+D7pgIGkq0aeQRqqrRzcXUK+Tp04zqbkGeGklUEbnUozPDqCCYE5zqWkMipymd
4vVjWiY7apygpqopVRDTRYOIKeqPQtxHwh1jkOozqYNtd7mk/CK0sLe9rOrtQZfaXL4qmzUtjsED
qr2mQhM10MupyxuE1bFFIPmyEhr7o5YozQGj1D5O28iVEqqaSuug1ajtLWNggQxieuRF3tPMX64X
XKMAx9KOd8hQ0W+Su1MmJ/DM6m6vTBA3dJ2qeNDNx6JgS0irLCcyxtibQWZeJk16CQX9E4LswImb
4kI1iyNEEWYtcVV5PXgtkOhidmnVqALjoNrS3GG/NajFFpAzYjmBLmHzd1LQ8jtedGchX6tNZ8Gv
cvMiTaSbUmqvh0h9NLR5Q5l9Dmx6Y0zjda4GTOnk8tBa1N6FApGAud2hjkQH+/KhVozOVsxucoVW
+aLH47Yzg5upr0Cjws/phtwJm/56ToT7rhmRa0xMetKxZfLNizholQstzveaVPt6xR2jGLbDpPKK
MXanBXZPJKqNkwr9oykF26QyrzhGbOpW2FXK8imviOg2lYtUmzytjVtHGTjQqbzEXHkoN0YnH01U
kEwcN4NB90qTCePMdNhlmVbCOkSMlGefZjO+H+rWFzPw7C1kJyjivja2t7Mp3jGN+ZJL0pkstpGT
JtN9N3OKEpf0awHfc9TzTVuoXtoyOqoIT6jo/LtUzgfasG5nFLdZHftdWT02cfsJSOqO+G1WTe5P
qbRFBHs5JdOu6bQLTpyEZSvDssmNmElkB3ItyxAI5AmgmUHML3utOM+HZYLut454gkJy28bs0bEK
58yPW4TZ7S1kBd5RUnNS9R6gvGrHYZ+6Vqp//b/4Eni5lVNfrpvlPzdA/pe9M92tG8f2/aucF1BD
Eqnp6568PcbxkK74i2AnKc0DqVlPf3/0TnXFrjoJCrgHOLi4DXQZsbctiSIXF9f6DzdsAOl/7Z6L
pn/+m1/8YwPw/4UuNyxbB+7sd3+f7/k0jHCMEGEK2a7R+Ix+YIDLCOFPihP8+FXjxEijfN8AJHoq
gkQa36qT2eE/M2Z5pwkqKc8gYeoT/F0I59J5T7+i3NJ2/hy4VytHL7KKrEtogBm3+k21dNcWoG1c
QgNKHWPoEWFCKdbPllui0eNmzrEbW+sq5t73Cy2nQ7KoZhs0a4dpan1MtRjQh6R0LMvIv2yG2rpX
NfImTZ1Yl30WUpvGDe4eZ4v5MaexRtLc5NaZAz4ZmaRc0czrkBttVufgKoPVR1eUzrYi7HHfM2gC
kHdZCs4a/0M3ku0mVfHHaVXgy5tdwDhiy946R9W1AsRtWCD/4184NKTjAYgT9ghfBw8I85C3dCRQ
faPNWy/XSGon+6m3TXv+S2qReCkDV4jz3Dks9krdvTFm7ol7Rpmixil7zPe4qWZ0hOWeDt0HXSxy
byVF/wyMVhzKoELh12v1UVQ+16+cbsNIyR0nZrCj3ZDdBUnagJ9w1mNbuNF2apZ4M7XteEz6/INe
0DZVXbHuwRzicupGGDPardinsDJ2SYaPx1QNM9yHsrsosuA6dSIkWER1F9nVtO/j4CyqhmMrKYbG
lEPQTIGfIUVi79zYpqdBxcFLl09ePy7bsTcP0Rb9rh9EDApzQF/cs/x9GSLc2EU7Mc/VRVs72WWr
oUcId943a3CwsrI9eKuqd0PhW5sMhtVGAWiO4ogCQmNvw8LFGm2NrU+LyMB7gfndd00bbsQwUygx
DuHWWC3nbpPmDwGmVOcdwuU7RCTVAZMRD9QH5YxutuWuxnCISJ+czYMvNwhhShwr8qd2buWlssLz
BUNKoMDoIw+dRlGuTM5SgRh2pFoseUtrX+TqoQG4Gs6INruwc5PRlwerzuy9g/MwMmTV8+rlT7nq
5VnexKDgcxxsbQCqF8qNvsnVync9eI8dc+KhNJprE1Mi1AnmMXlzGBIOUW4S484CAnUMnXUrOwiA
Tu+dKzd3nha5OttCd5ezVbysC5pjM0Kj+zzLlyPJT7Vd1zrETYu5gKGo2gVJK4/pKoe9TBdAYiXf
Kxz9m9X1sDMCVPL9uhu3XbPgggHPY9+ISAI5r/QhFvmjhq1yXdtphfj8Cw6j9sWcBGrrteAkSom2
93bwqY8HZZbdVWMR4j7hg6Qo0uWszSL9YNcze3UQFXcrUKFd163XXa9LEHvFBCAi9aE2DNXOo9y7
r2doEL1r2beZr9HbJePYOx1iO4NXuLu0FzD58NY8d+gAbLMkBMQCJ633Rveys2ywtm7aPpK8MYoY
pe7IQgE1JBFEg4kE0/YaNIO93H5c8JfZ9Jbjs3IV4vYpbatoWDnNQrO4Lyyx3MbtYF84fTcBEvD9
NNtOuJXufSyBdnOPTORApXQvlq44cKvDFVVHwQetq7rJyjPMLW4sWbxkCGNsc0BB56MKEuiHo7UD
uZ9ct2vnHYO0BBIu7N9pMIS7eWq8i3YEUJ/7/T2aRedDPaKRuyIkJ7V358e52k82puVpNKvNOoFz
lnKmwKiiL0Nf3mXLfBs7gwHE9IjaZs7ZklnfKrkuh1Kvl7oPrrKJz3cBPiz+smCUXteHIMHXpNJd
u1vikbolOp4bR2bPqkFFNQnXe0jv8zEYwRqUkKA3Uzj0W9o5C27ajYu0lWJKJb6+XtzgMFTuc4Sn
5ybMcoHHJ7Xv2IVfUwXRHl9zXFyd/GyW6tuIOAACtEt8g6EgUu6lg10CSe0hL91xjzNLx/G+aHdT
VIXHVIBvLN0n3++u8kRCavJm8C8dCvWZ329L0Njng53VD9AB/l3GGsROG3zz0wn5XpwctjiQP7jO
cBmYaiWl7ouMxHzjNU2JVgDS6La+LVN8SmNBszpW6netByxpIklKSKHxTEpcCWIP52w19eXVgq7B
mZw1kBURR8cyryEXpE/REkYPi4QcUdbO5ernw2F0F4VzQjlSguaK9bo+wD7JbjmQX2FsNm9mC8vd
YopYzxSxoSN50PUqZK4KSut+r7LLRXXniVbtZhwxxU16oCdUN+0dcir+57KYf5viYTgGuBM0VGo3
KZYth8Htp7O5nq1DAvllG1Rj9KEvkalOAo7xCIZz49N1i/3vtvdQza3iuyZfm/3kZ4eZZsaGgFae
O6n17yHCZUpZ81eRIdstymE4RyCISlWW6f0Sxz5qiXN2kWINdgaDrsaF1vKQHQqrTVi6grOD8A5J
MImDW+KiPcvWOUPx6N8TSP9zIGEPC34EHTpDm9ZKfhdWi4pfXcYHKyipvoMYOHhNEMKKqOyLsEUL
kUMYQDai6kEjo7qbcLES9Uvpd3X/iD193MGMDS0V1cd5sjJJyadXYTN96uOxCliKCohPuVHMvir8
EHs6MqSw1IXDQAUnr7xOHJXbZCNcldZ3YwAJU42s/mZZdBcmnAwaonexARs4QX3Aw9CjY1MFvv7c
jHO91hdajB2GznlDA8tD3BXiaYrGUovkuT5RTv9vY2j+n7C6+TFLBvbqAgv/79Prfy9NldXJ3/zO
98z6NX3GASKA3kx7G/rxfyrVjmPq0ejbCMSYSG//7IWTPYO8QYILzUFya0oofybWtgHtoNNkU8VG
g4ym5D/ohb+rqyB8bAroIvKgE0sZCW7hx7pKPExO5sVquhkqPM9K/JJffhiN21NX/SeSM3+5ACWi
Hy+gZ1FW7cwFwhwjENbqEGEqcpNF27SiZvWfgf+bSxnk0Y8odvjbCAlRJcLtENyxZ1Qhf7zW4nRO
6ZEmXOdeudhUFyuLHgDm5Dj4Fsp7Qjg8Cb+kDeRL+8xuydPWbVN6VMwvbGGrpPraqAYblg/JIFM7
QgRfJ/YZ+NfhW0ZXIauuBi1RTLxEg389LzsUNPRDmNvLpS+tJn5YVH/AJBo6Tp87t7lqKLYueaxq
eOC1S9oltMcWiqHdhOznKKIe68MKwNK9wrl81Ftf1hz4d9wEPbPMX9xuUw/uhXba7BGG0nBZxmoI
tuvItnCoxqyE1xf0Xr7zZn+9CZ3Cm56shmp3YSVVRoPU1VuMNSGqSito18scJKR1P9lEq3pP0SHG
YWXbF3k/x2cBll7d2esb+f9R42Fpgc8/f2Xp7zIySLyumIzvUAYi4nv/mcB/Ad/v+PjfYe/Nb/15
Kg+purqRMFOaOMDy/aPLhT0WQcMHiRegfAMI/j/YBIEpNepYtLPInc16+KHL5SKSHnDO5xztOgjA
/COI3l+g94QfGmwu+AeinAlwbxdc3HEOEOu6XOSFl+4CC4EFKjwqbR4CzN+7Bzuefs97/fu4tiVo
rxDpJ7BZGDYtFEL7YQvruvfK9tMq8q58kus8xx8qfinaVDXVtAH8a7+Km9YoBzqtnXCIA2Jzjj3N
sZd5XnzIZ5zv9t2qi/R/Zur+73OQ+UJ5ood8+y3J3s4uAvzPpuNjnfXfvv7Xff/cf+t+nMuvv/d9
Qvr+v3BCF0ZriZ3xpAZ4mpDsa/9iE0FZg00ErbYf2gQBwC4EMAXVm9M8/V4ickJKRPSGoshhCkUB
G+0/2MmE6aj+ieoyV3RcNPYpDaFVYQwA3k7G0skhLE+F942Saz9Ee7eFYlBu7XbE0dXzhrZ4lpb2
KHUrPK4oarizl84gomP7BYqmrK0tpw+0naPUW4ZdEVm1OnImKLvr0qtaCGZNMXvti1f0+Yz/uY+8
pcBaIpDOtwCTkuGuTGGKPrNHtfEXMKbKv0EQX1HSqZys41Zk6+nqQ+rY/VQDMfd0QUl9QvriCg6D
4paTqsLNya1Enf9uYaDG7/zwSv9miyR1eTNGkemjUHQgmPD6QDC9HaPAqegl+Gn4LZ5QqlHHvpJY
SZVy7HSA0nrSZ6A6s7bMwJti9R4ffn55A5h6e33kswJBKyc0DsHczNvrr7kIObD72dfcKQzyo29w
YAAoErmWyunLTonudzqlApxuLGmtbX07SQ6+Ll2W1Z/ERe+nNXl3Y0Dnzk3khYqf/eIm3wKuDAbM
CAsSbh3YETS33kW1oOLFj/XYPgVe4wFObW1iIC2jeADUh2IF5iHpBvwUlYlDWQ6Snw1DZPXnrROH
/MhAf3x1GCYx2+7u5zcnzcV/mOXcnGCRIRNImoNtogFJ/pjjFLgrV3HatE+tTjOt9qJDpv/adVKx
XIpuWBBxiuKxXD9V6YyP3GZI9USreLRdeseJoqx11BUGvJ+0NXT+TZiRc1gclkYM52AsexVc+qbD
2ItzyBh4412r82L9tEKloSoHwMe8jAz1sxhFgzpK+aZYNCssrOYZRoLwckNM6FY76cNdyyGHbl0w
zPxWMScZC0e9Xj4KE2uZQPfMOX+iYVFw55lVmznft15VPM+dXyu41qjBjPdSNGt/pXWB50pZVtrF
bTSJq/mYSCbN5zqsY/lptEfHwkQgTFg/I9Azlt7Ph9+kw+9GHwN6mG5A43y21ndTA5eEOnEwNXxa
qUVprBopJFE+mKillecCi4hO7n9+xbc4EiZjgDYWEEQTbQlr769opHLTqRLTZ7EOZjJOg8SUdud2
QcH0A4jn+U8xmzCTcHIHcHfXgdn39S8WhckZ3jw5xXdMMA2RD8isfBXc/HHerWIclBX51adK1hWy
Q30zeNa3RqVq8S7ToqudvY6DJrsdObuuE6YF2DTuE1LQsdmEFEdLIPR090lh0VGZBcjYZdNNjj/e
9aFlZ9gxrnNzySSycSNBdRv3VhljI09uTvl4vGvGlIPUeZwXPVOkGMl8PqCfGLTLRhSwnsZTAvDf
iiy941PziLAcXHTrXLPXCfa6dyvNj9N6Ul3wOA61TXD2tHYJzuNq5i0G95JCpzPBSAZ1Hwm+JP1r
xMaZ1kxpgdGEG9/Hs2+mtKuytULguHUFMzRXa2c7B1WObYcngbcUrLqYsiET1lnwt/2kA0exjH4+
l97HDtukkcwkIElQKthw3z7RnGbULLWwvvqWJiDQlj7FsFD2wt7Uuvf9p8Kz4/4f8aiRqzfZK1PZ
9WCMwP18d912WBCLskT4Fa/nEqbUaLdl9xsegMaiBMD/kH2o47RHuCJNUb30f/HY4CHeTF0Dkggd
GdJYQauY7ODtYyfeCLttTsVXKj2BMpoXaHg/kyIQsps1C8obJHsa51oUahnui86msr5BoKVkUH7+
At4vIhQdAVcYoAQLibr+u4Ho/czOl6KOv8TRClXirFFtFS97zOm7aOGgqX+9Yfz14enZweUB9gaI
AwWRtw+fBmBt8sXWX6U/kb8cFsdfnQKH8AmtjH0WxtJ/giLhEj86Pwj8J0RoRh3txwxn+OkXE+Gd
nS4zwaNXyP7PpgoqhAX29m6SaM29qO0thCCB8FrHuU/NVl/NTQr+aZhyucptVnULLZgZcUzuysvs
dLivWsMSrNGRqu+jKjUhUHmNdukCZHX38vPX9D7movEOFJATFEcriALv91jAHKHGfW1+mXWvmQT2
UKAyurdneAIgtSi74cdKRcEsmn5qzJcMe+9/OljoP1L8oUBhikMoR7zb6jGs6/ql85uXuvQsNumc
vIzIOiI2QszF2YCMtksGXTwj/lITZHRbacc7hlZusX0r0IGvOe2S8lvY8pbjpYTq11S/2BveR8rA
MYNEZhLgr4WIgf8u857FVLdRvYqXLnZ9E976ri2HW4VQWYtCpqLliswKpWF+RuPHpBhhsS5UIvCB
hfikS4DJ1bpSSKlSqiUY09CFJsHATdQq7/C6SFb6ZNjkkkW4Vr6YTWElB2EfyOKJ0Pvz9/9OjgH4
kxfie+uS/bENAAd990AI5FRrk9fuY9inghykbxMTqHtLDCbFec130KVeiOFxSl2d+o7vmNRLt4rX
YaXo1106s2e+1aiiK57LKA/kMZtKs18ovBv9m1jNfCrDKoo/syQI7R0KK9Di0EI3E912YVQZqV88
2rsTAI8G+UZCJIBVYIRf3z1aD4AjKIdmeUQmz2R0vVZswWu5Zs2X3g4L03XtG7V+CtzazKLKahw2
rtmvygT5msqHfHCIhDVMj8RyzXBMQS54IWBAyLrqzIrYiuVUtvyIjrHPUwMu58XhzmWyRQrnNv/i
jOUwFCjPMRR9H6RWv/XKIWeqppGb86/T+JiUsQDY8J86y+0pX/uxJvkuDFM1EcSgwMAZ4Cf9ZUNw
plX6C2zoB+r0DVnUaRNw03AeMcEMaSLVv1gi7yolzChfSCB0Lj4e/J/Y8jbw2XQRpN/OwUM3OMyQ
ful7JhQrhPGReSsbbx9PVjNjBFmKhQE3+DUWNmGKUZr0XPa3gd+F0NIxnA5JmkhcxjtdNnyKIggJ
Uj/TDL35/toSNdUM5VyGNTkF2YZ5HUkxmxdh0a7jS7QgvXpnN1XDnXh4Lq2fCr8359SfjzZVZB7u
h6yZhzfJMsmU4yAK8Ze8g6DZAVybl4c0XfwyhhZZCLhTkx3nNz4cBb3sFYRyWuw4E0QosmmtMnVh
l4OYESQhJuDumVSWvI4reoZbNTVz8sXOSvtIR0r6NJbrpvwq83LVd1XjV/p5WmF1fZCjY8/rLsxp
xLdbRZTthsM0eeF4oxVa3s3Gr6hEXQlbO9GurjXNsXzuBw2zeg7Vmm9SeJwSwaO5GFkMtKMwqKCT
5uUyP4CVGuS9X/aLhFcxwzAfgPJOKTLXwCIwourTgPi1DdZyWleOtUzF9nwulnigK9Tm/mGMgkTs
cIGfV0xGGzf7NMgyiXdC9i6iUmRxyAr4SQ+aIcrcCWs6r0yOgYuINojEab2McXi2z5zJSd1DYtG8
tvdt0VTycfHGpLAeo8ae54e5n0V/TQu+tu7IrIPhq6d9Xz+uwZjUDR6mjZN2H6N5LeHUZ1Q3Dmsj
Q5RLYawLN90Geu1U+OJUeVh/Td2W9tOOqbKob9HQT5NB1E2dkx/7uFZeCK4CQ3f/LK4sOtNg460C
JLFPub1Mv6W4QfeM8gxDEL3CVTQjU3qFi9+mH4Vv9769r2v8wYPzIYqztLyqPbxBErgaST+NV5MX
J1l2iGU1Dd5dXLtCnfu5xM/8wFzxRbGhq21z/Cm7MKOOmFjSV/0ujfWaL+fwpGDinE1ZRVaObsEk
CbBjmw3eb401+F53zuSYrHg7CY53gJpbTqcIQi4CtOaHEoUxvvSnb1pZVvIz42PM5damk+oFhbnI
HS9yX7eJe3RmywqC7ZJ7xRDQI81B7YE/H835wcaTncdJhMem8jzHC8XfbY4InJd8WKZ2aoPbPEYP
ojwEhcAOGT90nAjGD34OswUkZxSZ6kMABC8tPgVJHFu4CcmyY6QssE1OdU3UVql3aeFSGpRXkJUy
p7zN8ynHkWnKCQTJHj8nwb0TsswtLSN6o+7eTlJkUXY2SgY63GHnZHn1b27i1lyvyssoesSxUSE0
QbbIyLrhkLGDbB0fE0uUEr2Eo91GqciksjLtePotBCwam4c8ncyIibKnC71B0qK37usqMCFfgjQH
aRpNfcMEWBHi88/6SFd8rj09KpZNK8On8oD/sZd0MVcDU0sqBsTHvB6nlanr/RtXVzPOtYxQMNhZ
gwWM8mjVRZjKb8hSRlRmNMoN/JEJRjngkixMPZRImfKDGj71eT1kNeNlpWtzlg6rdObrMA/MLWe8
6Xa995lZXEHwI/USW7OZYL62zJvH6onvoURqhmYcHT7KFgu0jHsY647Lbr8/j9ZCqBcKbinf8xDa
9e8LT8YwluQUcUyCDZ06jMX32ROvXcSfDHLLPFzcL6+DMTBr9PZ7LSDyVs/8S3RecS3sTFv334fa
On38j0E+fY582i2uAxcgbbB1aisdX4rMbzN9ltVi4aGVu85cK3FFktn3pKlJg83k6UU169gz1chP
B52c1060IK6J/si4+B+AcDWM0uhWJR9xW06iiOxG6NxF6AQupjiQVCA/WaMIw6mX6DSCTcsKIq6d
nilFRGNR27ap/clByzU0Oax9erWn6eGjLMH4+DLjN/Ye2nT8xdlfUuZp4mhzGWQ1fL65NMoO0seV
rtfQX/CkwgzvaSKtA8ae1ClcYf6Kk+mO3wMhKZhdXQ8+7Y8BRaZn5R9NKRoZ7C3bqwtU5pFxn9uz
xJz7MOTM0Lsdr6IcLcp7lDF4v9kYuOrF8ZOa6dN5nOx5eD1SFPjQUcs2f5B2IF/kmIR8KbHf5iPV
6pn7rwc/SafHoUzKJDvUQJCs+1Sh3iqORbcETn8pTnMly7uoD86+D3mUQ/u393MmCv4IO0DDxXGO
LtjnR0etvv1I5paDWWuV1dcZkid0AvXWy9OGcxVKrFQAStJqDja8pnQ4DxroiO4OqVNzHCqWwUcg
pCBZnJcLEcGGRDxPNsjZArKXZTVu4i7hcA0xauDzaa+gp25IGr3yplID/4VGylHTsyeHA5Will/e
jAVOzimpTs7VnTRpxk9+Hc8cGeJlNXN/igjl+WEWCi41ELa0HMJ9WbHFVvvZqmMjLx2xVc2fbX/O
iTcJOOSiOH4vJyOgkmrM3tKSuuCXRXZSiGObpwzHmXhdM7RdSwYMg9wiXj+Bz0HbBW3jKZ38Y396
9DlKOoZItPOKTE9UJOCf9/5qO0S5XkszfEjTmlnDqc5M8VOVIeyKiRFwUHTgefssc/mimeDmGJtR
MACHWK5UXyLpFnW0obS7+NU1oHXNJ/zFMbW+0QNDfv+9GL06XolK5FArHbvnCcpD/A1s6swBNaZ8
ydlaebKgqhDTFfafqooaUw35lQKud1kVvllPPcRiivBJEfaESgzrF/Y8+nYRw0xNzAzekAlTUnUH
2O71bQ6hlV/XS8lTfp5Iz2LrYkKVQWc3kQAuBbkMrRzCShELv/8oOewt8X6Oc2tBPG5qvbLbUeJ1
QEMGFMv9J5nQv4RZyl7Ny19xI+Sp/Loy20blxWa6aVcDlQDlaeo1ed9Qr8G6PRPjxbR6aHR8LNZh
su41yTSH9LVF3PuJeMv8sqZ2ZQRyaZtniNvaIvhThjPV/DIjXyWzjqpmap/8aEmV8yLn0i9vfF+1
S3yQbtP11u9T5uRzvGdHE6W36UqqRBaUCCdALDMEqdo/2InKk2QLaEugJjQF5DbqazRmo3I/d4hL
avtMF8NYQUB21674BDrSxVl3YHfAWbF3nIacEt/oaHBw642qHC3ykW9aCAcHE50pSAqnJzm9S9Xm
lFG2nicW81iv4aYsRxP/oiUx0YTs3yzerKvMJ+rXGlecu+Z7GHdZfGJJFvPBWFDFRYSWlqL5fBm3
LGV8p/v4Zu0XB6AnC9WsyggQR3P8PmXJKYlEKLeYH52qRiacWgBwUb8SwcZxtR3eYomeTM1msmtq
THJZ8VM+n1RtVnliraZt0tEn4oskLevP1Wozv6VNle6G07258yKj0/j0/UIAqNjSFFPFuj+d2Oos
RzAJUbZ2kB+LU8AqTg0ZFTqmZIPFs2nWdAC4pNxVSaXgNKfKH6z7IfNanrlHg4qplLmJSeNSoHbW
fTCW5raG1wVnNQX7CAzmwSzy1jVtRuSEUc1yETxa3QJOIeY8Fb69eclqRBXXlNGolpigV0BV5e/K
zrHyy9QVJQiznx+v3h3oqacSH5jB0LAC3/lL8SXtqbRR1XHv06bxuesgSWZWAwDP8kZZ0qygEmIn
ozBmytz7zy9vDq4/nO3M5X1TXrRxRMTA432RSg9zA5oloKR/Co05vTLugnMAK+nnl3pXymQ1IcIA
1QBoj+C/vjnW/yAFOYWFCmNSyT/miF3MaAqoNpbyA0gHM7sjPzUvFYt03nAjteSVfQ+OP7+XtyUE
oEXMH5zmjewh7nS0NN/eSzwKlzZXntzDWyCMZZ5j8vGuCwOxXxtS51+N818v6CKMgvIJGjs0YaJ3
Rewi1bZTgo24U3PNRpEU7PjnAepHpv3zurJ//oDvpVZ5QnpcoNMcZE5Bd7xKhv4w2nOZy6TuS//u
e8SY0tU0NxdfLJ53mGUXwpNr41V/HCax5LtqqE08F5rQYHWrZCP6xR29nemMOUcpfMtoIIDuokT3
rngMucCagkWou/K0qCbyOtb4PBQxcT0Lx4xXkMphYWVGqIVzB8pKzY3krVDDil4FJ/uDVwkY0LDB
KAJtCfWKj7M+YucmWwTnye10qvq2pzD784d4/xp5cRIsmUdnGfQf5ipv5w37rurd2Rpv0g7kNzve
ayLUdl49fFwwk5a/cHz7u+t5YHOg6UDU8f13YxbMZCNuaA8337e9OUlx7MUILkPIXHdZ8o9Ka9iE
YF+HCw4LA3Ci/Es4EEjAO/WY5TenbYkk2bwN5M9ZF3WnzIbx8wF9G3+oz+KIzEQ1oBSaG/z77YBO
C0LuevWKY1BbGo2ooKoC8eQDCPrlEvzrpXh1SMH4sPo5ZL4PdVXsVpBM/OR4SkVGj+oI88hVFV9+
/lSv2mZ/hlX+OgiNiJYVo8g5gMj69rFqG159PrfRFzunTP19Wbl+YVJFLSpznIQXWWOaUkntAk7X
JR3hDSYNqAf2op6Dx3yyCYK/uK8TROTPO0NwDconoYgypmmrQUZ6e2e2TV89yNLuTK+unWKX7ME+
4myADtTQ/N6tNe2obdMl1HyBccUrp1hAXknvVJdkEUCDkm1TtFSkrlxJTcS+rWIvSRp81SY6Ojfx
nBXOvGxjl2L/505hI5Lsde7KWu2rcliR+7dBOCLpH2qPEuCVmJ1G+LfRCY9R+BySxIe4rhw1XxdJ
OkZAeYbRzxxqNTkQErw6/CCDZG/lLVPke+IUWPwaygundIeTQ8gm5r+G19MRqHgdzSmtXLYUjqwm
PZlG1yLRbtyQ8wt+FQw3qR9GKzeiK02SaZ0ic0trg/dmt/BrEKaFCuOsWOHqqM52fhuU6Lj8UYpR
bOdIfZ4SrNfMDmTExPiuKjTJRaBGKl6ceQrf3bdhwyWrgtMOxjd0mzNYznPVcc6jz1Dm5aMgHUeh
1V/6SLbnuW9bpkjRjZr673I6H0bT0kFASuHFUA6mMhTQ/djkaR82KDPAw5/saqMEqCb3NlJRG0z7
RPnSUw/eEo1r80AfxLTjyE0R3bhpYLE0/gNe4r5MIEVJmoGHVCvHyRHIIRn+feFI3IUXnj9P7pPj
zUuPjF81xe3HGt2rwt3nNfwaTugEtLnfwm6kE7avm4V3u5tmd9XLxraomEC2Zrp74XaRSzxdFejV
dyvaNvmUccqPQg2uJUvt7kzaZT+9+DaO5+kulhwEasTg6kr/VlMRstDBPUEmvsdIRTcr8a/Civ0k
P9Rp6bsD2f1r/kdB3uSvS92bzfA0NcrXLLUOyoKjpEYnDOXZUds+vki6S5qA23CLAlWIwhoj3B8Q
A71v0UpCmj3zEg8eRTLdg0IGx7tkU3yWyVEcM1us55WexyMVluYu0L67hSSb3gSZEehTctQPMZP6
KBOv6TasvvQl1235W2JnzW6OHCQWwlJgU0MFdju5tXcJqeGpKViO9dT6WNTg4hBI3Gg2SALpQx7M
cp8jaPthzcve3pNT9Ht8lFBQLjq/+pK2w73ryPZSSyu5rMYOx5mO0jht5OQ4NgM0xWgKPwYtIrRF
1mZfs05By0uN9TncH+xXIgXByK0OS1yD4kFtTfKnw6Xe4oyBviN/8jzknPiCPMdw5i5p/BWxjPKs
mB0IGkuUe4c0t5v7FlmuFY95W3UbSzTJ4zSv4TMeFZCnxFA9TKGb7W23ty9QQID73ViWuJKUDw+6
7+pvHSqmHylq4gsFxyv66tCCMgIsrXM3unmaHdqltiCCVf1dN0oKIYSCXbeg7CY6vRQbr5og7sCX
TsPfstGNlnOa3cOXDv6Xs29QkuL4hf3XshmFF34Lew9BDywm9EUVASfbSafPP6L9VnB+g1PtdYie
bOMwbZ7tvGuvZvQeLjvfMTM09gwGJhkRoiLNvraDYjynKm9B3RepuwuJfl+daRKQVNYQuaUevOPn
qVXTN2VZs6G9rs9dl6MTGcWQXaJ17Zi5aQkWF7yDxl4H6en5wh8SKIE2GPObxcEvZ+Gotx0nUYoL
JG7K9kLPOMO47eBeglbHmU14n7xp+WIPcXwjHZbP2A39jpKnsbOZK1zAvaXBmyTo65s2lfrz0s7k
ijbwJITxhgIMGwTXLPEQaByEfAZZBM3SLeuzhgIGQipV/3F26uJjl8LL2haoaz+qdFG/6bmt3I2a
UQ2IHQ1bKOf+QMyE1AJZeHMKe3EOp9vI7dJyW69j/pxXKOjQfKo+wZVTm7YdHZiPMjxvXR1CHrLj
C1g+8rnDfeMqpw+BVw+FYC4ao1o1WIqT8pBc+aGFH0jpFNGztki2diF5Y77x8k7d+hMq0wR6399i
fB4ce6dJb+myg82bUv3oNnV7Ng6zgwzA6D9rET9OnN8fV1Wt4ZlqJbItqkq+LQzIWdoHw7AnPV3u
ex15iOtLRScZcubGTkf8w6KiPVPkx2iyBF30GNV99CLmVjzkOm5exnVcvw1M8B00AvcaqyjobuwU
O4VUwz15r7Xxpnq8snRXPGF5UZ+J0kGtoKbMfZMutmQvm4lIEPpC6lRe4R9Reo23bVfnZ4U36EeQ
GYL7H90Lx64FNlmi+0y9UN1GdaqPzlJG9xUScpcJrOj9HBByOZ5X2U0t7f5CD3K6rTtIEzoM5RdR
jAQHVy0jMq4Vi4da2wdH9MPlrIPpHP4gguXNgPxX7Fdyx7Ed5CflmAg2l46vcIvRHxGoSB9DSjqf
1Rr2D2z4yZHFFlyvjtWDQIBlVkaxBxmxdMS2R9xihysa9EkbJMlhTazmtqA1cIvYWau2IPvsg55y
9bntB3TWYm9dr3Qkh0tgBrC9cAB+SMSKP9L/Ye9MdiRHsiz7L71ngBTOi140SZ1M1ebBzXxDmA/B
eaaQQn59H3qkZ7hHVEVVAN1AozNRQKISnmqqakYRefLeveemSaV2JkFBR4NZZDiRGX7rTeDMU9lr
X7RYoCC5LLa1YnRZKkUNHrmSVrt3KWxzcsed3vQFZvWSSKTLrLXJHd2fEh/nUr+UY//OaxIa0Jnx
MlRUMLl08xvl54in7NbIrvymFR+lhn0nLNNZv0aqKZ8zMU3dIRWlaYV+arhnC3KeR7BXVftXVeq1
EfNlEGwTc/jI89fKDfJ19KegMuP6ptHQIQC97Fx+144+j/2FZC0GUIbqjflUW111C71Zu3drP4P+
rvp0c4e2/UOeZFO1YxS9pOcqK5os0vraRs8Ux4Z2cCdcuA+YaHqZHrbSA6xVp5qyIfCzbWYSoAp6
BWS8GS6VS2hXMp6u6eKQpGNKI3ma3bVZQL6VxAeNXC+iGRZHcR5pEIwvdsattGcf6dvRdiickhpZ
6HEaoWraQul1/rRCncKsuKhO9+WVYLPTT57FpOLQlQv5OykoWvlINk6Ro6BMShDUvRYnZRFqlq8e
MxPVYyBSq7xvFkNbcbNy28VV0wn9Mvu5qkPRM1+4dku20wh5yxo1dNyucjFmoWO4kG+1RQ35bblo
jk+qxlTVugIXp4uq2FS2rbCr2xE/gzdGi5M7paDxPzSsB4+xayiNRVQ7y5BleilSpsZ4I2g/h+tI
lE5gVgsDKVfmxbHOLLvZJbM9XxcZ7dsoV5k6mkT7eRE2ktSlVZf3xqlIgOmCaLIJ0hAzU3lnhOqi
2b4Cf5zH1hC4VmHSIqSX+GK0Wv8F/3gemT2gkEPTxIa5S6ZUSBFSwqVaE6IZQEqMxTZ1HhbNalwK
M+ktWRmyk478DxoMRyr7zCbUeUDLWiCBdtIZyt8VlWu4KRF5qrHta0ObHAlgoa7iY9551nsyTR/X
NU2ek7T9CJQehhbXhOoRBiVAf3KMDjqHh84m4fSM5dz1XC6ivOnNDD9s2vth27XrlsRn6pjBoK09
QoB3or7HEyY9gP9BP43V5zGJ173blIwXExVfM/n09NBQw9xFK4eNdUdcm/noIgDto2yiB8XzwAMT
oGeevxhNW9y34CK83eC6yWVo6uZRdsOY7KQCV3Oim524RHIp/1Q12OFF3ZGE3sX2Y13oxs4f0+YM
oku7BqJpnUXLMLVJBobqPteiSIh4eieZTpJtLQQEIZdDONJ9yC+71nCaG/TfM9LznhQuYhl0FXZF
kodwgeD1+AYwWjjhWi1Pg8OX2y003x/XuM++xMzju0PO3C/qWZRzsC4FjmUpOPwzpyijLKe+4CPE
D5w62V7Chgpl3aYveZYYH+kIEnNXGP6h0f1q77ZufqflOlDQyklf9bp6LnOUvAkXt70r4vytmcUI
7tJsmjdTjwn5EiZ+5Jg0Pi/MaNpexa3gS0PH3lsZ1PkNrXebcy25mvAofi5S0/1YxInxWhjmfJmY
KEc2/I2TSSv7haGAKLY9TbWBSQDWtRPHYKlRHMzbQ2h9tortkr7URGoFthLDp2bytGxXOhkDWprc
jXMCkZGByeszBVKiXOFdgiKDOGGW7COBA33CviakUHxK03QsAlHyGYKcAHgPPFHVhbTleCbSpbVP
lSOFG3GFn4h20Di+r6q2GT+03Nqg8bSmqX/k4IW46WvePB21sXCisc21Y9bZ4nnTMxBUN8EUyhat
JVpT5Z8k8BGOB26ee/jbqLSa2DYvjBR7oNeIXaAFUdJc1CDbT4UYSSYfaH8SCDqV6vM4LqwVFiX3
NNnSXf0yMU2bQJJO067OJ/OK5nmClCtTK8W8a4OGwwIQ7/Exj3C1uL8FGuXIGGFA1Oyd1lUbSnSd
7JdxKMs3t51UWAzmAAhV6/QbObvGI1M/z0etRA0XOOOclgdYf+MVu18971SXpri9lU/pibpEa27M
dCYnQ8abknqpdLvd9WBXkwClDA9RSF5smlvFtE8mhxEPcdF5QZGGM5xrLNjOpcsENbUJheq1HmRd
3ArI6kPErSIu2NJ8p1nbsDdkUi4HTRd5bd1CBI29oDC6zHwvkf1roPrgcuUxULW6UPo1VFqn8UNu
27jJA9iJ1SBhcs26vUQpczWPlGe0mNYS1YS+VMV58WJaOuEguYC1d+VE18oE7ZdIH3iTJMb1NUkK
q0mimaXCeAeXkFlDt1Vd44z7hFqtPslUatWvQzeoCRIVuqyqJuODGeBjrAtmQocWAddYR/1iwTa9
y2Vb8HfAgDpk5J/AG5yZKqmer/+10nxX5/c45FBxfaLl7Fe7t0X6+FsTWWu3QchY+lvLVhixas9Y
jzdJATqGbT7DOlzdL4kV68o5oNddWW+dMfjZm2znVEuDmmSQFU5DEeezwxHBdjy+yJSGgncZKSjV
jZ77+mKFMhlkVxxWpm78tTjy8ib/ZHpQJ6BxlKNc6rMp+XpERzSoPwg0sQezih/N0W4zB/xll2bm
lS5ltzToo7KRGoe7Q9Lt29bL2Y814kfBYibXApEZpXsLf3LdOPLD6FmHbHSrZWnpDk90eDNiUHpZ
ztYuqZWVlbt2Rgnk0zuoG++yUvrBSdZKh2S+cYr9VgKpgCC/cwEAWAfmkdVL68nyWUP1g5+XWBcv
ANug1h0qmOqLXhdUWWhX077YNQ4Asmjq0c+oYAWbdo+RSS7fNLKwQZPpzsbdcKQ/nV0aPSbSTDjy
OjeWBR6dWSEim3wG1K1WPua+mt1TRwnnBmbdwuNX9UxSaz/qqCuV18410vqp+NKuegxBB6dlHDic
ozIazXV5GDJtVhQIGumi7sgNMc5b2z70jgWbJa489UlbYwVo0gBnbjx4RVbY0ZzV9eceM3QfDPnE
1aBetYnbSJ8b6Y5yoicBNbWL6UuiwZ3QQipqUYdrkSZ7/GNTrO0raXiIhiCHEJmsW02zsxZ9OBpD
476VE3btIXRjkTQhDcXM5obqLsNN5TkgVoRuy/EVSQZyjqBvUf+FaE26iQLJEOidaG7dJNy8q4AY
0kZdKwaBKpjNwt25hVNeAWJvsCJJG2k0mr+2QlIiFjkQRmmTTeBqIzlnOhnPq6sSLTDR/B27tuxy
Ah5869OKkIJnI/bv4Yw2fM+13TugNO4W/tiR5ceev8vRfHzVEFXRPMzb5KKxDQ8fuVzO6T08zH6r
ukyRHalgnKvecu3sE1ukuRzMycofGjjd18g3ky9Jb/CbJyRQIaOLiY8v1jWDzZfp87OnbHk392XK
V8Bex9TarRp2U4Ii8J7Y/oNB+5Dcg7yZTwZNiyya0ex8mE0Lf6NdDNaxxi2LbLK3H7s4IQdZ1Pqr
0w+kS7roI9O+XHFYDesS4F5YbvB6iiwScpiwZJQ1Bic/m/zpBHkF1dxQr8hUkxhyoDeT5Ilkg9tw
2NbuIvZMrpj/An3NCNGZzImtV8OvBnS0JR80MBPyOYKkhthlypYoTGFMXqQTWuPuEWi0T7NyR9TQ
Y823RKXgfrT61EuCigL8FjYIFe/gQREMqKmXLCAn1EcmU3QZ+TmTl6MIo11yt1Z0AILVaVuHNEeE
f5GpV9luJZuJDoWNzA85S0Ugstn+Og8paajxoIissJc3l91iOqsRhGJUdpP3QG4IOTijZtsdF4KM
LlAlmmuzjMXZS4HUIF+KF1h9RuyfyckUn8i/Ka6U1g53aAjzEG2aeEfTLgmQAtaxhBlYWcCOs5Ut
kZyXnICQ3hvjnUwzr2T/7c3ynBtisfejM9svWpy26obOVUEen9VUS1C2lfGWAXcncQqByE2D8kXf
ubO9cCnwBa40goXtalcZefoEYrCfQ85Nqjrq8yg1+87bfm/O7WzOtKFN0cQ3HiHlrx3qD/KuZPlm
DlXz2o9Q/FJYwA8uSk8EXMnEI1/2b7BX9ITaasPuUnlc9xJx/kDf5WOdSO3U5yzqqM8K93YkJuVq
tDu8er1bXOgLuEct1r0XOsYZLKs6cT61YjV3ytKHh6knV6oYmlGE+eQRkLXUeoWkp6bF4w6DR7BZ
WpNm5WsUTlXmq0Nti6l8wMVLwCnNrajnUbeItyVOl/LFONdLk6JZnI3XlCD3Vz8GZdsO4HYSBka7
yivjX5E765FlW+OzR7l/ALlmfGpQxr/qvMQONBDfKOq0VzyTHtmlWnZop5FV58l3hNPjXSt1CGje
2OgG62C98xNty5o3rOrAeUAWjPQGM8KSf6aLpl3mTvQfcpodkae4qHRNVq+BSo3mRQOG9ZinAF5C
i67+qYVcxogOBWhhmp8XSfe/3xUwz7v+EwdUQegts3lcqK/caJuqfYBM0Vj27ZinHbv8AOcVzVTf
4ctGvKCWnDh2jGmt2dxaCxKf5TALvHYiMhtdjelJl2mVrycE5sv4HGdqtj/btdUUR+gy1WiFsdXr
oxZ5E/G7PZtXgcqGWdsmyfGNjNB2BIHGStlIxE4W9oXT6+okF0UXM3CEsveWVc/eR6euRzaVri1K
VbKP2SmpbNR56CcibXHg2XWdhfYLmTRlPGqvBY82iwZ5vWUjUU3b5qveaUTURQxaERACtJuXImWS
miUFKqY2iTdxO89gxxgEnv6qd/cTpE+uMJmpnL5/abw5nvKIATEU4z2G20zlNzkkaNkQ2u14jrED
WieH7pMs1slYIHsmMKCB3VmUZMHapuwMxxiTU+6HdKy3b2I5ie6XhzRRk9t9kFqyCjsgrK3g39Do
u446a+PAhfkMWzYuodyDnIc0+9fjuZ8n5EwNUYDojA43vxsD2M3w/6NCglaZB5Y6qb9WTbt5QCEf
bXII0657BuXwci2JJG3SFZEAaZYzovsvPsDP4+btAyAUwOK2ZTsiQ98gAD9+gIyoAJegZvdL8dsH
gNG2KU9IWCt54rSGudhvk9J/I0b+W4gRbJw/PCF/Qoxcf758rev3+kecg6Fvg9vtdT9ARuASGcyb
ze+RPL9DRhyQoAzWGRKBfv6BUGQa3yj7m5sRMY6zkUS+oz/5J5gRGIw8lCrEi1j23+E6bDTTHxRG
qEs8nQYgg8KNlGTzdj8/U8qhJ9fN1nBldmWZHbTalLea17tjtc2ZOiRAAuped258mv9hlqo5O2FQ
L5u7ngtTvYutot7h8o0ZW+SFLu/NvlDrrQbUrL3PScsk0NdV9uNgDdm7WldaGQEuDi90CQ3ZYk2Q
PmJX2gS83+J/vv1B/k8/v//vcUb+Gn5DWg2ShX+asv70ZF59/fXXrz29sD8+mr+98J/sLDhYm7hj
I8zg3dX52//j0TR0ewPg2BsMQbiYq9hqyN4c0//5P0yfgCm6QwDLtwfT2XYhdAX/+CcYJTbP5AaU
RR1v/Z1H8+fdjk8KN2uzxLPl8W72H6HkYyWHVsNid8kqBjKZq17RjxxXE/rcD7+b/9Kw9uc3+sMS
wHdjxBbYqsuwPmfZxZwfBv/8998CoRfu/k1JiFvr51WGoD1R2fYWRv2E4ruuvlp69NdvIezth/yg
Hfn2C8NQiZ6bvyoSvj+8iY3nWfaW415aYvdoAtsE5fa2kZEt2/6aiQ5yeqndrCk0KouytTPErZQg
D42yOK2TeIw18zMoxS1iDskLZO1ES89DuTzrebXszcIKyNB48xv72U0MsAxd3AVp4X7Om+WeDFW+
1fBr5k/XcmP0WvZ8IWD2o4sNLbDybM+R9p75YAuh1zJ88BZg6dhwRH3FfGaHfx/mbH7twiBUK63M
EVJX3ZanoZ2iZi1PVdszi6QbE8jS3udyykNXEBbkZ+faWlBb+dZGMgJ/2y07CwFLO6U7kTe7tsmv
E+rVIHGm61TqB0rphhEVN7U3ruaP+WhfysTaK1uM9HhXeiRWc8pMYoT6fk/X5CJc9WYk04GUMskt
IbvXMi0LDRKIWR/MLeW6nzX6G3VFy4NGQZCP822fOxNJEsZ9ChkXC8BBd+Wj5xcfVKpep7w7aFb8
5io+Oe3Rd6Wv91Xe0g5dvY/2MoHDtcR9NaPXEO7ovlOLEZwBtCZsF0WPNTYUmIP81XW8F9nP2XVu
ZiefrCo0xoc5Jy2trvaN67eIKJo1kiaqjsHObDAI+j7VpsjujCgf+qtJOud51ZiB6XN63Q8yjZQS
3kXm4nZ2pR4KV37NtfkjM7jRDaa0vNk0ITrTqGDERfJlzawrKu7lyY+HQGQ92PMYb4gisifNV54l
LrMWTJNk2A3ldJN0zDvT+iMF+j42eCyWPt5ZHpjmhDbw1OrisJbmkYcbQmTjR9D1x8AhbclcrKMa
PDu0dBui6KxfcAu9bj2Lnl9S4U73auVJn5jLCXisuvPVbLjA605+0vrplKfpxYrTZ3KgskBOPph7
r38daD+KsbvqGRwhTHDJhWIwqOiVBjQoL70138Yj91lp3BaFRDXj6ukn15UR5sZQAzCX6f46BjK3
TGQYxtVSyp1jdkcrXmQIYBd7oZ/Y4lhCy7XISCwTgxDkr17rHZXdY1Vw6H/Lr6LTbcSUhHJYVjdd
rDX/0JUmkFl95AoJjVkUC4M54NQpuopcJMND7baI9v1+OpSj4eJEHc+irl7AgnJZZApVWNOz7Iz6
6DIr2nV28hEsNAsGixGcjaODmABMNOKFWFjjcXB7WsKhUQzJdOSK4O+cbDJ1vH/OfPXX29R/tKv/
uElRKf1YwxrxDJK/ZFdvkiIq4CItmrwwRP27ezqEIQNJM5w2YyvZN7XzD/paPOQM5qZtw50O8/DG
eoU49O2b/IvVFj9VCFsx+Rdlxf+CNNTUaFZ/QPF9e8k/CwqI9aw/PJmuCaFlKya/FxSG9QuUEOrd
TfLs6474vaBwwdzzKnKjvvHvfwTqbaGVCF75ccjBESf/nXoCM/MfDkgKGj6XT+VMRW79SXRddTQ6
VOHM+A9bJHxEAM1jVbIV2E6jn5t28gAf5R1UPHkoMNhV+geEaFxYi7qthidBfgjZ4NvdUOzKHj0Y
sfPuBEbJe8wcGnkQjDlPM0OG7ayYzFmgGyq64f5yZAudNfqryPer6UR7vBommmg0rsb2ui6XvMbQ
mHn0Ar22vtioU68arZr0Uw6o8nqx4vgpN7sW5Z0D7bvhoSaBZPNF41228/aSV9zHq1xJIl8BbD+l
DomblOt4dwiKm+magD3wdzPzn5lNeSUbzykd9bAy3XjXW0FHux6H6RocCFMfkY4zRx1xWSuqr0Qv
D7WayoOa4ApFtt9kJ6dKOvfG90fO4WHRMdtrGh0thzTZw9gXk4Rajjk7rUhMaeN+3udr7670hGt+
MP3SWMHrjqdbQWTF2zgvxsMMe2w6NEQYRekwTEmQMBEnwCRZ1mAoqj7K7W56xQa2vMRr4zphn3St
OqkGfwbdeJsvyiRFileILB1OZqM8DMLpme0X085J2s4IBqO/zNixN2UeQktoAiks+mK2T048uC9+
vhAmOM7+cMhy3JL7dOjZ8yce9Qg2xaLfd06xE6NWVwdzLOPQaWyF4CPnYMyGPNdCe0KfRcSABdBY
l7RUGDdXR1wxnKrJJL29mOeZTIGcoO+EXNP9IkadX3TSEitugDL+1Y0z/X3F77AvbFbjvoizfofF
Z3mvIP2JPa5d+yAb1T4adZ+e8YmXrw3K2yDWJ2MOYS+PwA3Sjenfu7f40vpIijTeISfBjEtvxeCh
MZRB4hchgPtlYmqdur1/q+wO7VPcy1DSIrpK/Vi5QWNWBRZ8c6smU1l+0XOtOWHMEKexQngHyDD+
yGpA1oX92v8UV5MBk3UYp+KQjJ14istMnua+coFG0yAN/DoeHmkBf9ZnW4umxVsjYDA0eFkB2alx
GcmgCFOTHyaOZ1wqp7SuitT23rAkkIMzpA4c72E1jAhOPAoeUWlmNMTdE2LH/qbz9PVTOVZxhOl0
eZFZWx3jFbFyqGkw+wFT0wwlqWK4XYhzvOls/NrB2ORwZMWUxSSSFeDt07h5dpJuDKjp6hNqnOTD
2G3KPNrI5UNhtSIcVnRiSBsOY4Mau3dji+gVq9Dv7bST4YL62t83tSUAsFGpxedvQzRpj+1tX8U+
Fia9/FobxXLqfLg8avMMTGrxgzoeP+d6ZkX4YwlIQ0Jx3CzhzNjFu5qXD5gS7bAuEl+Rwizcvojo
xvJ3hAfWISB17uYBbQ1viydRLv2/e0G/nWP/rV4QJ8dfHY0fss/UXj8fjVsr6NvLvreCvF8s8Zvf
Zwtc/9bv+d4KAtZpI/rn+vwPquzvx6O1peRuBS/DYUZDDjf/7/dt8xdsRBheDNswHcwhf+t83NpN
P90ffZsmEGeXoHYieJeA+Z9qppI8jiwezeScw4sp72men/NBsyUapAxFEI+o8O8slxEjU7A0DoWG
njQh2DbwumKO6P/uO8MG0wOLlhQi8hYTOyZ3TzPmhwUQTxkYDZG5hTRsCl3DvNGn5snyyRfNV/EI
zYe7kFo/dzAwdovW3ypL9Fy65ummlhu2A3lqaOEsZvy+CZEr9xbJvUTzqa9RV5XZ2U6Gj0uVvGbt
/KVz+SRdM1zaGNGTVTTHYrT6fYFxLwQv/54A7u9j/41AiCL0Ch1VntGWh8rVuPtCHDxhHK8jiw9z
pY1o1DiC8zNJ60fbZOQgGhTnqWRq1Ri9CrNso9UbHOKuPpi70tQoEGBL7ytmSs8Epk13TV3l5FZx
yzqM6Syqg5g9R97/q5ekiHW2evA/b3U90YL9Ogxfv/5Ylf7jVf9Yd57xCyeRS6voNwr89zWn/2Li
MXQduLnUl/zn72vO+YXzBTeghUPHYHn9sOYsGM+4obhSQGfeINF/pyZlHvTzotu4edxU6AGzgnWf
2vTnRefi6NXS2a5P4KAGg2OF4N58QiAxzyIYK2ySAfYJMV9GsSxhNXRLZAzKPEAlcY9dRZJdbMcD
HnIK75uhs5wnVRCNBwsPCG7iDDAte3NXJY56hf7YddFi2ua7n9TGSbR6GUrfphUEJ27nxu4XFGjj
aTJpV9hg+RE2Fl1oxEVKEM0oD8uk62h9TOzVK7SwPccdTILaK8ogX5pXq+28d2Yh1Qlp3rrXM2cv
Ee1FOjORcELXdmuwMxxrtItPIjWnDGm7RQamKZzmNTVkdxCTtl4NU4mmI2Ej/BR7GB4CVSEaCCri
mK6bnvkZRHXvovJVf5BzL6K6dO8nafjXOhVy5FVJ8rFM0eL7KJeOqyunqMi6OIjRBB04q+vjnFmE
7pjLfdM27qmvRb13tGIJVjkZt7XrXyV1Edmk491pXqwFyCcKuJEzOIRN8CBh3T/2uklCRmfpyLQs
CyiFGk5yWDXU0atxZRWpdlUOdbsrRLcSJEojZMBccd05EAN3mGI01LCzfOIeYu1oG7oXaKv2wWqN
ao8zxOanDut9O4nh2s20OCikeHJUpT4vhXR2wwzEKXaLgahCmmsz1Ke9Q00Yaa1aHqwsdz9J6muy
uj8ymB8ORmvmRzkRVAX8Nn6ZvKzZ53nsfAFPWyzXchF0yGDCBiVpWmmo1FjtvIqoE+gpzIW3Nljn
IFkAyCZ2zBAEm/6IJG7p/U9o3uZfk3nx9+uWDhR28aan4tSCTjAPJKzk7XOKtweVRbO8awzYTMJT
bP0a4/d0Bk1Km6ciQzzI/LTdtQk3IMI6vChdC+8q1p361jSm5rqcjWdQcO2IJ8Xqjp5sinvVdNoV
wCMuEVXvn60uc1B0lBbz/wwigXuUmsyWPWL8FS0eQ90iXKWar7gZ7aHPwUtZgQ0iWmq9UBhdQqBK
I6qNhpLjbgC1EwhL6nVYCjKNMLxOIsq7xI0GMM/4EtfqTtPso293BSdB3V33jnhvys6NLx2ixvTc
GuUHctxdmFn2IYberp3QkIHlpGVj5gXNNH+u/c8rGIdsl4DhuF0nNdwNUnjVZ7824/Vi1VyWvFE+
260y78j1S3u5QxbxZAGH3/m9NHZJifx8blxR4UOhWRu1qdM+tJA98jnMqO+PreUW/bNAkFWoyNaL
ekyj2gHNdlUPtjdoUWXnQr9lo+T3XtHn28dOXnNzapJYf1sZeGMK5GJx0y1u5X7gIi+6fjdAmLuv
lS/jL2QwoCzPiMBkhwtSw9KgOcrmkSfXLgIPYg3kop57WMglEtONPvr5Jxdhh3b06klvTnZTcntr
PEkq4QRxEWuASqV1PSeV/1Ih+XwvDNoKwFYWI4FeMupcOJjD39Wja31ZLHMsDiJWU0t6Tudyk9Yy
HzCQEcf+rrYZYwVrmfRIu5VuPJnJCqMR8WqCU3duM6bKFu84FjGeLhITieupEsD7GPr9url1vUU0
DpH2XWqOZ1Bcth41DRm9iauYj+uIJm7VRMY7k3v+q15OJBHb/I5Rp8fLE/ma4tw72tAHRYOSPUQ9
M8PMMJ3r2re6U5H5rHtlx5FdlBakQ2m6B+RX6aFmQHZoELnd1aK8rAkzRJQPdnNRqZ2e4xZNDwQV
2Ak001wW1cS0LpJIt4Ixd8SV5/YHuJb5tlaJuTESJ9thdTO1ve4CHEJPnzO24y4VmtzFEODW9Y2b
yubBm1yQgU43vdl5LBCxm/4ZQpcZgF8wIqSaCRf8caV5sUqyzCp0TZ9hUH7ijOqJR7ac/ewii86m
DN2e0Dv9MVmNeK/03Hu2YVHcW5YWczjU5anEZXPbACjel9qiX021Hn9eKYXvFowIUA+SE1tnfARC
qr8WrpFFuDW8NyA7oOXGWLRHWgLq7K7uem3ZwguSThURgoX8IywI48ruGrwvidpzY6doHPWVPFsz
NWjQTyZuvCVe7xw/z5GB+ocBJRbItmY8Lc4kD/hXCPibKorIHBdYiIh2CueySW/pNqLX72mSnzN0
gjs4qmgsSAwMZt7/UdEwC4RBznhCItpduyREV61psbNyPzkA2/T27VBM1MKzlbI1rtYrqCqisyGM
tO90oMZrw12Nr5MUzd4mn2FXGLFxdIbO/KAp3o+GfhK1xpDs8y3mtYcicFPoc/ciWYfXEgPknc3Q
+QKdEaVgWuf4GhT9GRN9G9XvGtrENh7LdfqIdjG7LHgUP8SN1G/wk/j8EILP3bha0d56xPU1CLtv
BpVWY5ix8u+Y2agDDIX+3XPrsBucIjKZ19z3BHmhE0RYeKr8wb/fEDhnIy+aT6DQcIapSicLrNFP
qZ58iPvaCY260ikeXMT72mLu0Bf3Hr4h7VXVsb6z6Ilc21mmn01tyMrt9O8ipZktFr/UygNljM8a
ljd4eEMyDIHlqh3SJfSIk3J8cNc6QS4+NoktoHEMuwq4qhOgADYSfpo+e6uJs1ViUIiaOLPfhcI8
pCxGFvT4c3YCYOgYkYhtA3n1aMJzSjjyiH1J0qfBWdrs/07l/v9FAhSt3x8ayNstmf/7qxof7leZ
/WmW/durvt+tnV+YPBuY+YGPIoDcLg3f63znFwp/3/WIsPA2CcYPs2yyXJgsM6bzmAjx//0gs9iy
XAwLQgBXBONbRtTfiM/YUq1+vFujG4KtYW9zdrQgKES2a8AP8wh/Aq/rEpN4pUYTv94i3aMHDYeR
lyYS81F1XpKcNX/yPiYGI5otusEFjViB8w2ov5GHMju9r9ZN2+bd5no5sIFcROsJdQBvunq3XiF/
Reg1D0+jVWj1k0nHE3tEqXPaz72l7iWBBvV9aedqfiHK4+Ff8er550cTpc1fPZoHzIL/gc4CPQ0v
+/3Z5I9lWdyMXAYP7kZ4/v3Z5B+Axvs8vPzLdv37rrMwaQkRk8GdEJ4JV1A+2+99n+15NmFXmBue
g5bQ33g2t3vuH59N7sa2g3iQBxRF0B+eTQFVktn9clUsR9dum+EtNfU5Z+dVOTrRWKlIpXiPSk+r
9zX4nX3j4KPdDJIA9pDejizJo9aPZtSSBxaKnIa568ti10mCtvOpn68YLxbhApb6HM9xfJhxzFzi
qZU+7gbnMmo6ly4iha3eMI9U8kW0JF4doS5cEaOOwxdwWT6Sv28Jmohqw3Qd5uPa6YAsU5zHEHrz
feqvzkHTKnHnDkqGCq+MF2CkqEN7ngrs1m155eUKiW2v4a1UEPMH9520GRwZ42ztCUaFi+4QDL/M
drsX2LofsbqQ7C1KgJaMjr3zsEXMz0msnfD8UXslbrkHDTzt8UFO41FPi/WrggIwUMK6hbG5L/P5
qpQ+bv2WSt84uBv20RkBwN0b35avjlBiW89efVdu6ztlofvflvzwbfn/e51+a7Ru0Of/vE108/65
Sb40n9Ovw59OH3t76fe1av2yQWE4KJBAWb9p8r6vVTo/LkuEdEDrWwgTy/j7WkWuZ8EJ81DkEdTF
6v99rSLXE9QW5ASYNuEQkJ7+xlplc/jjYkVZ5aMARWXBBwVz+PNibYF7guy24tPYTm+zMe0hxJ57
GmSen55Xiw6kU4TWOAi8JMMh1Zf7XHcua5wfizaD6sIqT/RrRKYymA1jJ5LlUNDL1YY8KpvknFbu
1ZxO/XalPXQVjCcfhVDVF1qI1/Xa6ymKKPWeEzkds2ndeZp1q7zkBY/4a1aKs97bb13RG5v7JUKL
/9CgZofef/2/2Tuz5riNswv/IqiwNLbbGWD2GZLDXTcoipSw71sDv/57oFixbCeuclVykeTLheOK
Q1ocNhrd7znnOSKtzsZUHdBJPDHz31l922ncLF35JceUri3jrCrF+VFv45KiUCXdw/3zS931O/wS
meAWOcaxshoslcB543GdusdA5tVutEOoW9lOvuX+59dttpzsjroT0B+l7Gsj3dTcO8wwXYOZSVZa
l36Us8q4xOGi0312HDKyXX1UBuk7stsawBtQIzexnDYWFIFSQrxyQ7/Tmy9RW+8m1bnrjOYZOcpT
0op0kdgSPeGgDoefApeVk4qd0xg7wscrUVa3CFve2DlE3Mhs1mGzK9tgOxWWX1TFsZ7DdepUD+Zo
fMsHsTYYoJCg/TYrfPgj9SsdO0yNWK0lWN3NjR2sJwqRu3oAykX3cq/uM9zvlODm6yBqqSZvLkat
7OnfvlAcuwungPag+UzY8DbLOkCnwYM9dbTnZoQYAq+1lL0qRk90/Z6+5n1uZid96J87w74Wafus
K+jkFA/bA7yAxWuDkemb1llfRllunTLecArftop+iXT1cZglFfKslaK8DKR6I2zSk96fW1e8Mc5a
jZbluRaBgso8TVJhiJ9tjDE8wq68HYvxDnFu14/OTeaYnl5Xt0H5mr4oanROdeNUIq7ZVv2cQWiB
e71v03I7dTArdKk9hkZ4RjTYM2FBVlcPRdJvIWPuyN0cx7TaK5CQsZ4FhECN94qf10lTz22V08z4
pzXFQa2NnLN/fGkcIgfoiinSqFl5bUaUq2zPTVfczLnOu6885VW/YZK1Vx17A9/kHFNTPSf2vT2Y
0LhMpoDlTgsVz9BDL05dFjWnsipZu1n6SpJ/kxOnSIS+lY55QAekkZiUYj+tzSWfII95caqsz2aU
eC3ycTLOlP8136zJ2dRdC5dDjfxJpqeMFHo1ii1onkc9tPHrii0p4GtnVejo7bs2MmrKml1eqisI
jV9TMOXpRGfbqHoqdJSkUxhYUNVdmM/A2deotf5CsW1GaLtAgRKjg74ojHhVpX2K+Qg41gDAEvNO
1IPu6N0nSb6gGa23KXa3oQNl33i2m4RX2WMMqCZR3a1VfHO5fZNFIG3hbiz9s1K/q9AAaL5aiSK9
zex4bZJ2m9IU2GmyllADkPBXAYqsMr+Dmb50Wr8BcQ3qgQdMJ4zQdP5gSq6b21qUqDf3mfUInX2f
Egt3oTgw3tpGWn3QzRcCtCuIwN4gHpeXbFZsjIxBFRV0rmLvKgs7mjl7g5v6QOhXgkkklgaInPHe
IfDXudW2Ld7L+L0hy9s6zB+zdjOqXIyxdPWKDlxdWfGZCRyFavB1MlwfC8BhAFei6FSyzjHTnMl3
5q3ifLXdR9wkBCVuyvHCFrwKx4B7MOp42/pJSD6bDuM6fCDXvi5AH1TN4CdJ/pEx3CNFvULy2vVa
TdTpWeK2g/viZda77TRrkCccXxilq2cnPztkusaMob34rDqYMgqKTtUJduWjMuo+vSHriEOcw4TX
rie+zXsUXamWpx/gWydH6tO3c/8q5oOe3pEHBfASeW19k4jzQP6vNGhVfyzzV4sAzWiOq1aRe9t0
t4Vyys1nRf/MswpVeNlsXyL3UU4fbUxZBSJBp3TMbRhUqndJc1HJc/ehsq6qbG2yueM5Xo/tS1Bt
1A7WpOJsJOOcUJLyApFeMdk0NC/XtBXpwnVWmTugIyTihk2B6U2RSwBqXeQmZJ9jOX+uzHhd4e3p
iMHzqlxlU7lTlWHFGMwq3K3Ev1gYPHXduBcjGEtCOPCtdmTg12qC88F9LoydWb2wuenGMXX5Lg2y
u2APjkt/QO/rEGhmDrARv0BXOUJtXnXs6Y3QsUk+KEzmEorKrWpDCI4a+UuZ7qnEOQsn2DhdvglH
wKWNyydL/LrSAWaozV5Tl4/HjG8hOzgVQTq3bR+qtg/dayLT0W/08RLw6hJJfQ4ZgIFLuiPTtoJe
w+/Mwrs7W7hSrdsyN8GLJcdYUei/xjVp0njQYOEFHR+tensm6qePNwSpcc5imC3qD1tXjgXoCrX1
sM9tO3KdoT4VNAW10JQ7a6XY4cYM6YyH2dv6pO9nH3OQZ/TGQeY6LRd2d7C09lIn9VEaw2MyKQCy
BaE6NJnjckpauYRE11zEecKK+FuAGSbnLG6hcnlhJb9S8HebCbl3e13dgH64neP2CX1jM7nGlvlY
uuus9FgP+bzWhvwAFJW5ntE/5269MYrYYRqZP7p0y88ECgmPBlti+gVj0+7ITcpLR3edZ83tPGWe
rFnoo3YFBPCGk+KSDs4hJJnlRYWznp1qPRv9sU5KXk/1FijMDQBYOAWheeId5TlTTzeBw6dVg7lG
8kmmTLA3RPx51G5NieCx6ZCx64FQ4FDtHal6hKU282w9tFkCkkF7cxWsqHPNBGvo/Hm8zqhOGr9T
Q6OKLzR9KcGnhPMFNfs49xFLQlzTOuenKLZiSI6Va56THC3dzK1lN1myzu7s6fzat0HSbnMKPMoh
2SLC3ySmudcN/Q106vM81ZexojYupOypc7ZV0V/jPNw5qXYe3fCpjFWvMMp9aGhH6TKjU/OPweUH
y6od5LZdKqw1Drlzl6cbommP81S9TPFwNw4JSr7DlmUASrGro5DTkYPYARIMMDByl7pzBe/15Fjt
XRgkD7k0nrlSfi7icWtR86nPHNSc+AxsbJMrJNfVEWdOI/Y4CndDVhwh9vBWLDcwcg4sq6cwUU5S
Mz2spPtQrfeEVl/yNvAcAzhipRSepPVHN6u9yDRKQSyLAb1DXpMWjSHudpNLE0nilD7i5n2i8xRX
2jMvPg6vyuRrgfkt5lfAfXWfWRW9WdZb7yhbt3+GoVKTEe8OQ1uPK10ZwF4nj5DMVmDmShL3xeAF
angwu+BRRXUEk3VPRJJmgbllklxvbQN0v9k/x729z0iqFg5B27RkotrTfBLXE+UqVf/m6MVRDppH
GQlNLmOycsvkZPWOX7UcC5jiCpnvsf+8TU6IyGlvjUUPVCN927TKncPUtxH9yZrFsQq0swJJLkkn
3ONqdAJnfVcajl8wZq3i+SWV3c6ssfg12tYhai+szqdk9G4a5U72o9em+Pw434q+fWPQgQ1kkXta
G0Cw0nmQkG4Unfe5rqYw1eg3q8XBjtTr7JQfpBnPem3uR/jm7Kv2drKzxzmct7GFrazuv4CcuFEs
BcCJx41bWPKxCpMnEWU7JG14C9FKDDRIgMGq68CH97GrDe1briheO3cfijouTpTLooz2TnaHRHaq
kuAI5SJcRwm+FNd8nzGOVTZdLphQRmFB8pTHKVGv0rY3aTe8xIG4qmrtd5mxB364g+MPhkbnNKFV
OyxcnMrsqx2UF7IoxJ27z5aTHJW2ulHdcc+Duo75TDpXfx3L8eji7IJxaXusE38YsmfqCQhqZ+1e
FvqT3cW+Wzq3QZY+Ijb5bZncWmOqreq5OoN39SBN2l4TZieLC9mKVLVnzglW6eDZDgVdUsILsZjH
cfOQsgOrYWwC2QCPE043SZ0hRgbBQYnaGzlSMJLwLPeN1+qAWKaMjEVTfOMY5cXTeGhzwc6csBdy
mUvIoaIClXsth9G03GCI8d5rfbTRR5GtKS+4awIUxdBIKBLthnUj1K/jGGwo39lUHNfd2PqKrnGd
gvZoYDmI9PSKy9XT5myrV7ovM4gWdJtsObEnHsFdb8jSWwkWqZv1U0kWQaM99f+HHd+HHYs3658P
Ox6atyH+B3OO5at+zDnsT5hYGG3j9vg+XPxpXu58AkGAE4WJtbV4Xxgx/JhzqJ9wy+g2giLuapfo
4K9zDvWTqhMTdhhZfM8z/qW6ac1YBuI/hZmYQi6+bzoVydkSaDKXoeVPA/O6sFPejaI8TA0y/bZR
7e8YAG1qV4koUIrIJi7O1fq9TMzMhtUVW/aLEOJxTuTFlgVDNqvc2Q3XVyNRD9WoXFP08tSK91QN
+YJyDC8t8ImIiiYqU2btVnfFV+L270kX5sQjwltn5IxriQgBSDzqeHU3/dR+UfP5azGEYq2XuMYk
5tsu6J9GrWg39TCfBqqVvTQrkt1UaA+hEjwIjDNYiiO+MrwluXEP1C71xiiqvL6bL1ZEcqQIT1Gp
02NFSdNKZDPvrCfKpDg89lwrZ2MDUOlaa6B162ag4WnIk22WiufZRt6KcfzuSJN0/BzOA9Kqtuqn
aKR5S/8WqlUHt7kmaV9KEuyNgzwWJNlu5pFfOTp0gz6XGaULEA4QVhpgBzRgWaWTeBoq+2HMO86m
UfyqWMkmy8X0pYsgLSxIKkcZguuAif0GgotC3WexVkxOsGrBQchtOaOQAGMmXHtV1zeXuWIu2nBV
OkHOsleVE4erJMTZG6VqcYymsvxKgaftRXbHvbs04hs2N5XzTSQO+CfUDfaVYGuqsEjBWbgrfeRV
EwGLeZghQF3mUYfUxJpQydXnXcgrG1ycU1Wc2zkjtmV9b4925uyiZghjLx/x4l/ULo+qsyr6uTuo
gWIK4vVWxer5X9yJfh6dgnX70wwqol3ZvH2Uf/yaX7YgEHykRQwH6YNbLzkPHvFfRq3obZ+ouiTD
iDDhYl37VRYR2idUCmQ8THMawP5F6Pshi1iflrJ7lzgzOeZFtPsro1bxhzgliqGNMEPvpmHSsPs7
WURlXbAgZuWI8btO3A3+e479Lw1n4aI5JGpuIzyk7KNRsrVb2mfNk+FmOQDnHA+AzbNYTqIKDwvJ
JjXOhULKFTIeVJxQTYDRZA3erB4zmwy2qRMjdp/McBwguMz8r0G/o3aGf9ejag4jQ8JV2Oe9jAg0
5bBIQHU6trKKHGVcw/UD6ndYVEfQqsbIiRJISTCor3rRLEXiVtdU0z21yEiTviPC0b5zItlH7k0c
d8QRXIHgjUKu5FzEC5wMWd/Qw7yyJyVYWvHKmlDjv+V5+C/Vu8kc/9n7+9J/ff+HOgVf9ev7mxfj
97IGzfr+lv77w+PanygyImuFLxwrt2nwXP3y/tb5R/CS6ZA0gFkscf+/Pzz8I3Px5THwg8mB/vGX
dAoy4r97f6MkYqulXp3TAjq687sAHhJKyLhBgSYrpKFtHNLqWb2uwzJZEptDoW3nPIjPAbjgBzip
kUYx6lio23JoJfhy6IUtED43ZcqnD+NGm+DFGQy8IuAqO61DABlNaLvHEYB5AARETl+aBKMTKcpH
M3I/pjJ+6mfr1Ry5J80qBVI6kddYdIeYP7dH+8azKObUXMmy2MVdL7Bldu9xox4cSKNglZR2Y9vz
8DC3kANhDaIi9m14yoOFlUk2pmhgC5pNOKxdLVrqlEpPiPLJKfGcUEk2rnM769aySfE/yU1oI/ir
LtM228FP70J3hbd5Coz8pnEQZgj8E/Adkp57YT74zDuonww19R3EN5FURy6el8R8kfnCXh6nBxC4
iDfzWhnjZ7N1Vp3ZeDhqGma1yxg2fYSP9AQWDft9gRSafdRTxzidIUXgfpOL2NukOeauHCJ3fsxH
451T0rnriD1LFY8Q4RIsLy7TrmZDDg3HluymTct/TpUziQss2K3Zxn49cbcJXQAztkxucAbeJkPA
2E4TZzcOdjSt+SMEZa813ZVUbA804G3ZapdshGRt2WioxkzYC3jjB32Tls+xcGdhEOLa5lxy0uju
zMfoSG6CRIYcbRKeGSfZ2qjdW7vJ3hPY0ng8S8WrsuGN1B2/O3tmjdkG41zg7euKQ8ShmyU4Scse
KWWaWk9iBz8S8GOvTcSXYDbWgMaCnQgZKJXxxE0rGTYEj54SfLa0jRH/AfD5TocSyNgMO2/O9GxT
BoEPP65cD8CqPDMkUN9J5wL9DTxiddKM5HMDP4Hp3IQZqQWpVj6PSbjNDaaPc6w8W5r2muBSXZsU
HbJ062adOz1yj8SjZg5vDRWShAuQ0KCje8Vcxn43u1+giWyj2djjgkWK4M/OJi9jJPRE3vY6XXYQ
8ESXnWsFUFfTTgHXN1uA2Uso4J3CrYETZW0q5oGO2q1hzOssNQ96ZO2nOHFhwKKRNfyMshG7TsGG
orTTLRCRl1jJjrlUCAk6V2Yv8JOS+T0X+XNK+ryuq3ujA9MV9hsxYmGJLfMQliN9nc7BsIzCS4Vd
r9yZkoAAbYtw3V3h5m/CyB57OrtWsEL2ZgXZE2/WTpXmHXwjStJWOHqSE4hNVfWV2YyMswX9amXn
EIdkO3uJFuNWhipJ0e8t2HgslJW+g9p5woqdeIoaeO6U3chZvW/L5gG24V2rUMoYz/pxmgzmclpz
p1uVT16bhxKsk8YmteJYuYEo/Fn2xr2aDNBJCNFVyiUa0eT+Le/C/zRIyWKE/LO33Dn+yN6Kj5/P
h7/Qc/iyv58RtU90s/GtdNUCAbJwcP5+RtQ/UZZC8onLqEtIg9Poj2sqB8vFU6OiuC8pZI0b7I8z
4pIFoXeV15xpLW6wvxTf0P5g68J+g32MtyWVphQ5/e6WGkHlhusxpMc+ZYc50uPttJcKB5D+lFcF
xnmhGGSbNMucnrBDa8nXqWi7cW0XvAV0iKVgSQsGyY9ubzFlM7M5kp6dhfLqGEqXGytr1riL/i+u
t5/XDak6iwPGP5+IXL5+ad4ogv8HX/TjQAXwhkw4MDoOSIv141eTlqYKbiM2bovv9sGfME3CILpO
axU3DhBNzvcioV8WGteJv+DzYKjy2/OTip+EocfiW1QNVv53H8hP84/MAIo5BdFwMvLZHaLznDYE
99IV8YdkKk6DHYupyvfxEFD73CsOVxGSzA+m01h7xqLBfZbDX0P3M/RzoyXWjd60FqkZVxerLlOq
NYDqaOAA0CgbgOr9C8yUHO2bUhZv0AHqIg3EF2yxMFM55XRL8zOdOFRZr83JNC6MSEyKOtR6ow5O
DuZfLW47Mi1Xt7CYBMdTmD41xFgPQiG3QGTPKl7UegyeejVSqJlwSveaRU5+bfTuiZzRvG8dTW4B
loe3Vm3OVwrZmqsMjWBjuPzx56CTPoHD7pBW7rymygLCvQUGRUTCbklx19kDxXTyzWbWsYvbMoCm
MVuSmTGwSCSx6LnOUzR2tcSZYoQDWerI1u6JCUZXU1rkG1VqYlcKMRbkl1E/OXX7SKqQgJKmEbZl
CG3oa9Wo5gd4kxwKNPklZfTbQuhI20VbjE+AbziC0r3SfiY9OWL24Hf4mKVJfoFEHW24+80HYIdk
GaIJ6SwbeBEltCc7K/qo41viB8lOycKbMU2SjY3k582RyeSdzW6nMlvG/F/0p0LR4kuk5RbHvnyc
7qeu7jepdNM18ph+4zSy3U16XZztGnOZaItpRweP8UbsoDwAFOzuLUfH1pCnSuoXegVCuol0B8aO
6M+zVqvkOG3FK4KsuFM61bjvJtG9Gq6efZuYFz1gD6FaKZXFTd6aCn2huCBMtXvhs6qmNfRj9xY6
df5iNPGw0QAaUHSt4ykoUgD/dDX5itHIj3ps2xutq8oTpfBy7RIIw2zPwgkRf1333TASeHqEDrgR
k9wusrXMFh+9VUR3RTugNFhAGH3I0Bg71BInVBvNxE2oPNEH51j0A7I80fULpsIQtjqMERpC+3XU
EgmQmuJKf1Dc5FSR4NplIR4jdbCyr0kRJrdqBSEmTsP5JoWusBzGAuXdQTDJ4Qa1lF3VowVriNdT
fywYPBIxjiKaY6jOhauceImS4YfSAEhAYJcnEO+qH4m2P8eIsWjoVT3cNWAMX+sMWjPaQCWPKNbh
gytS88YB1cStINwOg13cxmrbXXU6AXzKLTrQ+sPMyR2lwGbCQPEe2po0PavtaChrxwLNNaayZW8Q
8drz4mz2JhhU6opqDW5yIGvyulYT5E9sI9XtVGTzrghrlZbS3PRjpVLPVGMX47Yfqmpt17EDO2Cq
b2j3DG+aSOieVVvG5yzOiNjwbMvnNqCJdCWdfrq3rNQICZ5lij9DMN6ZVpAf+hkA5SpXbMwOg1Iv
gn01qTdJYGga48IizS9KioWMvEK9tAmUQbUWKD3sJHE1e3NefmQcHLBPcQw/GzOsaX41Jh7RhFL1
p3BoW0DB4EOCdaaEEny1Bl9hTopax0FQzzmDxkre6ZmqPTdtUEDmqfSmqjcZ/AZVnnHaIZXxiwuZ
r+ibhtoUymTJtFlO6Eu1b9X7gGKWyXoM7bzqrkRI0EtKqtPi4jBXeqvM685Jckk2YdDT8b5JZOi8
izANomId2Rmwg8d8SMba9p3KVNKN0vdd8jHZVaWlW6bwTcOLi5fbvxpN8186XYEk9mdnAe8ty97+
qI58/6ofhwHrE1YMrP8cO3/kf3+4QKHVkHbiiACd7pegwa/HTpyZ6CKMPeA9uvpPx079k4nFAkmF
L1adv3rsXIYnvxFHmKlwrkW84eBrMbH5rTiiLIiTYg4HGr96fAeSGeLKls1g+AxNQXBhmLTr1+G7
4X8I52a66AlUtr1GtFP1i0mlYsWlHJq8JNtMsNVpMPnW9OY3B8B1zuNXhfsyIJd8ocKYE/y/YW3+
x912DMHh/5+fQFdvLdVz1c8H0O+3ne9f9mPZsbZge5oEzKl+/Fsa4Ndlx9gOH7FtGEvo/OcQi/pJ
YH5nTaHLLTXFv4bVdfcTfZAm1x3YsSYW5L80Edd/P9NTWb4LqGmZ6rE+ltH7z5pc6FRNPPZ2duhh
1/SvFT/JkkSmQmGiCK+mIiBUVBrilCl9nSy9f8iLudefcb3m0XlwJ5UI5tDE1gqyv/1SgjpBt+tM
p3p3+rT0sWjCvbNmAMqrAZhddOGt6zVaURItGx36gvw2ljL6G5HsX71Z/sctSHPhX/3zBXkt39OR
rfAPK/L71/1YkUusytZ+lVp+LMdlg3RVndcuOg0s6N9cvl2mZ2yQXLQZMf82U+Ug9Cz/kHO8DVf0
L92R+Hf8fhfk2yDOmFBKXfH7xtg6nkjFmjETpnAqdeZ8rnqvyfFRlAPcvBkk4j28qummNrXuzpwC
AS6HvLmphqlch4CuDuEc9eehutBlco0pClD9ym13+FKKxjeTsfIqKwyO1DbYIKSSU2gBDtAnPSD7
avV+RK7yf3It/mZJ0WL4p2LHfsn2lb+zK/zti35ZhI79CaAct+wFAfcLcfbHOtQ+cU3mXg6v5rtO
yB78y9tY8MolH8FFGj4G3+/ndYhQyI2dPdbFzvAdRvcX7uqs9t8uRHDg6B+uSZcwNn+iXsuU6Ke7
emzFIsm0NjpI7k3xCnMdprxkso5VbSvAKiV5qKVN475K6xobbGDibebabEovbLuy3jXo4cHaKTPr
ACFZBH42lIgQnaoS2wNaL7Zaghh3l7r49+oC3RScoUER1QTsnDpUvR1O2ZgzBMhoUtVXfQ6WYkWq
1wJNQdSfe0Ez72dt7gSkrtL1ZxqjG3/QEngPxlgGh7YNMMkKR6m/gEGz3x2GA15HLYEfzrAuGIdm
XbueHFM3mY+OQj+5OhyB1s2t8yhUm429v7aZrmzsVgNdOWWDSoWUpcX3VZJMdwTIuksT6vk1T4gx
+zbF9tE6cZY+xIInktaEpLpmZjVsl34UX6OWbheOlnvQeekctcjZylhvGBuX0CtA3VoMMKLFUzzq
qeYRoK83orP1Z64l+io2muxe06Xlu5H4HA4TNU/l5DJBNwwm5EmzH9BmKRnSbyMLL76JYdxXJt5M
kiqYW8NWsotRjFcciIw78NDTlyvt6N0idE7UozSQF4r0qOWLk8qSNe0Khs3HHsXhuaWy9TJGhcGf
rZ/7kzr6tV5SvVw1+bcEqtBmSAVKihk767Cx2ysa3rsZBKVHzhumnBJRjdzyl8icn12hYNC1c7zg
mUlVFxkPGyzBfdK0xtWQrjwalT3exq1a31UpHbW6Eb2ZpTV6cyiP2dKkRK9ksjA1uFJalXI38DK9
z9B+AIll7UU3gLt0fCJrtLY72n3pqpNpvwYF1T4C8g5WotXlZYoXoq40dV8D6eQpcgw9dQjChxkV
OgccUus9g4zS5dsmCcQ6rjZHI6rVw6T2Hxn//5uwp+QPWmIWeZMM3KsNPf/O0enJmpsgwZ4XzvOF
cWm3pslT2aYq8RLAtMVV1VnRttV3Jz0V4jjR4EfcXmw0lv25lKQGh4biF1/puuggkkgjaJcCjDHo
gPHqNOUqmwThRql7TMBue1Aj6zzg3LTpMMHnUWN0WRMLVHaMGGgMbFmDnlSB0vWB0q2tuXtSKBOO
qFl04kndBBBmB+zgbV28TGOf3EYG5scue9LgoXhuJq4MUDK/4FTTVra9z5PyaaJbY5XRXJMjWW3S
WO9A+cT6EWYEat7ym5o+aFasViXzEOR/9Vn0Lp0ikxvsqnFQziMuCj/oqxBOr3hlM2xv9CqXG7gS
JepNaO4nmouehIUdQCbUN+QBiSjF0HmslIMdRCbHNP0VuFDt93bebDO71vdJeyAMcOpyOjdqXplT
QTQ5aGP6FhB9GpF7uUxyf4SSsUnHRNJ0krRXJzCyu8oxw/2Q8DHjRTD2MI7kHS6ieVt0qe5VVQW5
K5XWWTQDDi5j3DcAtPA8ae14NwparDToH0o9mZeRQH/BA1a2YlTvi0QRmesRXdYTMBCjkUNsNC95
43wp69L0LWt2IWFSNiV0zOqREwe30CniGzNq3wpRiT2FKDXimvZmVYNJCzGGqs9tw4+8GDoIHhFS
g5mSb+BOsaTVMFsPucj8jOre24ltF3bx4oAoG9D3NggdLP7AGQL254Fr+yme5PTZZepPbU6s1vd1
I+8LHE5YG4v8BuSwcDm8Zn11i+9a2xs0ebXbShd2tcrMQUVHSso9nWJBuYpBN3glXdXXLrG/Vbh8
MdxLbQMdPwMo6GhLsNUiN1ZRckhduIgZUNDv3ptUmtPbpVBjF80bkBG0Pke15BEvqjGT/VOUTa0m
dtOAR5lGuKjn3ULsJlVAda/AJ/SqD+RYt25gLpT9Kimls0vh3swgEBrrTvLCxvIW8IikI0tv33QD
SRotbg7RnHM6B0thfulY/WCwYS1GiMwBAuNoVfa1zhQqnQNNbQ6lrjqHeqKlCuJLQXVsDV0jNsKb
KOuze0dJKDNqBoWsTgrvau0yMX2tHNH6gy7ynQZr4e27SxBvCtr+Opw6cQqNBsakLSpwDvPYB/uh
cng+jGGg703OCtSkcvpGRxidiwYIxnPHfOh2kjCWiUZOslnNWkExbmL2XH+FnPtnesHqt7pR41fe
ySEcj5zAmjHnNwFMjm8qKBpKnLLAuILoGp4VXLeXXLX3tsa0MM8N68MsOIau4sio+1VvDhlSooih
2gxUUkraezg/TN5EEdHC6OFTRDeN4HYPE+Rxq80+lATkxCHvdeRaq4rHu6AW1hPvEdenizTEdDjp
FE3adkVcKNWicE+NonxP49gVbEZh8OSmxXArGfeyKqdIuY0Tq4X9beTNK5iT9GJkFWPVIeiEvdbd
fCZhUacfoqvTK71m9xnoURjdcxHsUy2lPZVIKCSVsqtv5toA2d2OrQMKhiBP7kMBVM8V3Y94K6aR
zEZUf3aEYKynJFiHldANkfrrSTmgOwy3BRXdzaJfK+9CnWBvNiQQV4bikPSzp6rZ2cpYfXZDSe5i
moN+X2mdMQL+TsgmuXaePJMJELDrS6O7JmIp71KkUV+sDjo8z1ycbHtdZe48CVmv+JO7voEF8DVw
u0D4RaxCPdIGBWpqJuIrfXPqtjYmm1bmHjoOFtNky/bMzdPEWbU2Ut0+TSNMcDBDFp0+cPqngU4z
PKPWCmoO0oPDhKVWYf9ZiU5NewTIZ6W11Z3Wtx0+B9M9ZQrTVMBhZedBfaj2LcB9RqBZ0bymzXdc
bNi32rqXbfmSTnpFhF64E5gUPFpfLQ5Q5wA0EfFB64sIyVDZUZG/UVtKGiVa+p/Y4nFZTkNaKuvR
TdkRTTmp+9hW7bM7C/vzYDbZroqgz1DfYRL2mYzJ+GKPTXTsqJh9ohaV1jAnNySJoGYgH1bqJPsc
yd+m2M+cXWJEEyV1QT2spR5pbzSUccUqTNwvIuA65XYUziVSV1/7mQOkH6poP9WottAgC1v7cGu9
pkU2t0IgXWUSvAByLx6nuSOSYRSRPPZtP22HhFYvb26wVeS2sSR+01t17uMX/L+XcAL9H+UD9grF
H50efPLUuXeic+nAtEXoYTuxY49ckH5jZZwNHS20tzVGPHIFzSC+uDY0oSWBGz5B0LWpAs9Hoaw0
xdCmtdbG6tbNwvDSdjomFX1mXE671nYWZufNlZFtelXtT5oS+Vbf5F+jREePiHvL/molcROthraI
vBRz3WNo2sEXiw6JzVCqBtEw4ZL0qEhfnCNdEk7hmAURIDBVeMNNmIgVPZXJR0XRLOmk5S+VEmVs
LcZ4LoM6es4CmT3gfY22amwq3A+C/tRUVFSzwC3nmDbLhFrljJiPIUPAxaxUNHW/c2IXtaTQw/Sl
dWz4H1GA7kTRGFEU///YO7Peuo2tTf+VxnfPgCzODfTN5p6lrdmy5RtC8sCxOBRn/vp+KNuJJCcO
AnSA/k73xQlwEkl7IFm1aq33fd6qQl9Th/N8lmlGdRzw3JzzCbH7WknyKZwZRsNaaPeS6cQ28s3i
UOcRrMtsfk/qwNAFaL7UI+YD98qsa+2LoSfq8K80B/9TG9f2r1uI6pHG2KvDNdNnmsD81h/9Gjoy
9Pt8xH/oJl5oan3nN3SCDggCw7DF60gXHbIBglnA1Cj/PMvlAPtDLwEk06RbQ31pfZfb/oOjMjPs
10dlZP2+Q3vIpBkuOMu/DXXxKQbk0EbpsS/VNTD0YdWXQ4b6ijBWQoYDD3AceYT2Bv32IxDCa873
JUgM//1k4M0twowZoZNdMl7kfGX093av3glbfShCPFmErN8QNvhQyYz9AYvsYvJ22c/J8ix2Xmt+
wtND5MMcn6UhFdxcTxfS7D9EXfWur8nkgH3CGDJfNayGbAAAoLoQTZaFGMmSl4UocQW57UNHmRaQ
4PshicVDouGvtRv/6E3RGtbtmS4XaRRWMcNH5xsNs+CcHNNrzypj5cXOtnaqc3bij6FmfGya6Yv0
cdB71ce2ZpdygUgSgummLLwo7y1XXurptAMS817OFDVpPZ4bbbpO8mzbMWkNK2ePRecko+x9ahDT
J6mPHL36ILzomHUd4q8p3oxFvXdldzZloNijlFji9DqJp4wzkLNv9Pe43SgMvZNhDtd1pEMZErR2
4Uhc63oLIaL/aqTdx7yID52nkyfiFEifEd+TKsjxkXzIsbzJ6w6jOoPTvGk+RhWGZcq0B1dUZ4lB
mUbjQHO2YR0CNW8XR+KdLdWGw98dez98ypBB8nRRluM5l/I9xO67uvQfE9veWCOcMx3Oot03j73E
U5/Lczsp1xXhk/BS1xJi8cZLtGPbenfMQXetjdtfg9sQChzBNfFWuYoDTiByVUvzkzRc5Ot0DxBk
n/Whey6BvIxz/3lU4Jakd2U6w4GNNOiz8AwqxRfhhOskwgiom5fUvjAM5+ijNattrvhyF9OEE7Ud
tRfnfK/fuxi3wb8A9htXszk8EcQcjAhSZ8qn0HFTgmGcr3oCs6LMtpXfgzOQO0aVB7I8Y8p9GcRR
/4B561NuT2rVGfaux79KKMdtOegHH8ugf6nDrUmj93IkDORkhergNf6VidN8kjSZxrAlX7fknOou
0sHU2dB82kG838e6T91UgABsPvSI6nrkgGsV9g91RChuLg6yab+Ek3Pju+FpGs3NaBjbESOdg7oA
a2u8M+eBd5uu47i+GLXpmHT6tgGKX3TyPDbLfQwD2fLmD8nE922RWlB1HlPpvN/aZrQXVbYZ9Go/
5eGGkf261+Q6xdGb2sTCkELiQx0w+uJU62KfzphrmoIbuq2eXAUCMuYRyDv3kvbyOSx3qNPZniTc
ryIebyYvfYha84YYwyO9P1iw5X0dtlR5k4E1ddR2CdPfWLcQcxTlxuBoDVwLhwnW4fN5rmlgoTHJ
x4tRXUZ6CXtgiWSRo3MDz4+4+iZTE8e61PuoY7u5TFuOKoI9/Tp1iFmvMi36aGqZdT5qZnHr2KhJ
INrPGES96b0TAxbifB9VOlGH4rOTdwciKEjKrBPrrPb8kEKAH2b9vPX7sTwO6fDAGRR97kwkL5x+
0sZ9aNpG3uFgxYtOGY4BHT0ulH4TT32MwjJPjHXdQhjhSNeAtSDYt3InGEfia0P7hvxq63PSaNMa
UNGOdtx9GeagFnP3iy1ZZErRDOu+qND+Dt2DYcdXVPAAiPsR43Rf35cx4HqBu2jqxUPje7TFZg2h
jAF3ouaxbWAOuN1ZGtvIaFMSPluLCnQWURQQkemSecTJFf4TTXhK5I2XWnxWJCeadjFEzW1fivdJ
RT9JjPJs9uszI+fn01HuI6peelKDDAh+mo8Alt63LobalBEUGqfmRPUmVmkLdMKr5JUZpg+mhGgb
V7NYKVufHvgq7kTFAVxSOael7p3VKiuxhhUSM7Di9MXGYJAlsW053WJ/mk1wUxmMh6YIwMvchaJN
g6Giz+WQI7+qRHrtm5JXNzhM5zGWpKLhglPooVaG6KrV8R3pnw4JxT16nvk6zLgTAV8RphF592LK
CDaTgexagfpbuCuCeNiRPAIHs/YmlhknyiYht2YJwK265FAshkqrU6g+2DGr1vss3ao+B2b+bupg
s/Ts7AAZkPZOka3hiQXc0eFo3ymvPTWigkOZzi4pp/KKNASYAR04XaGrddabajfV8VpPZBzYc1Kt
s4Yteh7Qbf8r9d3/5bO2lyWYsGhi/2rOdqm+ROUreOH3X/leshEN+Rv9NCYbTNrQQQumJd+nG4aw
fluwbJ6HKpEJxqJJ/DHdYDDnCGop9IE/ZAg/lIcGJg8mES6yRMtdYvj+yZSNM+Xrkg0tJDJal8Y+
/k7bY+b3erqRNd2cDTTBrlLSRslkNQ2dg7YCoH/ph5VlXVtOrZpdmeuF2oLcXUBtQ0+0VRZS240X
Ne4vdD0Z+zcG/mxZnz2yYcb3ttdrmR44nGZQFxYZjuNCH67avNY/S52zJAUEa78XKNr/+kp0Rgmk
ucRY7BEUg35hI+M6Pcq0ML6aURGXWA5r70kTWRKMiHeObmbVq7LEJTG2bn5jk0y7g/47r/Fp6SR6
odwN4Mp0sAGEYrWY80qRQGta2jtX15680YEFbMPqLpBpYtPsib6c5/R8zGjvuL3dfRzSTmws1GIO
6fZOfKNcL2Mqghvlqu/m0F9XYqDIMYEtcTzFY4hPG8nXmtU6PqvDbBv1SRS0DDqekqFv3zW9E6cX
thjxtieVe4kfxRqgCoxxEuTOhIsFxwQjd3/0kaTrbTIhYGzbYs2VmD6EE4gKCifSd2ixR7cYwkJy
NUs6QMHE2z8kTggkbBjHD5z4KCoca9QPgPf6je+QPI6mEaDE1m0dUDJuYlbvJ4W3PYrqlEXNhbjB
YqiX0Pa8qgtk+EydJCVuZQLtoC6fE5Sf7kirnLCehrLDyd3poe2m2rnikwjS5LJe4sbMUTknemdu
Gl2hCdDS+CuNcWsTR0m2bxKr2w4RcCO7Trp1V8budT1buGCKOIvWYmpL8LJSHafSCle6rI1rzfaH
TdFL5xhazMmAt9rO56HyGQzx0Fyg3J4rFJd0Z4lpmOB+butCq84tjHjTSS863a2A3VgD2A/fLkh3
3vBFWBV7XoxGzsrquDzMBDtZK50alRYhfWeHukw21vkQZgUVd1xwsoIHgqTXWks4heY1diGu1Wz0
7i1i8GSgOB796j5XhBiziDd0lmIfMIHSY+Y6JlZ4YpcJd0OjWYbKP3eqKP5MaNVUBWnu4nlgmC21
8x6dYBOE3lheYGRIzmnyxmdOWAyPQsL+Jjt86DZTVcjpMEYT1iRi3ig9tNzR4/2U5hxtkHmwibfG
1BrBMEca4MIlpKeIkuQK6pkBs77u46VMDSVPNhh+OnbVlBB5nZYdMUMMC3sqpqSr4Y1YZkBZ1kF/
7AkACvRCU/Mq1QofJW+hE/aoZCfd0zjL4SJvbH2nMiL04siMUOMaFmDl1K28da65yQUhUpSJtNtJ
vrfRPqm1zL3hg0DQu2v9scZOqTc389im87XfaZ+02S94pjSnHAOPmat90RKDPGOhAVm8jTpiCcaw
1GkfTl18N8+eKHcWo7hix79MF6Upidl7VqLpFgvzWB6E7bQ1fJZcODvYqWI4uCgVD2ZZqa+DZr2z
O8c7NxNSiG77TIAcHzICxg8KvgdWY42pV9PoJ3h74hovEs8jSdbMUKA7DSsbnPwqm+p0N4+md0yp
C5dKSxtHMCZDeeaaTTEzEVCoAr2w2RDWtJC0uVblNsKlvhazZV5rqCfhTXZYjqBXi7MSntHG9FLN
32hJBb7cikfjDlUrrjIzF1znzIrSJ1W76WNKyvg7hqP9Q6OT5rVRpWXxrJG8vSakgJwIwyFznKQF
K0CBDuXHQS2rzvgBq6NvxnB0ZeOVmaKVQ9eJcRv5MGSmTRbcUJ0QiNxidtY5McNZh1607ahoQZNX
PbMeBRYmRK+Mlry0ZWedyoJzAd3CML8zpsi874f5vcUt3FL4jCDZ/YITgOPhVnVs6tqoDac1Z836
4PqFi4xtbklZwW/OSGQcOAWFDF5zKboeXqErgdlQPp/mdnbSnVeX5oe6HT8Q8Aj4H7PubKyNJMy9
oO/1tkFUm47dSVbSuJgno2FKXTITLdm/omtj7EOOHqmFQ37aS5NATjTZUMyj8MjUbfAuLNg523+l
UvoP7YQ969v+Wru0Tz4/5tEra/mzmO751360wlwitFEZeQIV56I1gqT5QzXi/YZdDWWS9wN98b2q
Eg56OdpdOMvR2S0avN8bYfwnneqMf6k7z/2zf6ZdWnDAr8RL1HaOEKhMUYuyD9u8u5eaEeQWotUq
aR2sqnqsIy3Hbum+S+HpbpVA2UE3YlxPrGVr1bGJ9+kEonEQI0cv45ospUPTmz7euMEMEPlDWazY
G2nFn0N3ATbD9gbBAmOEMVO/4E/UAs0ab8lL8Nd2x78HseUeQpFc+pyz2EQBupgOg7WUR9WtmnVX
SxFERvU5U9X73OV4KjtsCrJJn4DyX2g5LqZJtON2oJmyT/vUnvVV3ZN3AH2vQYdVkhBQpexH+BZY
w3o33yecTsaVifibKS7ZAaHRinNXmyCv9wTzxiRkUELUH1SLhKARqr8TDN/qXejMGFbK2YkycgY9
yodVU7U27eo5L7tbAPHEN8EMKrQnZwgJ7oC6q2+jyJ3l9cBAjm57fZFPA0h4NPcbholnYT0wJXYi
F9yfv3EEaX8qNc6UybRIxUTlOTDcVDzeMow9cQ1pAlbiZqjHfBt6MoSjCHVtMcasBcxOtAv7tOHE
2El/m6QILjINuck4aldsTdHG7vJpm8pyF3r1wJgGTj06/HvqapJ0mFXlTfSgFBw/avCD8jIcHugt
+oaCrwvrfYWojkQ8nIxl0dwmS0toIjyC9mUyBmXhnfulXPVFSUmIxwWgFxCphjtvNePbWGEwowtg
2IdadxhUOSWROeVQHibh3CR9RGxiYkRry5E3Q6pIoAD6uabvfBjtHHNknF63OlKdUjpn/aAzSaVO
rJv6s81QjuvabRs1VStGwbtBJuWdkku3dWRSEkYdxUATXqvYxhHqHLAo7CHkPRKZcdTyYYnNqt4N
vbgnpMA5gEgGvOVK+IT+3s5JAlS1n6/yeAIqomN1aeIGjJ9G5iakNBREdK0Dp+uarQydxxJwpz1V
4YmxBXA4sirW/bQki5mq3Xu9d5fWfrlN8miv5yWASKFdZqHxAKPKXkE2PSp8vIfSagWd4pYe8lyT
KTnyJ2kGO131aJQ5LEx9xKte3BRNkm3zui2CcmKuQ8zBNvUYoBYlbcTerNqT40NiHSLvYrRIlS4B
zdGLI0BAwwqe+Dyg7kC90NrGvbO4Sfol0Qd9ULRKOhqX/8pO8t/ozM0I9ZfS1uAxT76WqkgeX57U
v/3W76du6zfDXEx2yypso8j/fXdYTt2onHWehsVFaiy67h+nboylBopqzuJL2iYV/e/7g4nckN2B
PUX/FmRr/JNTt/Fme0DP6jAgcdiBTB2ZgvVGak0LCo9Q143wz0CK9kMYs56bKWb0zB36a0ezp2M6
cmje6HrWPrQlec+Z1XAKa3y65y8aFlffjAX/g+bsVYnkpPlf//XW5rq8G6BO7KIuicqeWBoeLzcr
q2B38XG9XGAqMy6iDKEADMmSOm/s23K5f63uwaUdm6yU9Kif6/Q5xWdm8B14vlt89tuWE7cfx91a
5LnxbrYB+uwmxw6/oAQyxm/V06fxf0Zfyj95x2LZPl84JJ7fsQPiAjsGNg3vbdPCStyYawvm2BxJ
yITSNOfvepos5rZ1J+SZPaJMZihu6K1mZCGklma6uUOdPhlrILft53hsmNDjh7LXdC1YWuEE6f3K
VXaGJhKKxVXW+UfJYKdZ4yTx75HsPccDjRsarM6JAXEvd7++DlQfbz4UlQLVCVID7g3z+UO/0Jly
so0GrUK1V7Shf19G6EpWVia4NWA4jlfDqJCYhkb+4dcvu9xrL7/LRatNWiX+Pu5F/rG8rRcvy6oX
WVUTFReFNxsXKCy6i6JhEu6F8f2vX4nH56dXWlTl6HXB+zxPL1++EhvXNNdE1V54lW491kOp8l3Y
ksC0yqp4o9ddDqJKn/BOp6Y9yL+7ad4MJ5cxp9CFLTiiOxCJnoMSXnxQisgkjlCUXLh1Zj/KtCN4
CiFYvrNnyVGI48Rqwj4a74a8Bv5aQ2z8AoeqOQz+RNffMZWOmjYtMw60heScVQlzHXvT9KXS+mqt
a7N0A+KTLbUHiTR33xb6v7zpjZ8vlOcuywZkNwRllHKvL5TudAhj8UycjC6Uj4lqaUjDUW/hL5sT
hLHjECfZU+T51fk41/HWKa0xIfusd7+27jyXwRSDkbbKtP+SIGj93NtV7P5N/rtl/3SRmT1zE9G6
ZG3l6VxcJi++ZUd5ia7i1jyljIZC31tDQ5l3WEBJzW37rgvUWOvXvZzsbkWzy6X9VxDlrKpdvoTv
Iu2UN6hhQXK4+RAB1JDUMk2LQ9muq3fOEuIb1kXITHlJ9oX3kA6E/zUF0FOif+slBDiKGM2yGS/Z
wDgrJUbFNr8RaXQVTQWyMAZM9QXUp7tWLAnDzhI2bCSTYG0AFDZT0nrpOT1/74HEaesYL2HFCG7J
LR70GIY3T1dy0J6TjYcl5NgYYJfApftUNXV72+kaWchg1dxt2NTdgUg4cVfHxpDtQhdr74q4qPCJ
CT+5yklRax/pniBVrBpxyDgzHwzqos9JX1FbE5ic3SbPWc0gN6OjWgKcJ76HnQFM4bIeJAbpQdVb
wxjJfM4JiYyCnsKkDvolFlo2JgHRlX8ZhxqZ0YZRtnu2GjEExRIq7dE2BTmjx2dC+dUt9lMG1H4K
9rpx5PwIs4Y6XSeKEU2zh8R2HPVHscRYN9GSaD2LJd2aACaSrunYlDwcEH+nqCcJWy2h2AThyX3B
j67YgMjMdmgguav0OUvbDQeX+eiSsA3LJAzM59xtRQJ3ZC1Z3AN2/nXCZIYpEHdSuzXbJbl7NF38
ttk85+F1N9StRCeV5FOhPsdhLMT80NBvcQG/+DQJs/KTmGTaAoLu2q6r9Is2A2s7Hv2knne937Xh
QSrK1FUq8vJWdzXzkE4mmK2OaxCCSiG+gMslPVCbYch+2OYZ6nUnG6B5q5wIuktE0Cjw99nkDovy
OffbcwphyPAMwkqjGYKOvXCL7DsNL4klM50oqL0KgrfBKEluizxRPtlrbF7hZlza6gB8lhY7QJTC
CkgSYIgU+91C4szdXG4aUEUZCvmIkao3Q5QIGBxZtGtjRfeGM0XUXDWJJiX5fon3VetACcCDL0W7
S0iF8C7s58ZG8b3NUYxNTdej0Vnd4g0dSSr0sOnnmihymvPbKXfktNebBtugLaY8CdzRnvKdSupE
C7is4j3HXLotJGOgLOR/unaZpzq+iK4tiveplL48mMpv802G5O5m7lrT3EKXEcZZjHgWi5gbi7jd
haqvils2YxPDzyxQP1S8gw1l9XKmM8bZR8Y9VcNJehO3tsajAr3XMLqjwkKUr6PQjBAoLEF5q8Rt
aDAVeITmL3kG6Hbt8QaIeZwYKRwQNoE/TdwMk0GW1eZ6CUZezx2z4pU2qMq/SsMhtQIzqanWZZUC
idPDHEl6FeJncElwqTbGFM/lIU4MYgEz34oJ6ebnVoaPfp/bBxkVEINEm1ftmGgfVTGVNK4TniNx
YdBrnpHn9cjh7yakmd2FU/lTuS4wvJ9AtLElRY2b8Qu+xC+4DRMs2w+zgT4Dva3Mx20zMMc7M9qo
vbNSYT/aYyiJNTC4eVGNjC6td2dOePMdne51btbL2HIINwmi44d8GKgskIn0t43tDE+Vis197xJ7
s/EYlwsyKUP+jp2X6YjurKdnBuLJum440NwZhPksQQ9a4wV0mMll64VMk70aUfscCjdqxGUCVei+
0Ovl5kzTutmhRYibq5Hjqhfo9cC1iYeCN1ZivDbO2MH8e3y13N2SVVKBgVpatW3jh+IqVV2W3QgP
FeYBStbQndqx5Q+E8TRe2ZnmjBvmxrx0Wc4EgY5CtvNOz9zlwy9vfWB94n0tnT/LLvgUXW3zVcVZ
mc2Bn/U8OlUeZcl1oVweedVRFUT8N9ZU0RbxJbZ6JK20x2OSLONBLW1ELa5AUuhdDWhgGd9tpn4x
SPD/ETryiVhARjAM1MltIe9DIhaPXp/AL/dim8TdcYqcx6GAJAA3I51uzHbUm7OIMjc9Qy+epbce
uwXBBLpxUftR/WDpAgV6bMWJOJZe5HdnYVxGPRx3F0D17E7mrhJ8rYHu1tOnDNzT1dg1ermHT9Fn
7wdHRs1eIs36OtGYYQ1JamwanAO8JZhv4iyLJsVHkxPKrRwqAv1ci2VuUkN8kxA1cebLLLXXtqB1
xbJH5w0EvvDvVar10SYXBY/JrIWmf0B3YdRfJAvydITDxrMxLCv2JrU1vtGxn/sNm8zA6F91wsGU
krdYmwgLRiujanhafu/faRNl+nH2W2V8Rh2CIF0ahst4axD8qVEa8RyQxkl+ZMVlAZCY+c52Lvu+
PY3Ap29T3B+wG5o92o7e3s8DXtUg041m3lV5RtO4cEbrHPKFBWK2LmR/Fk1DFTNgQP1yRyXSfNYX
OMGKpZOeRBYjj16RU+7V7AJTfZtHgFo/GEgIPNwtVGDTu6o16c/HdRMqqLVaFh21sBqeQEEy/qBP
52SHxNeN67HRwnmnuhq0WoIQdl5hFknNqxHVOTYIpyLOokbGgLOCHMQxmKhums2APQufhlegaVMA
Elg7mibfGKMJwLwntwo3hgdNcpUxRnPXUzjpTJCqxqnfD+S43qWx4l5jp/Pvuddlc1X4hcECKyqf
nAha8sNq7B6E1w3EUWdZ776zBWjY9WBHrYX2KPf6mzpsfMXmzh29qRKTq8nBYRrPE9JZy3NXVbF5
JUY9dw7hWPp8Lrpj0SlTWjWsgbazZlCNde0pz0Pev/KzaNvEyzR1GHUde4vFcz85Dv46C+DE6fng
8X/aA/wf223nJPGLbjsRdy8bKd9b7fzOH612ztj0RXSDo9u3tsgfrXZkDTbVvk7BCSWL3/reTDGR
lqJugG6FPd2iXfd7L2WxrXMKs/4AeP2TXsqfoaRpBFic6Wj684rO6wNHVtkZ4EsXlPQgI7HTUlgm
xykCouzZ9TOVLigGBDyNFhU3mHqGfu01vXzMLCMcVnFUChJPDYk/3eL5cpu+2NdEX2WuYWHw0GCr
NM/EYPjlCz7YeGYJG/QLqlPxzBguhyiWN73U1UfQhQyx9FnMn/M5zbRNSUywRqszzswPisBtrBaR
Fm1MOMji/0lzMayLN+mhdKR+dfued09PeN3//Nd+tAN1jMT4iOnfOfYzU/iHBEdfWHK0kLhNOVxD
U/3j/jV/Y1YEhNWgifgthfF31bT5G47kBZSAZsYyuen/gWh6iYd82RWBKkc7Swcy5fEXUeK8OTBL
7Kt2qdvtmde0mTwSiMBxJvCJqiaLTe8OWlG6GDOn1kFBwWk+unPnKtbILFPRp565EFjJFqmAODMc
y+/WIQBFIpzG8lM+2qfMabx3BF2k1R3u4v/PNvyv5+XPXpTtf71k3j3C7Cnan+6551/7Y9WEH6ML
AmGhb1k0on9vQYPw5SfhgECkW/CFLxZNYml9C9U/xnUDhdeiFvsh1acDTd/M0QUzTLGgaf7JXbe8
xuu7jtEp78zRQSV68PnfdP3wkccJw/TxGJqN8dVfeAk7z6yA8K5Y+NJAkd5kQdy9tPxkbwnq3sPs
Q2QIFou7RwP7ws00sYHApgNElVBR/fADR06Es51m5c1eCwclNkXtd2i7HMXEJea0Fh78iQYFZjNO
HcRuCDx1/8pe/99oHmL4wmNR+Ovb8bzs0Io+Fq/mId9/6/vd6Hm/cRcCL2KG/m0R/ONuBH+4zDWw
k3zjtHOj/tjDASDCLiSIluhLGtML+uD77Sj4g0DTdcgNKJFpHP+jgQhokNe3owFpk7XUINGR4TzV
wetNPOGs0ZWJAc2sCF1vnaaacaPH9Xzi4FRtyzolm80m4uWp0VwCDgkePEyyIAlFJdANlOgDN3eN
cwS5xS6z5p6+n5GTf+Bl2h2SYZr4MQC2Tam3yIDjdLw0Cq37kiphwNyLyGJgRLyppJcE7OXhCfUQ
GrZCuP1a1aYKjEhXA9Em2ryHDOaQG8vs5sUlu/p5CrOUKS/a8CwTlDBMgvga+E4pnV5/A+nkMZgA
ynYgo2e8cii3dxEZfIFo2+Vz8b5//XpvF4Dl9WgyIpxgugpNf+njvujTCg2dZ5Rl1WHQmHWPUf4U
zUMfJCHfwa9faVlK3nwyGK4M1uDFAPB/W6DNnWPMhGnmhyGsGwjRKcbPydZYbsLkthe5tZvojt38
+kX/5OPRISeQ2eFm8vQlyuTlx0t1tO6yQEiBXAkfjLZgEhrWVnvdjfaPffAve/N/9mo2JBJoJN4C
jH3zZUa+NySFTHN6S4OdnQol5+3oKGO47HL/7tefzHgzx1julKXmpmChusa29ebF0E7l6Md1mMzx
mJuBGYdNvq6JEif/1cDgPsXjZac643xosn4PC6StGFo5zbeF9h98Zhs+0DIzXEQuLCqvv2GIKO4k
OzM91F2GLA3oOPrGKAzvfAez+9+82M/3kE2JhGOMIgm38duB36IVMFvlpNiH5/m69FSzbjWeYEyw
Wcx8ILFTen9+5v3N6/58YW2doQuEJKx1rrNECb+8jbIoHZLIqdJDMdQ9HQGu5mB2w4CnBIz2ry/s
m9diWMLfZ2pCMcoqSOn5+rWsRBuMPiaaMjHqaE0yFMTHSlfT0p4w3/36tZa/9eKZfH4tm5KT+tbV
ceu9uXjkpzia0riH5mkeiCBDmXHME5M0sl+/zpvi9tvrgE/2OZ0tt6t4/Zk6J28U4s3kEOpkeK/H
gRn3ypoK2gG9ad/GSUIu1ajakrGIItdrQ4ZO/O30/5c36pt7Z3kPBqNfayEFCeqnNwr3fjIyLB0t
76FvonVl0KxbRUiFTrDi5ZE5KzNgx5z+Zj1//grffMWCJchB4U8hh5Hx9UfvIwfcROgmBxIMzPcq
deSRc8Z0UaVFvFNmha2w1Uq49WhFmMuFQzf1h8Epxs+QB2r1qep9eczCItzTRZJHAlP5x5xq17++
Qn/2PkkOXLiGVAfQkt58PVBHw2F2NW2/lKVP09RZKujr3OcS5c7g7PH9V+5qSjUXiA7elJPeMwgg
IC8MSSEurTO84uFhTDzzwtecxt2irSpTrN2+2+9+/V5/vmtxv3Iq40xGRUIt/PorpSvXlsyfkoP0
dRJIMxztWVA0Tbv59ev8/CQiAeGSAf1G70Hz4/XrJJrgS0F3dkBIhRA5mVE+kBRvn+WNZd/++rXe
Lufcnh78Po++ChIW2C5vPtTkNXZjjSnLeUkqQ+SF/VrPEeDnPCpbiEQQV8dhOjO60X3QZBHtxtJu
/+aL5ci5PImvb1dvsQLrnIG50M8nj5crXa4qTfBkhHu3G9R0cLHrwh/2R5Oc0q6arzWgmU92HCbo
ujqQDyBxUzKYgOICd5K6fdaQa3v0u266QnMnOsRqaQXgN2/BiIiMiOo8bsJjnNSClDsz/NqPXX7v
Tfl8mnM1Diu/Vs6tW4/ZUUjPPuuVzoLbEON0YxN2fevElb5vOWudx+gIurVeJdod1Nn5emL00xH9
G/eXEhzMY07/82nWKOMaxNTzyh+L8Kv0NLs6FrIGJ4xiOdzPjWE1W5ylHRkVrlpqBILXMQvWwnqM
AXl8QlJjvhtMs6qxW/ZSCxoYLF/zviVeWjLPjjeNl8YnrAzyaNksLYbqk6cuZvEum8j+GpUcysms
pWwMilD3omBIfOITIBRZu8HSKYYKd2w+ey4ukyKt3Qfkg8q7KY2U+42nP8q2Wenz8vB2CHwUzIRW
EBjch9kK7fWY+dHJXX63sUvexmSbgCuSocFXk+TanV+a04l9Jr+vl8TJ5683dIZ2I4pYv65MelLH
cnbz+BAakWMeBQSdUwZ0odsQj5hWG0S3rFadMZ2pdmaFYginfSzKjDuy1EeD6NDcmPddUvHdTba3
OAF0Pb5DdGC97xjcYlKLwIYvzI2CPGz+DgKF+ITXM1o3tZs8KeIVUdArRWiFz2SCUTBxdrdkhpnv
vKJHlK0JvltpiuSJvrXYGgjaH1O7ZtLJQ5OrBU45X9uMfNugzRRn0b4eL5PJ6uM1ENfkY45N/DAy
ObsnYQYMkLnch3IhonldOmBbjL02Wc+jQQFjyHLeFj3CeNIn2vkUDVhYVyFHr2nVMhK9lrZGMvRC
yFl3cQOSJOUDMJwgwRuECjfYRm/i6jFmOLwHucPda9OQv1IhvZh9F3NiIFNZu3PijC9Mj6zphC44
PWYktfuzli2BHONlqeX1FmCQAR5tLjdMFOxg0nDTR22cHHRPkYkDoI3wsxxIt8CMYCCJPHaMofd0
qnBbt+6mtLrssXaK7IQvKAsgU7iXmFZ2WTJXAeKJEe5Eaj4ARmZsScy2Xk5EX2d4PHRtnAPBmS8w
MLRumcMRWa6KPAv4VsW9n/SXScRwJzX8Lf5gczt0cXn0eUhWsdbhTpED9GzJx8ozBK9xluUAVvBO
iwY3T2tbD8ptzFMkk0s1wj7qe5Pw7snDkIA0aYsl6J0TOlBomkqc5TZp5l1mB1ULsTrzJRHaswHv
YtbJma/gXSd+fNPE05NficcKL+cm1aTJHMEqVmLuxUHTvQ+1AxV6hW4zDyaCYbiilfgoTevI/MYA
rgdr3cG9Q+7tXd8TLs0M80NbwQyJrWk8xrlkAbaWGkmK6cJJTPPUzk19bSR5c9R6G4b77JxnTN68
CjcxdC4fRnyN0edLrWf4oI0Sl2sR9iEwLeI1j0ZplcYKQYZ73tk5b6jMkYUhWRPzOxsHyHYc8rDb
tGD6z1rDqJEN2BZzEof1InP1/83eeSw3jq5p+lYqeg8FvFl0Rww9JVE2U26DoBy897j6fkBKWRIz
s/pUUSeGM9FYHJOkQPDnbz7zmvB7DkHjeyWLzTVQN+KHpBjwBAj4d6vAAP6CKosxUwMYpH7k5cs2
1Nulm1kRH0oUvcod8crUmubKaLpuqvRVNR3On8EqKa3dsZdm0UUBYGhssNLCpSogXDuSAxSq8o5Y
JDBbzkJA4GNkQD22Iix50IzhRDAcC8t1uN6zivk3wUownlm9qM6rpoZtBVwqOofUdmOEfQZmxqvP
1KxHnQ0zVcwIYZ+Da9Z8OToR0iKYIbWvXYho6Mx0o3JuS99pTpQKVK1nIwnaVCLsVrOxHhS/LeyR
FqNeNK7ZJ5exlbvHSkbcPpIbZIj6OmJi+sQOpAihcBnSNp1GHZoSianNxKis7yssJ19LtQ26kR5L
8jdUBYzbtuktWskaOIeuatpBb5F4LG4BbPe9BTM+01HUK7qxkiTpWCgzA4ZjYy2sls4xiOwqf0ll
uGZp43fHGYAoI1LFlWXniMKplnQKtzkmhIkNRCFC6zJEOgHqn2IrJP++q1KmyKVvgidQfQCFdsyP
al23GmJVHMJhOYqFWn3C9qa4pP5G1SCL8a1OMnli6kwB3Y9TMCSONm8M5O10s6xpIHrq96Arkgun
LBSY0pK/tP1MXjGC3kRBiSerbWleaxoT24pBOSvi2I4s+cLJQm2hZYZyajkOnkMp3rG2huFWZDYJ
PKo+nYV9Ya6rQTWIjQb4UdF4ytgsk9wbBbZmzt0aZvkobiTspAobxR6xVc4q/OvPxR6fJRRPwG2n
heDH0y4QMLLy/DrEAjM27rVAp4iTZM5JCzUxwV9IDZedYHUvJen4KXJS1WWpCi3qwogtFPSDY850
1YI2AWheOyNjT+dBhFifXUvJcUgpndVVpiuwZeFFqmvluVm07ULJCtcaY0y1iNo+X9JvFUa1ZJsn
CeJrK7+Kzbnq1NFjEGeGDtHaym5VR8tmuu4Hr5YWofqZGmmyRNWQWpIf5jdGkT5E3HqaZwkuu5bW
y+G4sPt6LaZgGdgECmHppBWxLP6X5ThzYw3z9746kezOG7wspvzi3jSI5KdGsNKJV6X2xjKpwNrZ
6aAuVMkjyvr1cd/6+GdZnIGZqyASgSDuBN5SeSGJdfEIXpc9Ows5NdgEAO+W41odYJDfgXDFRvEE
kAd6uajGrfvqCl02Lj0MRFjYZUyaVAqvme7GqxYDpzNoHtV35AzrRzX3zHunssBHxLEFx6UVeyQe
RhoYFSMaUxGJF4Kudsey7CM1Gun1LZRE70wMomwimDUkRR8P9pGHP/KYKMo56+TOmMAQpqohZzYa
a2Gr8FRlu1CRy1ipjRdOgGBxZiRy10XjsKr0AcWTuPDX/Kxd0NIrj6U8SqtJqaLnwrHVO9em4svd
GH1LLKgsAG9IHRElBXZosfsUvfANuwNxZgUJvxuHwlwR0/I4hf/4lJIbkWFAxovxjHvNQDc+2PIw
lakoiSvXSGUATJTHF7qo2Dcd0jxrQU6FV1mvmlMbzZhvGjiksZRw21Ztre9S7OHLUmn5A+xqj3BS
xLC18L4TGNvT0tZFsCnZla7cOPClkV9ke7VDm0kV3YhaLI5EU7gy6jYYAULtQXyYM7XHBDePEZ1U
AzGilT9glgfrNSmmim+SY8NwVpOx1XqPQSjjWiCQJyNnWiYclSh2tCD+Kr15oapvzYde6zjLZWsW
gBoeB7Bu5QIzGMmrpVGkVTMAKM5Yw04SbRams+i30kmnRfOql9b4JehouFbmXO4ghEcRUDG19Nrr
TJdhDVams/Lj+lVIRQVD7Cge6XUtH0OFFiFOu+2xl3ch9FXKA3Jbd6znvJqnbik+BiU8CnJ8Th0C
oWO1StRpAYwPvEpZnIpl658G+MsEOhRyhYBrTFKtT8qmPW9oa4OdaXXc/DJ3LEY1XJMsnYSVidoP
oeBFKxUipjl+OjPL4qXMBXzChKSfS7qHWFFmPeSdEM2gwegnZUrtoHfEJbAMpHuFtaer+MS5MF0r
6yyOiuNIyO6bqD+vAvu4TPTvaY7KSpFQMMJr5oQ+yKufOTfQD64MOZ6nRNNgpMK1JXoNkpoUKWmk
PNKSxEk+B89mCZL2HXIKmquJjNCMRGAlOGzyroxtfV5OsDiY+VV60rpGM6oc/SmqLaQBI6raI00g
I3Caqrrtlf4JdOFSh9A+y4zQg91ldc6tCPC7h09tBsdqntajrsN8I/GUudRP68y7a2u8ZqoSQ/ns
u2jW1bfMzMC5FN61oTjuwkCdjuZ2Xd0Jcm5OWzjui5oc5rSqcmTNWn9Y5p2I36Nn3OmFGs/x7NXN
SQGQaullOuXRxh/SCQMBpXnSSITQXh6ooGr0/hRVSiGfuSjgQEq1nsFZIjoIQJ6CDupEhSnO5Vpu
lJPSjIoCFRi3bi9C4DvcT84CH9jDgGzpfMkul05UMqONJkjzEVVN1S9HIqLOMwkSN86MxEMLQ0Gc
6aysSkTnCiHx0ZuyKJrqRUPKGVgYB1eyfW/i+/Fa2DoLkE+lxaDZJomIbJJITWQzIS1ymPbVJGF7
oc409DS6pLLvK4cEwRYycoxE1k58r0c7gTPuxszsbiWoGlmyZwjTsst08cwXNK+elnTcLqPKYFtq
Cl8Zx9KQnUheW7/4vdyc+3qHxpsU9DMJO85jN2jsewcrFm3iqIZ0JRVaOdXRykOmqq/FR/iuurYq
3XpIea0y6caulhYoTteEDqGgi3OoaPmS2J5bC3osTN2EBH2idU4/g0ZAftXo5YMOC3fi5YR/I9VN
L7S8Hwco+gCyg9jYc+Qv5aDgIC0U+1hxNYoCBUm+WRnUCIZOzebz6lQVpl2i50tbV+jZBEjzgSOJ
7jZvscxIvhJ10v7EwMTQ0LR+gcheui4iVLPHbS5TJTCV5rzpCXsEkk16PX2sX1sBgwk5QxuJbpnN
NoXiNETfRm4Tc1IF1I3DyIPM7HmuNRcsHjFym+AYHeB4rkdacZt4JV8AIAdeQG7bXxYUXi40L5Tu
okrkV48DkWeGjLHMtbi9CFri3V5wxUUfVP2qTbsOt0aY7UsV0e9vqUbaB9k+TfDV8rM5oRq5fVWF
BsitwG4CVGioilC8ZDOogGXaIjLD0H20bBnYYhQx/0VEeKzESdcU/zywjT4VRbM/AeFcyCMJxDEl
GXSQkE9D/WJWBk2jnkJfE880gOknid/TIes1ild2Hxxv5p2AfdWs9vkFlB5pYwSw+0u3LFD9qlth
eD43tV+FmOraSCDNugyrYUzCii4bLkOX/FbtWWLUDBtFyrEqpf1KjoHxJ0MprqjifmUg7nveQxed
JInXz3Qsz1elKnJvqx5uGPr6tSNbAgretYm3Z0I9f1AJaKF+30UifxLEar4EzsurScloSXrLhMUu
sFvV3Gja9bmlTbJGEO9cSVP9SVAG1twrmPeuQHgtGdRZUTck4ZcE2X7tJZWikj9YYvbcFLmoZE0p
MUYBMZbr7yWab6eW1NjHtWsna9sVWwSKXZaO4LKE8V6mN9mU9rGdSsk6MIpyaWUoQY26og7FepSH
tnRFcsA3xOeU8pftOAERsN3Ec8CE8il5S35bWsPwRmIYHFcJw1Qj3nDVDMpBmwUrFwGSELidrxFF
5aNBcdbHIeaYy5KSK5LVplCsezSXHJGKXJnxd1buBcD3zcdKK+qxK3mkHmX6FKPUN8ah1ZwXdW4f
iyW/Tolk3m3WsgLtqrOoWMTWvMzrEr6T3q0USuCrNKrt+xzQIOh+vAlPQkeWztFQsY+hbPLkJZmP
NkGow5qLikbxg7aoOUFSG2pESmlOSzVKChpysePALMkJG6tilhi9+Di4Yq9pRQroLrspazrJNRiv
ZKezSmR/tFRGClCngIyDbb8aNpjHES51zMEcGOsYCQL72HPkAeesdD005sqcGMA8vbGJ+MmLqZMn
g/SS2rsi8dqHtjbpQhUE5Dml1NSZuoQVnIyIsJ5igxNj9VlW34CDmc9prdqvXtJax7WGtjKafpxM
qtdks04zEEMALYmkvJXZ9z4ItHhU5KgnT4yEAvckTL2k25af/xeuiE/ay3/+x/o58jD4Lcrceyo/
YWgGdtOH6vlkXa7f0GBn64i/PFnHxbr4xZ+8Y24QVIJvaGhguuhuywPW6iPSi+Y6MwxI14C7+YFy
UKm4v4NssI7AU0JCB4mmFbCdv4VqkNSdpj5ZKzkyeB260PSAfmpYsCuboe+0+kkkszzGsm5ICO1J
TddgNEx1ugRqjbZZRTISKYl9lsSdpI1RNBM4BfoSwMR1mGRD+6egRZUjX9dTJbQXpl1J+rhSag2u
MTj79CxwVTpwMzDvkdqclWLgIUnZyQalQhXCYunMSqIV/bRWs+IpcBoyZuiRJEIClDCXglFIaxLf
AorX1L66a8Hse1hPFB2pGFoSaP6RbMl+P0ckthBP41YKtbGPwI8AcrvwikWYmVV24WMpf51ntnXP
ma/g0wwDShrnee2nJxQUIW5g1HBHL0FN+IhO76etFcreHCl9xFOUDnSxknjmeZDF+n1mGM1EsJLm
watV/6LXoFQlFXsTB3xejvxabmFfK65AoyIRyPH7KFz6Veg+6IWW3cmFIicjKfGsp8QyQcN1Z6aY
QxqrA8Rz+A97VVe6cu5pnrigPSZNgWJb41YRI96jWNllxRHSjMWuE0kl0HIaoUtuRaOkgggeqrbe
jRpJq+mQ9dFFJVXFTQt4ZCljjDnH6KO7tAq5o5TiZ7RLPNIsNIIFb+GGvvfMfNAu/YD657ROoKu7
EeWFVtPzBfJStO7tMv7mojMEsruCMovq87huiVXHqlnKK1WrId4ktKNGeiYr54k65Aoco+gsU+eo
Pak/CUsNhWWPWtxUkuNqKrg1xA3BbmdKo/SLUPVbKIF21j8IXUTuQ89gnkGMWqqu3D+JEQISbiGl
1z0ml2eVkCWnCebP0Zx0sztvq16vB+HIWi0H39L3/8YegOL7CtmYlBaWJ6LgnKEbYalxfuyTbDTx
cWQXTZhMDAh4vjXD9OPKFCSzoQLahEXTT0GiSeLTZpv43x31Fzsqjb0dBK0y8Mt/Dx8bvbTr/Nd/
9L6vmkfo2FmKhojdu1LdnwhwJFM0Gsc0Bd7Ate9yK+C8dXCPIuwMSgU8wzt2zOJ2qoqOsfT28t+C
Mm6AER9al5LIh4syRH+a1zpWUTsdVJsqPPreWowbiZtIyzRu5WuUIwrnRChs2DbocoaaORFtmmIW
hEI1htanStGS0DocZ5Fz2qvufYtiFIX7SJ2iVo8EmPLdRkYbUENCLINAit6L00oIv5WC862q3Lnv
G6tMjWdwcNDgVU9sLTmvK7kfGSYUuEp4KFRwlKnWI06bylQS3VOEyghkkujBCvxpQw47wjT61QjV
E4wETLolxpUQ6M9+bdqjJjEG4/icTlZOtTXXzlTUXWEJJaiURU+1Q43FEW5yyXJnyDctNDV4rgYZ
CyEy0fOo44nhmS8J4uly4986bnMjls00UNNXGyDNhN8mGaWK9ODW4cLpvPtEK+Zg4R8NN7il8YFA
hguZM2y/FbVRUYZElaSpG5ghhoCmPJ0pMaY6UhVEurqjIMHXwnxtwlGvm1dSPMTfhL961p0HeraI
jfQ+MyUkAqtEGjuWfiYpTQoGJFdnIf3BSeP06knQCPRh6BbM6y41xlgNYC4StXPJLoi/HCinYVtf
OHnajmER4gbQOIjf+N5LiMrTSObsxH8+wTypp+Tjh+j2175yUrV5M60MB2Pkwj+uvKafO6qGo4cv
3rSm2I3jWINJaGu3UI8vLDVURooqXpWt0YwlMbEBh2AyWrSVSrXSuSq7fKzkkTZ3FaRQ+O4izd3q
XPDgqqkyiXWBGB3ZxNQpypmsYJgbe3Osc6lIu0Tq2KyIhXMB/j/Fm6a8K4p2bff5AjW7eZTqKMfE
3sLLEd2ys7Floztf6Pd0aeVlLUsXmtBc6PQqw+C1tCLKhfUyxd2M9kfFjA+YtnC4KKqFl64qYg1c
3gWFP0sDG23aOg9ohdvPlkO9FrscKIACiC3egz7LpZyZF7YWPlZOBr+9VGiKZVPajdQqMa+wW6Wg
V4HGg6KeI9J9LHe+gWhMwmnWYo4BPXiJVD49JF1mUVQzT5Uek9j/7vv+tZq3Cf4ptD/N5h71RwqT
Yb2G5NsiZmesRd94KiUhHDdxfoUuF6lQhc0BLlM1zseTBpFZCJ3lSaaiDVOjVscZJ99ZOg5aZh59
d7pg0UpmN+dghL9X42qj2Bi55WW0TJxKu9dKmGUTMepq1m+exhzzWGlEt1Jgiss0bIzwmyM18DYi
M1W6x9D24td/y+nz/xAk2ZIUNtnfHynv0f0fyesf0OGr6PGzWMv2799OF4OgG4gxtpe0psC9y5wU
b6eLYXBSGIT0Ivxh9AREAux3bLI5QOU5jlC83xA7eOk9igebTOg9nFU6RxZx9985XwDW7yBjQI+K
qgL6kKwBjbCd46WTYkxZulZcBARMkfMaOsJ5S07uD7TwJl7AKTouRHtq2dWdFAiIEhX/E4puABx9
OOE4XUU+Gni2wnfG1XkHkJRg0pia5oAryDvxzFbvOkQeihp772jmBKS1Yok6u5WiXamG9iqlEjc3
ZDWeNvI9rsXj3p3EKYg3SknUd81ZSY86NaCXughUEkyOpNSfQOZ0R2L6pLYRb3JHVYwzd/DgF/J0
+J8dLi2q130v+oQybgGfatpp1kLFRoZGUaCfZmIdd6NeLPEcEnAwA00QIFegxDedSRLPnFi0CD1F
rGxA0CdOhQKA5/eXyNCnIzM0MbYWVhr62yOlVIppEZyqQnUZYok+bWOauYJVXurWvaQI08Ix1n3B
E0Q+e76ujAHljinVU/Vzp5yCkxpjHpjDV61gow3V5FPI9lN6fg8VBfO5F1YXTmGc+FL82DvVuERV
mWp0ONd7HqMpkXJS4vgpalVxHvhY43Ri8xQPliR6VZzGsK9HoZiOU73gw/qZFyjnTgQa6t+ybfx/
y1r8y1LAAgqO97kUIIJbY5kSya6L8j//Q7BU9hUQfBvX3E+0L0vDIRInDVgPIlkre8+f24p4hDU0
8SxSONDCkFr4sa3AWwR4zT6EBy8AfQUI3d/gfakSFYePi1qCTTnoU0mKxM3Qw+GTPiLu7MRv4iqX
9GUAFmjsV/oZfd5kVsBlpKwkoiNOL5WK/RNAgQBtu/C6c/OHThFfNV9a6U08gU4+z3v1znWds8h2
7kTLnnmt/i0yCMTKmiJZa576RvukYDSXrqIEU5rKuTc7a9210Z1hC8ZIsmiqWbHzlLViPNWCwBiH
jh1Mq7D+bob2c+M2YPk0Ae3yzGfxVgQ94DmmISXrVVZp0opS6UQwEmME2AwXe3y+vhs2Mkqh1ryA
2nYubGRg0foHBoxnnSqV4GAMFDp8EDmxYDwbZXSWlhpWAAqu7TUy6WltspEV1mkAbH/sIiGNp3Cw
LCubUCCkO60iyT9y8gw6Oip651aVJrhEoHMn6e60Dwi7jWAAJ7oBXCWBgiSeb1mmHWuFdi0hBmtH
wUxCeXiIV+B9Z9PAbh+TKlx5GXWXpJ7WVXcqm9HdAKaQBWdehOFYygEvdAZirUGJ7g8mCRA8cw8A
RN0jetwuKmRKEtl/VtBGbYhikyifOHWwALdOjTVhF5P9KcxCGFbYM8VmPqHSg86Bd9bFCBPQAxyl
rjapzfzRVOOl4pXaNYgKfYG1SD4HsoPYKgBOZO+TiYX13DjMk9O0DcNpqjneWZMk6jgujRclwKQI
jGNxYscYTFo2JpCxGJ/7SDsNOtSz1OgMkFtGce7p2U3lKy8y4hzTPEgl+7lrcc5CVl8VL3LRfizN
WDvJnYzqN5G/KUU3SeLCr0/am9zrXjwP8jmq0fOsiUleam9OaxZRgkZc4elxq8k9jHZZWHCG4upE
BqAE6Oep9ZUY4yaptRVtSjlGTaWubj3IO6jnTPzGF0YJ0uDDdKtHKODeVLV7MQhA0wSsCYvdU1EL
HiLD/550vT5pLWtppEU1i7P2kpqxz6+e6JMsqmjvIz9BQDz16/S4zz3qNIVOkE4MXOvGJX21MWUx
IKcKbSMP4JkQIgxr68Wc/sK4CpTHNO9jenr+2tLrBchkf8zSe8l841KJigetkINpnicnhWReiZZ7
nSolAoQ481liNSBEUchVy47KS6w2ZGyKgahaixYOLQlXudcZkcqV50HijAu5f5Bt8DWSFp16qedP
Uc2gJdKJY/pklzprsIrT607Q4TFZwOaRBsgkf+FFgnNclBS2IlQ4qdQ8capz/Bm5M7ZUbHLSLEWq
ub9DEKefG7VCztvLc7P3L/0u6GZirU9R8V4kVcCCDp8Bhd56g8Jop+jILhcFHeMKJ1ShmMeyspSw
4BsVQTmr+vBRTurTOO0XHSAuWKjRa1CZL6nN7xfRIqOBr34zcQhRDX3m+OkxHZRnj+a7FMAKNAwB
k5qqoV1brVI9nsJFwBfCeRCSctXQP1fBn5ZueZF1BV8nzOeooeBCXinrSErPs76g7QmqtjRKMn8P
SFA8wRYLceoqHAc1Dgu+Hp6kHiFZZ4ivuetx0gvGaeoNfhgRikYOrX7f0OrbKsM4pE4vcYVehsjU
YOLrtM4kL0JbvJAlR6iXkkq6VyL7WpyEgCa6QAkntiMW5aVC/fXJ9ipXuNFRwDulDoo4fqIic4AU
FNPXaFY9AmsEWUE3LZq4JGMMwe353U3Ekhk3gqtOwtBclDV7Mcwz4AQIp4xMIcbfLEuiRdl4JdM+
z/Bki+qJLGX6AnOVdpmV6SLz5VmTOOdJGq7Y7KeaFALGEO9qP3oKTec8zWuMUDDUGfm+QxtbpE2q
Jt9sUDWwTBeS2C/A6t26XnKmqwKLklQQsYvnolUu88xY5R3ylVVjQpZPpAez9x5aqhGuaN0VZTxN
RZMmYfGoRd3c9upTSKwjsdWuBbeZd14zQ+btOM91PAoR3qzrpWM1wEjUM0uSzuwaLx8TiHAkXiJ+
foO44QzB6Ev6ezO9iK6CCgtF0HP/lrjq35COvdUrh77GNC69srusXvLu6qWosFd+jyWGVzdSjd+S
f/amv77RW3HwXyocoky5k+VtHmzz1H95n3DNt6ueadkQNA38BnI3oqnhIj4LE6Tmty8LcKFhl9Kt
oRa4uci+yCs/jNTvxuKvv+Z2UP/6PX/5FXZrqBq0ok8J798eChQxDGxdCfnITDfXzlCYR/DbIOJq
ZHnDRUZ7iENBMrz3UEi41WFgAhd5+1UJwD/NCvWIWrIIKZjMd7i2g39ws0L7qV/592cFWYphQY6j
O7i5SBM+DgX6EEekImT42tu0OcxZQeC+96wg9xqSL0i7v54VxhHcLzQLhrxtuBiqQ1wg6L3vOxRs
m+ZAGiQb2H7VX2yb7BImjZXt6wc6FLD59x0KpJcNDaMjCc2MzcUJ8XGBcILQ0GdxDG6ThzgdNg6e
ex8d+rAwFLppvxwD/UgxgDZI1Do214HulwjmfMF0kEFxaIbyNh129kuLUxTVFRVq84+hOshZMQhZ
7TkrJNxbZUuhkruzJNQjA5kYEymJ7Rhs96ODOz4lef+gCjX3YR+kjre9KI1/3B1MmUhi4O8jcbG5
DjWo0vY+MxTlCF70gG/aGYOhEEqMbbBJbsdguycf3HSAob/3kpCPUIeQRbip26+6uzsYWMAYuops
14/XD3J3+Ml18G8HljJFbhEFMw3Vr+31eWVwbqqoniH687YytoN/cLOCY/8LZgVKDGgUoke4uX6e
FbT1EMEaWPGHOB00fe/dAcEmci1Uod5n/s9hFJ4YHKwEEpvrQIdCHaTK9jw3ZUIEgnRjkNj/eFjQ
FzL5/hodnu2KOdDDgh3uC8ZAtVREEd+nw+6SIISgC4sLxYGOAWIk+47BIEQ6CD+yLfx6hxxgb4hx
oQGyff1AwyjF4sDfc0lIRybzAW1M8ZdDQeeODIMuOo4Om886vGNCpoa05yCgvohkI83YtyxqN47S
j/C70IGpvFWtDnNpaJK1f2qxKcWguDUkbB+3SFM5QnqMsxJvpc11qNPB2H8MlAGXxGnwHjbv1mDw
GYQrSO36sLcH9QuKlMqRjosCMl7bH32ovH2cFZZOPRfIKDTx7Ru2g39omwQp0P6xJOAyE+yHxn65
uXY3CZVyFJk3wODtdaALRMU4fM/9cujtGGiWWaiqba7dBaIBANcUVNDe9ooDzTDQUPyCoeD3RlDP
+kUpBoUvRuCtQHGgMQTtuX3HgPoDEEUVFsBb7v3zdBj02eEDvO2XB1qG4CH3HgrpiKDSMIiwf7ky
yLiPSGSUYcfcfNah7ZRslNvFulVZ/NGT/jutXwr30N8GnN1vehg6MSeJlvze5DvUpaHsHV7L+hHL
X9HMIXn9dHCSYiCtjNjnW8Z5qNNhwEHuGV3Tx7QAaPJtf3lwDinG0NlT0SJ+P034xINbGdqAvt5z
KDQKEJRZTFbH5toJp4ae7yDyPuQhB7o9DDjb/QZhyL6HzUEZihmf1oR2BMgWaOwgmXqAMwB28f4H
BF8ebViDVO03+TZTRAIBAUbiIAfBgEu97wwYDoiNvDKx6Oba3RyZCNQkIQqih7O5DnMoCHf2Hgpp
WAwgwsVfx06ghqjWAxwC4H7ImyNCJV8wFCJlSclQd6cDDQuCKoBDb+WXQ82srL33RmXrVyMzDjt7
I4Qo1gRHw5/7xgFukVQK9y+/iPhSyNTaoPS+r/5PxwQsYogT0H4PdB7Qmt97LdDDQ4kCfatf5xEm
ITR2A0gdvYWPB3pYQKbZeygUDkSgkVSztjHTbnY5rAxcxTA52b5+mMEDjen9Z4XCRshZwUBsFwa/
+qeVASYCvINCf2s7FNvBP7RIesB37j0rLPy7+LLmhxDh41AMBFKgYQBItyPxBl09tKHAEf0rFgj5
Jbr45lulaWdWbJIKiG2ULbfTYntKHdxQEBLuOytILSisqNjNvBVhd/cKjeqLBGyK4dhch7ptmtuj
bb8iDIovQ0P7rejG7vNxgVC5NyxIiJL8FngeaBGGpGvvWQH2xyKwJGbY/uq7Q0F8SfWB3eLt9cNs
YhjUDfcdigEqBuqcaPrtMOWOO7MCvC1h5gCb2VybTzy4vUL7ElaGDELK4BT5XVxBNAskhNr+5jrQ
aBNDwb1nxWCGifQ4egvbr7pzgrBXqMNQ/ej9HmZcMXAl9h4KuDqYLAKg4zt+Whka3o3SULs/aAwA
iPn9T1FsKgkyocf/hrpF+2/YIEBj/5guB5mLvkGY9jlF2S+ZDNAxmFmfpoN+RCAuK4N57OY60OPz
Zwmwv48nRf5A1uDnvOVXPzH5TCpU5CWkq9uN9P/WUDwlVVwOtErHS+KPumZkh//avrBzhz/ZjMow
5QEOsv6333H33CQdkQjClSHKHq6/kYT+C4frD47o2PXC5w071HtBaPxnEunv3vBOiPz59Tcy5PIZ
zibj9OmNA1l0+9lbVuTw///rk4znpk3z4cX3ts3mc97+/O0L/vzRnz7r/Vu9/+PCe8nX+ZPbbV7o
3h5zqwf6f8L14zpaf/yNOcT5Tf58kp/kRn80Lf6HGxfBzn0H6Mje9829Ptn1aR3U+fa/cfCzNqql
kffse+fxOvRekzz+LOCkbTpTe987CZN8/Zy8P+Uw+QCUsMfuf+c4fnkqvaeqfL/Z5uYwLd///y8Y
0B92h7+aHZOXcN2s85f3Ow13BhP0BYP9L+pmbbjj//z5Z4y69/x5ekubSGffYYcznzufZ4oEIoxd
cN87Lxhxz3u/zzDiw0HzBTNl+bx2P01AmOpDXWrfB16GoRcnOxJFONF+wfxbxs8/uT1D+iFS3fuh
k+bztIAhQr6z721/r9u850w+4cmqp6B7f8TNvACg+wVb9V+aau/52Ku1F3/aPfAn/YrjZbXGH2Ud
P38cDpgOX/ETrtZFsX5yKwxQyuLz/VFPev+Hf74noWLmes76c7wG+v4LVvjK4ywokvLTzIYhOgj9
7TuzV16BuHXhpemnvYlOxQCc/oq7J1W+e+svefAkLncc4weLbmv/hz57eczXO9ETuhaDxtq+43H2
Uq8/n1sytK0vCJ/OXpo/FusoLVzv87HO/QfT+/0fvPnj+CUvXrr3ew07lawgd/D+D/986QwPv3pp
vadPxxg3H2oXX/Hk9xjPvt/p7bkHeuLet07y0v1jvM5RJf4cE9PylL7sAyZrfLs+r31o9F8Qkpyj
iPQ+CpthgS/1BQfPeRASkXzOamREP79gkz3PX5zdlBhz7Pcv8c+n4MVLHBcdqr07aQIABvkLnvvK
TZ5f/lgWP51tKDF+wQ95nWBh9cuJqHBKfMFPuv2AnyficPsviAe/MfovRfHyKaSA0DoI6e67SL8h
Dv/pvFd46C+47/dy7b4/3bB4FBr3X3DW37zkESfbpztzFH/BRnjjkdnsTG/gJ18x/27XnDuxU35e
mqCFBz78vj/g7UtR/vHLh0dL5Asm361XPCVx4X2K3BAzGsCbez97l2AV47zfaDNPdMSQ3v/hdxvW
rypNP5DEP9ef3rXCfvVnn4trwzuewpd1/l//DQAA//8=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California</a:t>
            </a: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- Distribution of Office Supply Store Visits by Counites</a:t>
            </a:r>
          </a:p>
        </cx:rich>
      </cx:tx>
    </cx:title>
    <cx:plotArea>
      <cx:plotAreaRegion>
        <cx:series layoutId="regionMap" uniqueId="{F9F15F5C-D1ED-4444-B123-B018ECFB791D}">
          <cx:dataId val="0"/>
          <cx:layoutPr>
            <cx:geography cultureLanguage="en-GB" cultureRegion="IN" attribution="Powered by Bing">
              <cx:geoCache provider="{E9337A44-BEBE-4D9F-B70C-5C5E7DAFC167}">
                <cx:binary>7H3ZbuNI0u6rFOr6pzszmetgeoBJUpLlfSlXueqGkDfuTDK58+lPqLaxZZd/+cDGOQZG3UC3tYSS
jC8jvlgy9M/r4R/X2e3KfhjyrKj/cT38/TFqmvIff/1VX0e3+areyeNra2pz1+xcm/wvc3cXX9/+
dWNXfVyEfxGE6V/X0co2t8PHf/0TpIW35sBcr5rYFKftrR3Pbus2a+pnXnvypQ+rmzwu/LhubHzd
kL8//jtf3Rj7wTNt0YwfP9wWTdyMn8by9u+PD9/68cNfmxIfffuHDBbYtDfwYVfuuFRwRCT9+CEz
RfjzeQcTtCMEIcpFCq0f+Ne3Hq1y+OCDBf3PB2+VxXfGFvHqfz5cFHFze/PhvFk1t/WvTz251u8r
Xd3c2Nu6hkv+/t+XiH5w6X9/9P798X+7cdfrG7hWSwga+vvjxlLj2ny/w3b0zPruXJx/v51/PVTs
v/658QTc4I1n7ul+Uxv/20uPruDw1l7D7Xx91YsdF3HFJZfq+0M+RgCVWAks6FMIeLCu10XA9qK3
QMADYR8/vEcErG5u7eoNEMB3FCcuI4J9V/B6j2/aAMRdKilWv/bxj91/eH9Fr6z7rUVvo/v7wt6l
7pd5eWvjVfYG2ic7QhHJqIt/aN/d0D5mO4wzxjD4h/VjwwNsrOx1UfAS4VvgYEPcu0TC4W1xY67j
wrwBFNQOpuADhPgJhUeGwN0hSHDXVWLDEGws6nVRsHnJz0rfAgab8t4FDp53WA+uGv/gQH9khy8l
h2KHMMq5wj8o4CP/gNUOx4IIDA7i++MhOP5vSOEPGv2IEz4j6sEd+HEDnr9l/1+yvH2IJ+o32Nl8
xyXA4yllPzQEjvyBi1+rEF7DBG/s7PsLenbf/RFt5A+63FryE5p98BTERfdlvYvdvHkB523T3L5F
YAcm3SWEgGJ/KP4Ru8c7nDBMqeIPd+2DFb2u5rcX/eA2PR3ZPRD2LnX/1WRv4czlDheCKorYxl4n
GEJ6KjDmG1Tu3kJeV+HbCt5C3fdEvUtlH912q5u3COLUDuFESBf9DOI2aTxoHWFF2aON/mBFr6v3
7UVvofkHwt6l7vXayL+Bc1c7DBMXNvqavMPjCRvPgMBhcAIPbfz9Bb2u5reWvIXi78t6l3o/XxUN
bHnbTm+gfEjeCIopwvwPyic7kNaVCD1y8Jurel0EPLroZ8VvAYNHAt8lFo5W5VtYf7lDFNB72OFP
J3EI2SFyzQUkeWgC7q3nWQW9mN5vK3gLzd8T9S51/gO5emWvVm+Sv6U7lCDJBQToPx4bhG8d3Cnp
Uuz+tBEPIfDU8l4XCy/+hi1A8ZTMd4mOw5WNizdwDGLtGBjk9N0/Ogbm4jVsgC/82N6/svr/WdDr
4uD+pT4reQv935f1LvX+Ge55+0b2gEgEkYArntY82AMo6GLE0YbmHy7pWQ292B+8QPYW2n8o7V3q
f5Z98I2Fev4b7H25I4jijPzc+moz3beu6iuFqWRP1nQ2l/a6SHiR9C2wsCnvXaLhJFtdv0kCUO5I
BcyAyp/J+6fyAmJd/CO/ycN9Z/BgXa+Lg+1FbwGCB8LeJQL2b+1b0AC244rvuYEfO/2p4g3CUkGW
eDPz/5/1vK7e713os4K30Po9Ue9S53NoeXqTSi7fES6Gqj3+c0ggJIN/MGSH7+/3Byt6Vj0vZgDb
i95C8w+EvUvdQwDzYc+sqvat2D9wf0ogMvz+eMLsEwX1QKV+5Is3MoOPF/e6WHih/C0A8Vji+0SF
yVZvYhEgQwRlPimE+wMQj3o7IE9IlWSIbhYC76/olVGwtehtAHBf2PvU/Y+MbPY2WSLo84QeX2jk
/VOfJ96RUmKoEG24BNhZ6/T1vWW9MgpeJn8bKDyS+F7x8OGgjesPx1dxXb5FnMggK0w4lAWhPrB+
PDIKaIcDb4TK0Ubn59raPl7aq+Pipd+xHTaekPpu8eHHt+FbIAO6QjEQCOgM3Uwmix3MXYml+7OV
6CF/XAPj/ppeHxJbS98SDPflvUsYfGrBNL9FXRmaxlwEJ0B+Hv14ZB2+5xHXPoMBu7wfRDxY0esi
YHvRW6j/gbB3qXs4XVPEdbZq36JpUEBPIBIu4z8pI5QOHzQNrltKEKGuKzbyyI9W9boYeJn4LXDw
SOD7xAKY3rldFddxff0WLkHsCKAJAjb870zhQziQdR0SM+k+QRY2F/bKiHji0p/9hm1A8YTM94kL
U5j8bZoOqKs49B2IH+zxUY7hO4ngFE4OPfQP5/dX9KyeXpxk2l70NhC4v853qftPrcnavHgLdgD1
ZUkUhRTSD+0/ETu4kmAsySN28GBNr6v/jQt+VvgWCNgQ9y4xcL66tnBYt2jewinIHSa4gsOB6IdT
gCLCQ6eAd6AHGf6BGsT68SjPuLG2ZxX2cmuweenPit8CD0/cy3d4yuTfGeDhTbqQxY5EVBLJf1ae
H8EB+tCgT03wjTa0hyt6VksvBsELZG+BgIfS3qVBOAaSGL6FS3ChqwByzJL/oREZAzwYTBLgm2bg
wYpeV/vbi95C+Q+EvUvdr/MzGiq7K3vzNmdI6Q6G3iNID/0MGjdJIWAAWAOCnoQNTvjUwl4XCk9e
+7NfsQUknhT6bqFxCMM63oImiB0IAgRUH34mDZ/yCwSKD4o+IgjFh/uLelZdL3YNa+VtLX1LMNyX
9y5xcBZ3t7aOb97GQyiJmOv+bEZ5nFKEKpUQCI6hbpiHzUW9Lg5eJH0LHGzKe5c4ODQFnEm9Hd+g
P5HD2UQ4neiiP2UO4FQq45S7mzxxY02vi4KXCN8CBBvi3iUGPMDA9x7lel0CfoOxU+veMwUZ5Kc7
leHYCobYkgm8kWF+Yl2vi4WXfsEWeHhC5LvExHm0ehM0UAS5BNjz0v1pFR7VG8gOFB6RhJL1Bne8
v6LXxcGDi31W9BYIeCDsXer+wNQf/g3BY3b7FgUnuoMYIa78NaXiUe0Zmpig3ARn138gZIMrPl7c
swp7MVt8ofwtAPFY4v8bVPx5bt3vqYH+qlnNvs8bvDe67vlXf8282/joz1Lxk6MAf762vPn7I5xk
dBlisNV/jzJcC3pQaP7aXq1+mYKHn7kFG/X3R5hfuK5RKsolFK44NDkDpPrb3y8BwYDjUcJ1IWch
wNwUxjYRjEOEA3MunJVfM1F4i1jPPatN+/0luaMguIV5eEBSIaZx5e+JjycmG0NT/L4nP//+ULT5
iYmLpgbBCH38UP5433q9cH3AggSGGgkERwyOaMPllters/UYGLgF/5M1tkGDGdBxk5jLQBVswVPX
2SdOW2olcXnKTG9224KqoyEN6rkxMfaamu5ZwwrdF0OlY6rYgbVTq6lMO133fNH17Xkmh/LQTo5X
dojqRl7jLkU+yftdl7eBP/F+qQI5j0WJ/DIOF20dZLpQY+6Jnl70hd2lcVR8qsKw9cKyvOa93Ddt
eWExLT2au7HmYXWdjSr1TU0LXfX97lAOgxdOJipOkSsXOKH0xHH5fsB7NWt6FHh57wS+g23rZVl1
MgbNSrThdZDLfk7GAs3CsayWslC5roxz1mQyO1GNxTrnkdKZa5kORiH8IObUC50p1UUwnkQDtTOr
3Js65qcRq45kE0e6jNLLmLifGqNK30nIbZmyYRZM4YXtillc1cuWO5HOJ7wbVOoGobTQSRTtpmo4
LVByWHPyNS/C/WRSn3BSCs2mxmhL0KdSJERPoIQmKhsvC4LCIw1bjW09eLWoL2XfprouY6wrxv2e
ohOZUexHQXwaqw5rJ+9lvzeOyHpjUd4hW+4hXhzJKd7vRhMu3aQ+a7myemCo05PNa0/wTCc8c7Qo
M19M6aArx2krUBgRVqsmq9NdaWw+i4taHitSjouskER3PFniolKHYW1vSdUhrSYRnjptivQUs2tF
uvSoGsldZtjIteUG+VFC1FEW2dArCpvqIGWh37A8nRdZUe6FqTmOclt6KJPHvWMaD0ZHIR2O5i5P
qatrbPZaS45KUxZe605WNzG1Grem0Jg5i2ToqNfh9hsvo89pmrZwcF55FYkKfyIR3LcQbm5WJEbL
evos4lHjwFzlYbBogSvu0cI5xbK8o9E4a6Nh0VaD9IqUWw811l3yrFqWPN8bGjajoXs84vSYuu3g
qUxxjUzyBfXBBcuderdJlfEiR1zYJmSwbHIQlKTWjmxbXVV5oluEzvKx2UN9vKjS5CyOwxlvs689
sldMWePhFNf+WHdH0qatb3lvtUHFIZNwcxl19rrMpQuOgnzeqjH1i1AcoApfSzK5ft2MX0qXtLrD
5bysJ1ebZqr8ceiWaTAhryvQUZ/1VxHc6xl3y8AreFxpQ8pLtygPlalnXJp5Erm1liS4blA/F7bK
tZP1lTcIY7w0afeHMa28UWWpV4zspunZYV+RQecyOagCS7y4zFMvJWSRRPU3mVT7eV5c4HT6jJ36
FNaX6YkyrXp1aIci82HBfjh1va9weiirYdDthM5q5X4bG1UehzTKvHhwhj0nHZ2lyXvrF1180KXV
OW2d26hMzyQvmFfmNJeaukG9DARImWzEdnNBZzaoWj9xnWyZ5+Q0QaTQcLKZexWuJ+0YkXq5ARCP
Mus8EorjxNQZLM9kfhBlqR7C4TSBjiYdMHQtJ5x490e7PrDg16YcbRxGP8f2/v7zX59MDv9+n/X6
nyfXU3//89fi1qzP0tabb1r72d/v+s+82LVf+z08dsNb/hgd/AdX+uyLL/OzwKX+7Gc/wYlgmDT8
hKtdU7Bfrhb6Pyik9ilFFE4fyvuu1oUpUy5zGWYwbeq3n6V4B7zret4gJS5MFVz3CfzyswqOLwPL
g+4yxb63nbzEz4p1Yumhn6UMKzgDR+CQPFSkGXzTfT/rFPnAq6rOTwpcUnpYkzaI9djGKGfaHXui
9DB0ndSZKK+rLv82mSlaDE5xTp0g0q64Grs+mpVtuGthO1dlXIBLZZnfUnGEGlx5TtJm2pQD1YFR
nc/CMZqTkrc6KsMjxwlSr+uixksCc1yPzY3D01Iz1d/Q0jGzyNReqwqqjYz3Bzpl2lXJoVNWJxYZ
5pvInY6ihnd+E8BrYrQ3YHfBF7X2qoub+ZSn4wKmgFw5A55HfYO1GMJdIZqjYkornaZRoFnVf+2l
c5E1Y+YlKT53WXMZSkYWSjrgqiFndxzGo5nBkL9Gtyy1MzyGKyEms6hZ12mp7Gkck2NDq0xHEzlH
WFQ6auPTgaC9HLFb2uQL1/armsb7lIypZx3HGyTZt6qBd6vdHNnL1o2XZmi5X6Thpan5pUqu3N74
iLrXtVLXltTHdoq/MDNcp1TmPnHR5MNB1hMHFqst63fzKHZ00jiFnpw2nI9pfF7H7lFbOkeTWwVe
gmKiR5K5cNEyXya4rjTDTaR7BHSE9dl+VQehZk4kvHDA+0nEw0XitHxehdlhVLVoJuvhgtfOHukr
8K6i2ZOmSzRS+XE5UuWBUZVLWxZkMTb9QnaJ8W3cRl45ZnKRisj6Ccq7Ge+CYcZagjTO4FUxkl0b
9p8DKeZZ3J5w1B4jU/Se46hqYWnhDYRIHabpkrAQjFnTh5r206g5ssvcYdazxAkWsNECrzfdPqTX
jiJQBbzTXiWOPeMdO+lDtAwTMXicJAuamIu8obsKD4VOJ37RJJVGefi5Ns0tzAN3vHQiRrOWU91V
KprLdroskqr0Q1LuBaL84rRt7Wd1f+GoBnx+HmazKXOqmdul56NDxplLeKkxBu9fO7kXm/KQjuo4
pWOom3EgWpr+oB26fjbIwRyLPg9hr1jpJyYmXpCq3b4Bh5u6dlg1QZn4qC4D37W1o900+dKmvsji
C7fBGSAwFjPYaz6lXevJRjSLom4KzXpb7g6YBJ5r0P5Y9odAEiY/T2LXnxzndOySaDYW1eQLkh/F
BfiU0Rm4F7uu9YZwWgaDWaVDBezYRefU3XPGuxStXWloz4yoZ+44JH4UiZmk5jPi4g5hlOhS0Ds7
oa+qVgeoz47KcTyHZnvgibUTzfgYDXrMq7OorVcZnXIdj0tppj3aqsyzeADKNOAESA71rBzvSG2/
hU6735vmNCudw6ZL0jlEFT5wvUNXdYOHUZdqVvREJ2v21qqo82zT3JVOnuts6ImfDWIVV/abABOt
a+OkmhgIEIZe8r2mHRNdM0d6WUIvwepWmo+21l3GrxssqcacxD4Y5P3ascMirNt2Hk3dXhO44Glt
eMajYZXELNQlTem8qepsVoYN9mpa7fKc+1UUT14TDecNq1pvSIpZNkS9X6UxmRUFs7DpDGwJyQ8z
GyczMwRHJnMLj7bB4AknPA8CemxKda4CuusOo/R4oYBfjNlZUJZHYYiredjI7NL2dewFfXfgIEE8
mLsPG5slX2BubaN516dzMKsQHJDoaigM1y2N511f7IFBPxup6XYrlA8+OIDTknZEx4z5HZNyEaE4
9LrapZpx8ymQxV4UQJCRVtlBHXWnMYMYhyS5DmJgXMJYPCvCDD7bdeeMJ3J3Ktqr2iStVqUNNClI
5PGkciAccu6g7AX+IrLxQirntBjNFXdhb1eZkBBKScfLhjCEUGYqjlClqLamusQyD7xGjpnOx4Fr
l/RGRxJh34DNZmWB5kmMmnnWmKtWxV9MCUDqg2I+NiGwbVC5Bndnvd51U90MKJwraPb3eBfzpev2
uyqkuR4jmsKmYRncpe4iGtPTHnyi1yTSwI2pEw1HBEIvc0aAmxSp3ybwHFCv+KB0pt5PaXI4Oq7R
QS96L0R9r52UX7BmXNhivGGGnSRheTtgEFfT5JLzJta9dQB6bXEA42qqI8Em4Mto0EIUu3AQZdlk
pfXoSNpZKpG5rLIkW9ZTdeES2PhZ4X5xRnoMv2tw01fZXAXJBTh7tB/zuoB4WS3rODwWcfVJTemu
69S9FlE36Kw1rR5pvxswV4tirLXpaA9LYZ0Pc1Ov48E4fm5N6FWmnOajkWc4yKsZYxHVxTQUs7LM
Y9grbbBEdlxxB8DQRB2Zp6n8NBQi1TJw9uIwXNlE+GEKceWQlAtTGfi8KE9MCmGfUSicOZhdl8lA
520Tf6UoFjqp+Alq+WdD+SIos2F3Ct27BPUCbCxuNSE2msmhiOZcZK1ueJ1CHDMC/BLcaByPSlcT
/sohDFE0jWdTCYq1DljtaHRDPxFj73EnWaGCHKZxH3lNHCRe1ZX7cZfBrW7sYpxoC6EaS7wWpbtJ
2AxeLF3wdw1JdUUgvDWJzWYwZOgmCh0IPWVo5x12kWfyrvMNgh9SSKe1VeVfchliHYYB8/LK+RTZ
/sIqZXQRK8/02UFbY6bDVjZeWJvKJzQ6b7ioZkHWLNuwrb0cqQtatCdh1ivPrZt+lpdO61Uc9pPb
NfMhdDKfpMXSAeYEGzJBXk/qqzLMTwYC/hzuFriQZLfiqPemKr7ty85zSn7HkfPJcSU4gVx0XqrS
O1HnkU8yct2Ndl+BJ9ejYNd1JxaVbCFwCfFeULiFryaIWAeefglziMSrAcIm2XIvcfJ5GFwhGR4A
MaBaUsdAmJvslcxir2yT5IjEZhlUFl6T6dfQYaXO++QTtrLQZeuciRxiUpKbJVX9lwE4l+bRVOqm
NMWsatzQG1kb6jyt4HJoFWvZWzozhu7LypxIORqdiirzYN/dwWzIXANmhlmYunPUtZdlB1s3svg0
CwvrARYOXR43s4IlVrdpec5j0BFUXlyglwPYaVscQhqlmFtO97BsrpN8rD0cN1+qIQIb1KKLKYv3
hjH7RKiT+30NJlWgq66DJIzsCxeSEKL3ofXzoKztvECD1GisGzCHyABqk1sF3DjqOCRmhuJ2yu3e
pIpEh3ZaElJcxkniNyK5KLsy9WpgeSIF0xdVgMxI9WJhshgW2YoFGuwdj4DSCTN8dXPgfF2CvThL
LltRLIMg8KO0WAUyvUqa9pjSai+PG+yH+TAPugI8pVvtjpU4GyI8G1ge6qAy50Otdkuqloo5foWS
k2ZyvTHGox7daBYF2Sy23YEdzLKNSy+DrAzZqxM8elUoSHqaFRO/HE3M5VHlsA6eYE3Z+aPkXstK
Z++/Mej3XO/64OmfY9DzuE4h/mgfB6HfD6z+CkKh33Q96tJl0IVG2Ppkyu98L7SnwQhzCBWUC30o
kLn9le+lcPYZKcIQnHeRMOd83YTyMw6FohT4xXXoCJxJQVuCeEkcigW0P23EoTCHbz2mFQZ2clgK
JJ3vx6E4aOs2hSzbyWCRmBdrL0SBh0CWpd+NhIV00DgC6UE9OoaLQPsoy4E68Fiky2ztD+M8qA8h
2z3o2nWr8wSI+y4b2vqoT4PypmyCfCHW/jnKxCh0iMfYK5XTuzrHznBS27w5rpKEfnUQb+Y4IEx6
QYAzfyqC4igNS3UjHeBJQ8aOQ4whAAqjfjFJnl8AFWFfs07Y856w9rCpI7FM28LARmyddI7ZaD67
LWo0ZKTIrWFtdslQVuyGrFZ+UQb1qnMVmkVIxjNhVb8QSW/326grT/s1WWwhkA3jsPS7HtPuOHIK
2l2bOozoPgZmNA7zxqTtAk8NJJJoqJLoKKIZpECroC7ssYjKQosQD9F5lCgHTFILNmJq3En0R8C6
gAkiSE+B4zVZL0Whs67sHZ+RMIv3uVM4o47bbLxKOlLlM9KruaqC4SvvM3c1OoIZDSFDMQ8jzvbG
lo/nTW+mlQs/nAE5aBKj/bBPIx2HWIET78IrQFLsoWKaVkEdTbc8Hi6B+Mzhp5f2HGFqP8e883oG
kYtT9uAyJW7HRTpKZz/EzXiQmqH0WaMg0Tvkxsl03IfxvM4bt9SQnyh1mVZfqIizZabwhZtW0W7p
VKOOUN9pJm2zy5Oan8uozJeN06iLElX8aFAQ5OQEiIiGhDWw3BpBFqvL1JUjemfPzRoB1jk/TiR2
fNt0w6JznHqY9VlVNf4QxOWdcEy9HMugOONY1kuGJv4tnLDwJwXWewjS5EAkwAtrp0q+4kAYr5/E
eFCnk/k6tYOzD+ANPVcU/XES2uBSTnl/UazpRWuG+NyJh/IkWhOTQrki8wuI9Wpd1xTPukRFzawe
WO2HduzB1xeM75KO3CreaZq5e2Lo3dORWxkCQ+L4FlLQ07yKUQ1OqOa66SXT/7XFP2wxJMies8W3
1q6esMTrgz6/LDECo4qhUiYhL8NcBTb1tyWGohxMIoW6G4YRJXCE6LclhsqbEFyCgfxppR9kBEEI
jLIVTLgw1wSKcr+yog/ytvDbaz//vl95g1EnjywxHFyCGh/kAtH3Hzh7aIknN8ojYmKwsxLFOsin
ZMbxNxPeIKUnBtlBy4uDWHYtbD1FDvoSnrdEHHNcHLdVOecyPMva9ltdTx6CfMKiTqPLwrJFVYoz
t5CHpaoaXYuvUP0rIT5vZpNI9xsmah1CQk2TsL0AJvQpQUUFwTzKvKrCjY/i8muQxD5Md9tnYzLL
cbWaoknjZLoE4lV5+dDsRayYqSERkL2Jd+sWUhVJMV3iUOz2URp7NG1OBhF9TSCXP0lzoJLqknKS
65SRO6cvvlS2/ZzinGjasrlVznwS00msUqHhyhalSlqvV4Uv4wYCT6BSWgT9En7tTqfOCAmqgi5E
5cxtDQnTMZefqx5KCmUziuXUplj3Ad1PUGa8pHd2eR9DbiG2wW7rjAtDhyXBne5LftaX7dnY5PYi
Y+MqK4H28UruhRH6AknZfXB2uVei4TBMS6b7UDgzlhS7Teck3tC2+5TWS66MAfMPBhnf1EXxLQza
i1Ey4PEUbPEk+28pqqFsWLmHmaC3roBQQDF8waegWicDITCgwbypIfYe+47P0DDuJvW4kLKfleBE
2xruWRhm1O/HMOFWp0nT2aNmaHA0C0RiFg2L2bDfGKhSTbREzdJIGc4aoUYfkyZJoIqJrJiRmAbd
rK7dRq2yruqXScNI4/MUDbke3H6kHlhl648ZjfwwqioPyOhh3lbVDBn3uohspZ2AEt+lEFkSYuD/
euT3U33Ng5Z6Kq3ugGxwPQaJPxb5pAUeOx2y9ExM5bgPNegjJ4LwvyElyEBcGye6zAb6tZBD73VD
d162aeQpp4x9WrGbpKzvyDjcTvAreroT2ecQuvU05PAPUTeMOq0hqVs48SzpG3dGWQexF8Sarkp3
aWS/ypQ1c9eh2YwF8uu4jiJLyhPNRX9TS9LrIuvXybEGiEFcSw8lKjzMQucoBIIBcVe4VwzJDR1q
n+WAlyL0WDrt86JYJKY87VxI50XpcFHSuNTchIsM8tvwUwhWh4h/Cco8WzB4RuL+SzhVp3GQeSN1
6oO+/lowVkMF2TH7DmS2Yx9EDRpBZsPhkaM5FFkdJ6q9zA6dbnvQeBJVZ+26JptG0f4ERdoJirUD
FG25otbLaGfRvBpTe/1fv/Ldr7hAiJ/xK98PAUCpyTz2LetP3vMtDOZbQicQgdOHm74FuikQZG3g
RBqH1o//+BYYlQ69Y+Rn44aAaONXsYnvYPBCroAODGg6gSLVS1wLNCxvuhaIJdZ9agy6lTBh61/L
uk/y63ZkEAVKB7JbeeJlZtnFwRr0vNAFbsw8FeOuU1PXS6L8FEmhvC62pe6r9Es/NsbPkmY5WZz7
ZdImHuLcaNKPgV9VsodfC62v+nz4bJLhG5C6w7F1lxP41APAvZ1R0+ugdC9CZRc5zhM/bLKzgSSV
xyr3muPY6wSvvcBFpwoB5+1lwLRN7Bc0iLuB8mGe9OV5TpILgXM8m9IJnJMjplmuwIe0ZevHuPTz
1OnnkNorfejSmBdV2mrs2EWfAlGlkDDWdZvvRcC8Y58FJtQTJGgdPxjotzLrnPE06TvZzbMB9znU
vevGfGqrBJUD1BFo6KuSaGOAgZfYJrqrR+DjqBVeNbqzDhLg4IWSkzYZIbdQZFAPlhnkrZKbRojb
AGZcQYYWeJ7bHGXdBamNgP0OqaRetbF2RnMuBpxq8H3fkgxqDIOyZDYOuPMgO73Pg7req1BxBe0I
CWSAssigGRs7HGqeU3JapVCWKSLBwCGkn9D/Ye/Mmiu1ua//iXhKAonhlumM9vHUnm4ou2MLkJhB
CD79f9GdztOZnqq8l2/lJpXEPj4TSHuv9VtbuU6kNy3hYEDWGMKea/gDVeE1l3Y1zZnUxRJZXpDU
XnBxRHuoVXM90GFX9XmqAu9oePbsBYS2sD+WQ+OWKUAfcqCTrKCUDPBWRgOPxG1USBQUCbyeJ1+M
xVEXnkhafHxY5DILYrhTXTKfPACX0WnVekUYuN6JQfiA9jt3xaMcLFslvXJdN4E2fLXayy0ZoNwQ
d+jiUjV+0rfkXujlFnoVjLXeuXQiSC1j77vBveWld8jUupN62udkHWI9iofRry4m0Dvb2NgSiIaU
veFHbZiXfDqwqnziXvPgNflunv3HylpFGPTD3kzioa3Xcz8X9301PUOd2VPjY61VeYsagPcgU5wd
LCOewmO0U4P+wa1h7eArB5UxlR/QT0Pd47VZi+AJ5Gy+d+0sNKu3c1b+aoODyWqSheOkrlaR3VW8
aw8LH8UZu9J9Mc3vtTUk1fDQT5RGQRfciryM20GHdbsee5c+kqCcYVGVu6Ho98VSjmGDzQ8SxWs1
iWJneW66FTyhA6sMDm8RUctdcYXOb0FGm4RUMwir9Xom6GSJ/2Tb86kZrLihJsZhjO9OS9yYZOX9
KvIL+l1UZPM55/RRdYQmxF7SrpZlVEjrOiPBDoXcNfpjP8yD+l1nrEqcOTsHYplDR6uTUvg1Gpzg
pI0QtauDL6azHusTfnNNjHHQGjV8DKU/KzuFprdE7gpL/C7HOAc7tFzxUm4uDYd70XPyuYKOkYV+
GYI5nQOdLD5eguO/jn6NooRZUbOMsUOnaBwdOJrtM5AslCUVLL+ZuWffnu582qmYmhlWV+88F1N/
mAfsl5bO4HGzW6cUB5Bxt3YdFNGy6isOez0yvN5lde8fArTFufR2hS+fSlueBRm+eHVLQlWSuzFn
sd3CqK27kyTTk6zYfV/gu6ha/ZVVuNVIf1Vo+2JUNR3EAg29LPRe2d2pC+w7XCTHZlK4w/rxMmQk
1bAIcFXp58ru4hWaQqoHghZjPlkBPVkOQcc9Wwe2sD3p4Xz13aFa5/2sOZRheTbBuBvVejtqOYZe
1V3BVTyZFpesX3VhNagvGalf5VxcUFgdxp59DKw95o17oE7+qIfinvvDA/okBeMpSzXPD5723yVp
D7Sa1nCFPpzZ/XkZ62O92rjD6HyVN/JUrPWrUc59oIQT2ksV0qYjUemSHdNFWrfthVfNqfD8z39r
k2+1iY1a4e9rE8Q5/qIq2R7zoyrZ4q0Yo2tz7PsgTRz86EfHux3BgLqCgELBQLWtwPihPeLobWjs
NqxKzMnwHMJQLPwoS7z/oCvjfgAINaB42D8rS4I/aY+Y9wrRkW75a+Cr37TJn1jTYSXFMsHqvxYO
lt8O1VMLI8yHxh5bRugV11o24QKzbDdXsT9CvLlaSDVMyVSUkJZG6HlX/sbMjOhe8RwiGtD5siSz
JlYGiRg3a93BZq9MOI/lJJ7mqbLaeIXyZqH79KygPQysx4YXaO6a26n0bDh0ViNSj/dWNJn6CVt9
ETnM2Y+150P50SMEL2CQfdFX4SSsIc0m8lDCzeprVyUNapxsIXf1UsD2pNgYmqw9tU11qrvsTGfz
uIDEDAHEZSFMvN3UHhRgwnARqDIKtywi6Y0C/bk3h4VfyHACIRpqsz5VXnADz30Kt/sLfhqaGBT+
gEC8Np4r/7hZnLYZTVxg7RgNnEUq1KkqCI+rZrkZmnpJZ1e7kTsFU5TpboTstZpYjq6KyVKvycLB
s/rETgiflricgBHNvv7FYuakLLjRU5/1UZXRX4xpG1gJQ1qSbl9weD4VVefSt9uo6PvHiYPaLbv5
DG15Qi2p7WRtnHuLoTfxJjvNJMDbjRLI+qw9sFyK0LDmurSbu66bI2AeMFDXKIdpH2q/CwH2JMuk
3hlYirDPgR05BOanjFWOxV+34siyCgUDPGYos1h8RlOGvWpk6i+elVrOeIXdnqZS9eWZLOuOCvE0
1XUZySYods7iFGi4BDSKvghZMEa0G496AmHTkf5JNAuuRMlPy0LvR2ES1ygdlobuZV3eiVqfC+7E
0ismNGxrkWQcRlELTmvfyyyPiAluCG8Aa3TOR6PosKct8CpeN9ec1uMud6q0duQXNAOPFWiYpu0u
Vt62kRdICCIqKCNflWmpqsfZ89GS55DjnRfSTk3slRxstbo3kh9qAbnVzXJsJH7Oo2UoNS50Oz+1
bU/RCq9kn8/zU+3ZTlza45PJ5kfKhgc2oLqD67Wr8+BSDhw0DEhIPr4bL6vDoZ7naPIkKmsJq99H
E+CM031WolZrSjolzSIOYmBi343oTN31RfriteNAIgzKlDAoiy4pNaMRI9MXXaDVp5IVcePmR8tq
jsQL3uoVxRYRnR3ZDb0Hlp4WPXtoB7KDl38zk2IOTeHcM4/4sZ+TKnQMWvOcXYEVtyJHFqkp1FPB
vHpX0+WtEqvZy0XsJw2n08r9IKotWcdOpZp0HOuXsu40Ph/IR8qs/ikgiw9+lOwEWftz4cq0mlHl
ZbZiCQg+N3TRXKhhuaAZ+OgVNuem765bz/vSdFl+7CsHVjQ1H7II7kpWeOFGx4Kwgi4xrMvnrIHu
aq3qOBM2i2yIjVE7jHSnvLmJMjXduxn6FQQDvFBSWLZNizK9WxoesQb0tzBvbj7WyQi9ITFucDXx
7opa7EOOBl6pUcAzJKxRPnrpapHPfmYn0RT7BQJ37Qk7cfPu4DlyjlCgn0jf6dQ3FjiDyb1jxmYH
McJ0XEssJdQur6isjgtYQ5S2JxzUfVv22alS5SEfu/ss7z5HEwxxPWP/b7KLa7UPrZ+XQBaXLiS5
cE8B1kWsjYCrQRsnXjPNu1I2T3WDIs+bAeerAfBfNvfJLNwxKvT8GAzjFE6NhXu6bvHHC/linNHB
7WhSOU0EdLDTRIGxq1Qu+ZM9f8w9yguPl0VSL+yUu9WLWfCJ0gAxg3m0k0w3jwAfNsPeerQZ/8jF
yMNFeoDMHX4gQwPQnL2uPfnUFBdDW7sPbY8vbMahRTFX44Alou7SrvJuwD0lwslAyYvZCpXS19yS
d3ir8Tzll7ViLOWs8yOhLUD4yjt72NxjkDGHqYH2OWW+ObCZ39tt9px7wbrrVfFRzUBBMgbVic5r
vR+k/uLUzRq5nlnD2fQ6GP51Br4ncrZxTv+rSsLp5H8Wb77NgPrVGEAthDMK7QAGLQf1uQ2P/FEm
Ia0DRd52UAw52/El/xVvgArjYHIWeBxT6zel5rcqCT9BIOfbZGOYuzZx6D8Rbzar9w8GLaM+Rhph
5i3+lr2dl/azdtM1HRtxh+U33VRyf9/J2SpC7l2oXeTQaISVWWsi22YTB6d2JUE8FB7L4gWqcJ/6
pKLj/exSEXzO/rDvrdrJ3lpZlSSZ51oh2eOwITvSvATBAzTMEjdM1kWVhx3LIU/TyTYTeHgO2CJS
Q5AhyOLVHlgQvQCfiqYRGPUS9svkrWHZF/D9vHlzOlXJQUxiR+X7TvTYxOoKSJTbzaoHlr/5pBM4
Zy8RENZddIJoP785qbxA//Jvg/C9QUB6639c+jjIC5XEX9hiNh73W5MQ/AexdxTfuPw94PLwvn67
+sl/HNwOPlKwNq5BXOI/8miYtUYYpR7qdxDA6CF+u/odjONFHA30Au4ByKHuP+sR6HZ5/y6P5n8b
1gVTDAE4vIwtr/ZTj1D2lrQ95HAuFVlZdpXDJn41lOT+gfd1LW4aa+bHdercVzdnc78PLKh/WEGt
+aVfveExyFlzHwQFX6PSmeYmdWpvfBqcCeQDWE0PuyOSPaywHuEYlMhrrCxSti0j27hAmurdJOhl
0u6DUMvbLNY3O89YWJg7d/Ah6qC5tVVVXOzFw/Yp3cToLJ6s/pi7wJpAbItI9HoAi7i8ya7XUTf3
czjZAh4yBV+/rBALkV1IVQ0s0No6DD4FByb6PtRztm8rbNKa31WFS2PpeL8smblGuQRRUtO3ru7u
kYl5zf0SsmXWzylq2ikU9rru/CKookY3RYRl7650vbP2h2cbqSnp1uoMuBCsA+qOLrP9mA0eDVkP
ULOaW5Qnq7zTXfulY2t75fS6Cdea0RCYmAl7YFjYJjUKcYUib3QMdBKQp2cMfYSjiDSQiw11oKSN
J9J/rEO/JEiwKSDs014N5Y4E1Z7KMUYBVaaLFUSMjSaETp5OzQhCrMRn0GUU/Kb2+b6o8W9MmwnJ
suaxzuUvKItvfdhSfqu+Upk/uA2A23Es2Tnj2aForduiRSJAcy+Psgpdlpjcs8ChNFGj2F3uug+s
R0UmuPeL29SndXHu2sUnEAx92Pu1B+JAN2XYCHOqt2zjBjCwpt6pAqShzSZAxTAMp65+LN1BxS4M
xZSaInHb8R4AAOj5OYPkSPyUdZ6+nnzRICEx+GPYs8Mo3erRr7iJezndrlq7IXdyxCIQ0Oss1A3l
Mn3pl/I9g9q4d3MAOLCLU6/3n1zbf/YyAfaZvqFjRAu5vQyi72CBpl22XhRgy6GwAaECVlyaa0Dp
ZxXIm3VxXws3QJch0QP1BqktFsjxQGDEIcOBEoSX58ZuYh8pujC3/CcLLXA48hkqYmmyyOqLVM7y
mrfVxQn6E450vtED+jKYjzD1PIYOq3tllhXn3Aber6BON96x1e5lKYD61O4E6SpLhe6aGLzQg196
765lrnp3+rCz6mEYvQP13HOpJT2Q3HOjUQWoaBt8D1lZ/aIo1Cp7FV7oGzXFqNYuePMbQJE/dz0v
Q0qqi53Rm46ztAvkO/Itkb9RJV4uwQo61c04Nf65dvKTV431U76FGdWioDWSWp0sNbURz1HCZjA3
Iq+q3uYsk8m4qFs6ZM/KapbIceweeieyC/56VvV4NVEZqYm9zG71Njr0CJM+8mdUzPAsVRYckMW8
DArqlwN+vFWg5zOF4h3Jhpr54KLRkjBb8hALbbjw/BhgLz0VtK9vod9nw9FoClNyrXVY2c4aB7Dv
97T0nzBfU4WiqSj26KIc0k6RcVcNePWibpq4Ncy+MQs7WqSg1zlurAjfOb/UHmxYrnt8OaNnntau
Fnc9peoEOoZDMZxaYDWW2lMPNkzbAiUDF5AJFOXumO9Hy7HKEKFIFS4toalVZvLfCvV7hbqdafT3
2/T5TX78uUD9dg7SD3IFcya2A5VRCKIa3QrK/27Rzn9gKdqYeI6DNFz8xn/3aJzCDWlt29rxQ/It
5vZDx/NxigIO4sTYAozOB4D4j8gVhNP/uEd7GI4DhhGwPyZqgib8/R4dAIV3SFfzi9RKnCxRddm9
MbJGDsMu5G5mSOEuHgPM7vNYFEodWM/niE8W30ss0YdqsaureSaBhOfik9Rs2RCG/i50Knr2ObDc
uURbKUV9tIKSX3kbMGEUSd0KUVkxyjRY/Q9eAs3SyyxiRDfWKnJzcarNfCprlVq+Bg1nl9PdqIeD
rY37qkwAfaPMg2Sm5U6RZr867W62xV1H6ykm7rIillFqVK79flzpNYI1H1423RaOf1kRuEIrf1/4
1g4E2rMl/PZUZ82py4NDn7PiQIP5WWFDA78I/5J/EYVvQscP8pBJp72ng3ixCbIPfpuUJHtxAkxV
zx0sBbrLQjnqeTfkKLYha2ycA6I1PSLfXhOcOgcShOztkxzUdafsMvRKcdVV7K3Px8u41p8jPmjg
z020NohALFl7rDzpwZkc9zzwofWtIcgmD9HrWiRy81ZbBxKRtxzXzHr2+/x2mVkW5WMJBh66QOcN
axIsOcRZVAAtzQCbYwoAwmgv0Fl2srGaiDv9mopFrQjn51+HSiNL3lIeQ5HZuVZxVCJwdpVvX9ct
uJF5VHm8SYVtlrPE6T9BMJK9K90gyQQKOIGcuu/RT8ugxsB0x0u3dQxrUdTwi7sHv/etsxWoveQ9
ePJhH2w7EdNAfMbWi7iokVYjYnmFqnn0BfvF44MDGaoMItqsLwzMBBfs1ZD1tvOtB93Tl7nNoFuM
+adXsSVtZhkk7VBeV7DG5WCAWjE6ROU0fxg/AHtJN5i9FWlpT18XpApChOBST8uvC0CxBp1Q26c2
UiDvGsr82SC4sTHrRuxGHF+g4pkvbIf37+6rZYvCZbxA6FxXPWyj0fcsFGJYDWKI5nWQQGVSQH3w
ia/QRsIiG2OJyRhpgBV+QRweRWbdYlDAosllxc1wu2CD3UnLnxEpGjjyVvbRcUonAqUKg3Bjg1Am
AXeEjuwZ0sDW3co5GPISCtRCEuYU5lB5FkdgsSmOvm/Wnaf5nDRFMSKkg6gQ0Tqdx+or4MlLp1Hi
YJG6clAVhRitdLsMnogHVV53LrRumz6BdFzue2rJl5qiVgXSOtw48B5p1reJP+KC7F1HJjVISc3G
MYSw7YQOxT27nSy7q+zAir2aADubJ30NzSUxoglCbFVX0obrHdQ2SrIe0qhywZIWw3s/WTvqQFPX
Tn9ABeJA0/SPFkC/I2RxP27akoa2X/evttchY1WDsZoEigpWAJODp67iAvVQarWqitZxJV87aj+X
VZWlwYDfRR3v7xDFwaokFd81FfKvg1WSHbLliF3Y2/ebuRUwrAw2X75T83xd4I4CfjodS2RX8xnv
mlg8paI50cXZAaUekyZQQ1iuPVy7wI9MjrbC8Sd8Q6uCaijTscyXtKorjJUoWPxN42p80GkCwQwg
gbuCyxei+91kDfer1BqCFWyKHHJbjYT8MPXIp05VHhVeDy643bvT8Al1K485No+4RZYFv6dC+8o3
1UM1lOqMWN8NgGI4M6wIkqqBHS46sufl+LQAQJ5Ze4LG9WEam4aqqY6jnBH6oGbnuez+30b+WyO/
bal/XyFsUyF/Otzoz8XC9vCf+nm03RxjzHAGOxLsP5l+ULO2wdgY+hIQVKsEQtePhp5jUi4eAzkb
uzgKAjzqR7HAtgNbtwOZ0NRjjjIm1vwDzBV/5w/tPKbVwEHcjgGk8PI3teundr5HOG5ABF9cBJoE
QHsFy79XkRhU8NcgLXO3v/FfyQB6Ac6W9/GHAG5Tz8eb+v1zVLQhQasWcy2kd6jzKUiNbZd96lXm
yjjGnbGSLMNuRQw3gYANpIciOn9vj22BHmgM3Cuv94IBhkrWXU295YNxndDVXrmuRUzCgFOJmKBA
XpNhJknTzqTdy7yCAwWHa2dMB423gfA+U5fuUAt0ydDM5c5xAQzU2r0pvVrsoMGReGpEvyssoexE
9E1p7epqXpv7ul/zzwpsZ+rQIlthAA3ESgK1MLvE4BD8V0KRqqNJziri3I91Czaj7Ux3Oxq8iqJb
4QQg12aZ/Nlp6Sk3OQwWpKRDxMwOju52gK7O8+TS0Buta2QeHrl0HrpguO/leoal9ejyCpMuXCxl
smBnRMYSwbpznmN6ixDyQPupiIVxT/OWgyaYnYE9YEcKpIgJUOW1WY4AN17aslwwWMfbJp10lx72
5j6oc8SvyXvuyuWUt44XMRRrCHHSj1xhbMYSBMkC9CgcA6TmBYM7NhrDd9At11O3tCedWTtTSXQk
GBJUKd7HhYOiY22Tbi6uqpk7SeYwNEN5u1vX/pD1xR1m8KhdWfM6FpY89OumCgz0UA8Gc3ry6h5j
mE65YxAXXYj7ddFyiBYk4yNiu6lpcakaWiTQKQSmsdRxpbODaburmdUFOOgcH+voR8jswjAUJb/n
bGkgfbJpDwiYw5IMbLS9bASWPV51rkYGN+gPWhrwx4p8MHf6hVbchzHgVicnqACt5ZIXt22NcQNw
kAuOyS7AKTzkXwJZ0t3gk6+IdB5W17oeqfdlzK2NOXVDf+mTTPrITtLzWvm3uq7ToLRjmDjJQK2o
cme5B3Oz8+GSxJ2DD57X3n4g+gk5liZsMVkH+/fr6uqrhoxOWPTmyBW5WfFHNQVt44NjZhSutfVm
D/TDssyhYevZyax94D2a7LXx1yM6TT/lpUh6j39BGBTwmHnXkDim0R+Bgckzt5cbkSEn59jSRQkT
vChhowZ2g7if6TlgYGxndoGavFQsj/IV+zdfuxTCxINvhi9MalQA0sQ8h2Ctsc2jFFrCSheAn+UB
XRQGxWj62Fr5g+9XX6x207AwkUa0n7Znjl1gHQ3KP9T/7rErg51ykWX1vSF2GgpWbGLjHZtLWJTm
xEvy6kzofhdHAWRrAMvZTovSkBm5N1ZlvzQI8DwPflMgvr8sGSSQTN6ZzBswxEPRhME2D61izOPO
khJ02yZzjQu0N9sCNI3b4qxbXlxPbEXrrXqdYfpG6253GM5EA1EejBrucea/r4D8IbK4j9Zgu4ke
3OssbzOEVVsdjiwYcDGjhtPwyk9I7kB7tPndSEiPqm/uYqFbH0hCedLNcl+1cg5RU7ahbgeRyoAh
Dn1f4ptHqhHTCjyDQKXvKPcqa8EVmhWFnHSbdyZAkbvdkuOWA8XI+AMRLaYklYvciUWcy4qucNqy
W7kFwU2ACSNl7Jc2tBWL3GeYYeU47SvAACAB5V6X46fXzxfF1xLhVYxbcmb1gjYtzV3vtVks5LwH
uOAUkYJsLpFFHWo/RIb4PGQ8XpAmK6Hhlp39S+WOZtd2PC5r/aKdbMfZ2KLQRSBiZGnb42uWmOmV
eU+0Hh75VD9x2lQhUgv3Ri3nOpj3Yweu0prLJ5Evh2LGLWrMlUaCTVRwwoly78ZxvfDBfTE5v25K
FvlMP81rH9G5ORbeqlPNAiwWpI/wbSS1K1+R+EXap3Qx+YKjEldIzY5+AcfcgBmH5ReV3L2nK761
QYEDFbX30OniODrwVoaCQMTOT13WSFw/9U1RrOO+KcUTR2A0BFa255WTYLmJrQlDGWq8+yr3zv7k
AT0QRzrylwC5z2xtotaXFwf+EeA0MCxZBU1Jvlk+AmdzsZ/UOofdlL2RUR7xWccFIuZhYAcYDrHc
DgjMRiUbjiWx9j13XzOgYBqMAxv1fca8GODxmqJHasKqyG8IM58ZmWG3ggcjbKv21+Iq4GrXZd1D
VY8rupdmr6EG7v2gWs4ITwJIsM9TX7y66KBJDyEemYIxrStCUXay+QYMNVqBXjhI4ffPNZzm1CL+
hWDSEobOdd1poKB/MO2hShE7+FooJII7IqxnBDtwvaxUJQuBK++wQv1ixsLDaI0qh4W72FdzPmTf
kbS/LUIg8PyhBAngV9guqhCU6RBZfl+CUMkp5lZl1nVZfnHlowzeGf9uav0/P8VWaf1USS24il05
4SnIhn14l6m9mPLmpzLz5nvN9HMoCTbOX7wNl3DUhvA/N+L95+ew7Wmp5gATDDBOBIvjZR3PxjxA
5/3fTwOL6U9Pw1G0MhvzlUFx/AFPF025OJ7U4jKBDu3KHIUh7sPuy8RuZowpcIce+ui/oeVfxUY4
aH/fShwwy+PP/cPmuv3WP3Ccsge/GTNZfuB/P/xACjQQ8QYbLQJmRP4uyrCRgQyj/Vxk6HDFb13H
j/4BrQWGWf5wCreE8T/oH0AZ/u5i4QQOJaROvAYbrwK31x8uFidXLRUao6Qq6eYYP6mK2DQV89fb
xdarbsMiyLPVTViuSV4nUss5wbAlmyaNg4mOMJOWwsHEJb/olksJXcID8jYh+MpDipFcU1hxlTs7
6tWVgifGVDHc5lZWaju2sqCpAY24uDC9aQr6OvZIq9kJ8s6MUYsUEdPhzVvHHuji6GL/J5H5znJA
yeh35dAGGOdE8oMwPcahzJhrifkekfQLheW32bwAWaLk62Z9QvR8SW2/qK89Jac76sr5nSAuhKW3
zMW7Zr0BlESqDVhqEsWa7Lq0YH8gj5bvIRRX2xQEZ7kFsJ4dhqmZr2SN5DEt9RiDuvtEzTJgKAim
ebz5RYGI0chsjDbIuH3I0ds/QNyrInyCHGPrVLDTuZrPAgVw1qzFTlnMufNXohLjCHj9EzEs9ulg
Qj6O1sFxyXLdk74EvgODgrW0bbHrVMgHONR5x9c07ruMrOi82oDC2cjtV2dt15t8BYcUSnuy3yWU
q9PUDeKwyHJ43vpGRNhs+6ZuAxGvfjVdpkl+xUdaH4COUgiqBTKLJSYGXbG5CMBINPn1UkkRiwXF
FUdOZRcEiKRgfqZ/jX0ZA/46IICYMIpxFI5YvjKAfWc+Z8PjVDVTOgRlHQ1WYUOLoWrFLAzoL0sA
c4+azr2lkD3TAqTbjVM4bTxOpDlB0NWnYZDHbMFShhIMzhxfzOeMOYR7v63E0TQYjxoivmBdQR4i
mAUxIJjYLErBw4RR2S3wnFsx0R0Gba0YuNnDHF3tIDuq3nIfp8B6akhun23Lby94+VlqYUu/Ghp7
I8F7cgG7ZY7Kn8uDKGqdNNZYXrGhXe7yHmEdPcxAKYsJCo1es3TohkF8X81/Hcn7667xfajsz6MD
f54k+P/nSMKNcvj7lfX8Ngwf9V+srXjUb2vrRhq5BCLKt8Dw7yYSQpvZ/jfCVS5QDA8r8q/azDee
iOGWAa0NYvtbuOzH2op0MvEAcG9uDs45+mfazDfq+6eNGMN/sc3bDP+0CWYmsuAPyomeAoNGyZ0v
y+wMXpLrDLX+tIVHxVLkibKz07hKFGFLqbV8pBNF/0IJYrmHdi1IaLSLAMKwBPOalMYeASbN7TaR
AeNYXP4V0guGwmCeUrYmGAoFHRrr4N58g5OCb6DSMgyY1YLyDABTtqxrEKvvZBNWYGBOnQu0oQXu
uDFQa0MZxjRNwtCksgGwJpjTXdEw87/djRJNKpGYo9VrwfgXRa3cTT1owYVN0S7WLhsxoUAve+Ms
U/k5O75JRYk1LRGirMYEB4oBmJVGHK3MV+9FVrtxIGZqwf9cdGIprOAa2aowyJHtJRX6Q41N5F1z
LKvrWjm7ESx6DgVdsB1f8k93tlhY1f4n7CjMP65ElXgtftZaJYJgeup3YMLnUy7a4eRvyrcoEIhW
YwcYHNjWO/Ew1cmmo+wxMQGT13oCYHLiaFkwVIPs/R5SGmJ99Rv1t8VqbcSx7S11wzZiGNG2YOe3
9Yf0Vr5zlIO4Vq7ZDmP3ioQMNQgs4ZVIzk7qBhkWTBUK2AH5FTusQGQnvtXAZvOdj3ywmj3vJS4L
4J1hBVEogdblIbdlvbcyE3t3VVMECwQDzPr+04OPvmuBqiGJAncOza5AhzvamJ/TVMMx4KSMbSsv
r/CaQSE3bnOUs46KqcTwO49Dl/fm5TYIMr6bAwAmw5TzsJkrCc+I+eE8IcZcrz1epu88q1pCMepK
EfY9Bs5hCJgIG08tGGCkgZv9H3tn1hs5kmXpvzLodyZo3AlMP4zTd0muXQrFC6FQSDTuO43kr5+P
EalKReRSnT2oh8YUUFlAQHL5Rppdu/ec75RmshOZU19HUy1Q+qju2gWjs5onUYtgnqb0wDKabdHQ
jZt2wLjYWmO1GYXbr9q8hQk1FuleZI0MalQJ+2+rxb+XzSUq48+XzYvnr69/RG74FrDxm0ATIgIS
sG/eVWbNH+bfZDRYNqWqiTbSWNRm78smQjTXdTHYAuj3SIReeA/vy6bzC/A9/LA8wESt9vfm3z83
nFk2PUplF3koxB406MuL+HhM0nQxtUYnossQkY074WvoWmDo2dSczC57rFINpwbe8jmeji6VAV1e
7OVlv/DlXi1twGXh25Qgqg24XM/G0g9XM7zVghJ2LQBGFnFMfwcW68rLM6yADAHDmD4pfvMX0cOo
7Lz+1PVoMsXw5GT5m0CzbOP3h/8iPzt+ttYGFT00Rq/vizA9i3IVBm64wOY6UW77Pj6VMYaYSBhP
aOKKdR2ztIIe5IbVHGs7duHboNpXM7MdihHd2XhlUgV5E9+Wqbweo+J51tWDNqG78p1oCEo7Zu3X
7KPtaPa6X7zslS/Rw7vlF89OXqTbnHJq/VWjeIt906abthJXWkYnIIsuwKScgeMcdglNZPSsxpWd
JFd6YY6rOM46TCkQ4TLH8naOReeLouYlbBNqWIGnNpUe97C0p3WmJ3fDMF3F/QwyV+9q3hL6bJX7
t20ervNcXGNvaLBWWPla8+czmflH2Y24daSOWF22S4vjEImKvm7JJI7uG/L83sZSAiZg7Ut9vm/T
stj74IU2Pbgwht+deSQwJNmCyvnK/jIdo0EKyDs6E9E88XYm1FtIlea5U4tDbXkVA7kwvJ60Ap5i
3fnbKdKhome5j7g3doKiL+R16Wi7skFqELvbMqk/08yYd21kLtupRBYfufG6qqytW+AGhO0w7Z0C
kkRUzxtAhi6Wofyl82UeCJdFkfI932TFOK7HPPyMD+HgRE11EafVtOaPTlhCY2iOxYgmd9jEoeg2
Q+G0R8Oob9LQlWsXAcU6GW0uyN61Tzre8X2D5S+I+vmlb3RzVbW9j1HbghKfFj4q+NLdx4mBJWXy
Lhix+2tvdF4bpHabxhenQnVFYHZcyraVjHQq42xbRTA3sbHeFtL8PLiL/RSV06r13GzftWMWtJG6
1aYF2S2nF9cyyR/IaYKjEmFy3g9cxr57hdkRQKCVWXstpx2WGF/0tNy5GvwTY2wvNPxgfM6I2SwF
8F3WXybfWpwKbu2ui9Z3rlFLdBDoZtgxQIcXz8G4uA9M9ZpN8nGMuOeN1CuRgvVwwLEsTIt3wVX5
k1rcDKEHdj9cHA6cBB7GxfPgLO6HMV6YUEtYweKMSLFIeItXArwTIj7cE4wt8I8tjgocG0ClFpfF
ZBd3zC4uG6dihoIPA4b9W4wxwzDloTC8s8HTr2eMGzMGDgMjh9Tkhb44O8qJXRHVNZt6Y92guB7W
YnGC1FhCvMUb4mISKb+5RVJeuB/tW2wkVBhviMW27eIvKaGhl2E+HUttejZ0vLXgYexVDRV4FU+D
c6Q5ibMkGhHWJm7XPWJIGsrtKCsLK5fWlLcmwvCHchzV0xga9IwdvR2avYk7/jMQf/vYtYxarjJG
g96hqzXrcxjhor5IbEREOYrFde+Hj0JazsYeYYeIEPZvyPWyt8BZblTCiFxx3W1sUh9WXIVPPSOY
OaWKQrGyl1BWEGIyulZxRHezDK+9eb4ci74L5nyeA4RLV5kTpfe9YIXLq5jlKWUy10fJW9S4142D
RAi58XaK22qfTWkWuAtax+++5tPwUNslpE6t2Hlh8zD7Peo8fb7yYU/36QRhvtKfkYliHlpIUyq/
EYzOMCyH7b7GXMe1Fl5OqW4EU5fS7Y2ScVVQbqaHojTw2JrFs1sOErpx3xC+EJ/HafLFIKUC7AJO
LQPowUS727N3oWVxH2ZUiK4GE2A8LwZUl6QxIDsp5l3c4xYfPGhqNhzaKXlzTHmc8+4AWhLvYxZv
BNKTlfA4PIKGQSGSq9t8NkfiIlj9mjyPsKsxSJhg5awSI9505TivJyvfmYMuglxROBlOfRMnNuV7
45JiUF+VrR6jfVYSKKp2V0vjZEmsZHakbe2maQPfLR6YLlyVeX3SnAXwCTkl8YaXRDnY9cfsTFVj
uRrG7iys5kc42hR18eVkA+UxOudYhVDR+6Taxr5+qFrvM3NujH06BFVHK8WqR0dWcE4PgCesigkr
uO3eoiTGI2lYr87gN1s1s9iazKeSnNMFginMhEDeGqc54sDA/BgznYgb9wDKgPUZpVY6zKAf4tss
zJ/r3j0YlJUprLSh1B5Sk69a96iOUTWz3IBBENFr4vt7W5WHUuOnYeW9QVX+WrXiLDfkv00PvzY4
6Qj+eT257/MvZfa1+4ODOI97P4gb5i9AhXTTMel02jBRPlSU1i8csxFUctS2xMJXfK8oOYhbDm4f
BEe6jrDAoOv/a0UJlRE9A73r5a9SD/69ivLH6cFykqe9iYpBIGXAXrGk/XysJyFjqxo+grrq9WOU
BMl0U7bfr44/nR4gH/2hj8q7MHTb1ZFqU7jiwbZ/6u0LjSlLkrbVlan8BCKdZbesO9I0CvNK6uwN
oFScMb2ev2FEpZTupyZa4KLkaU4BLszROBpOFbRASGs5niNuJhYE3G8sJkI4wJVO2VUIvjQrtcME
zlQDa9rpFWgrQKfzAjyN2304MdiToFBh8Aj2/voIffBSA5bK+vqsAU/tq+qQAFNFrcEhLZaXUddu
PCM7uAtzVQBfbYCwVguNNastEA0LoVXDjrwI2Pf1Qm/tAQG6WKfMlnFz8Sly9IO+oF5NUR1r2K/Y
muQKGMyqmvLXcMHDenkFYGNBxtb0IyoYsmEHTBa1mEnJuuCjXP3LMiCFf0W/1iruBhEdQ8O4bxY4
rRF3UCDYM+WkXlr4tdMCsq2TipIetK1fu5gMF9xtWDagIooGWlTZkTVkXuQRcNyuNa/BDUfBPPSf
tMTczgqQrr0gdT2je0sWyK4Xw8l34e4W8HddhUCjshguZguc19FHsOgLsHdMeqKFKoOe5QA2zWLt
FAhuTb5OClntxlakFuRGdkdRjAkeKrCG1mNlqOrgiy45ZZ0SbN7pkT4oVnOBUk7AF466FzMptz7U
4ThXRmCNNWt4VjyGM2jisEYkUUIrbhZscQe/eIZjXMXoKxRk4961XrwFdewl8Zu3wI8j2vdrSt+7
qHberBjdBZxkWqsqEJCT5YJQBsgSlGzQg9F+EQtkubG6hchfHLI4zdcWJObYcyTKBwS7Vgum2dJ0
H5d1f0XP9H6I6GloMJ2lKQmSgPIcjV29puLpgyI06Z83zWaIXIbSfH++l1BSAWUeUNpClHlMoUpS
5DhvSeJ/tun8oqgzzK2JTh8OmkwvGBY0QZQA42VduafBcFtYNlSN1ETpRD6ULKXiYh0/DwmpMJWq
+42n+DyAfj2lTnjnDAD8h6R4tYRytkC87tMou2/JBliNmhevhwgLu6u9dZr3pHmTtXKgo7kmSRJQ
MEufKn92SmPTmTQxKoOrf6OspsY/xKfhz76o7+xIzavQSbnKSd+5T2k0HuyZkSHk97u6Bl0zV69Y
9A6cAjKEfNVX0QHZXLmEDCHbWBwg3Rkj2uQRHcw6c4CYtc4D6tRxN8kpOc9REsSadtP0iZ8j12bS
vQ5xGa0H5Z1p7kgihQ80oM0Yg89cvxFa67E06U3bJHwtRxu3DSruzZUpq1Nbup+kZ7/G+livGGRS
nuNdybMqGOR0ZnrWszb28GXiY273TxG4h2XNuWkKsUkqcVMK80Cr7maa3LWjRQ+ITJ5axOel0M98
hWLE9a6mXF7MLWElfRqE/vS1HxbdjZus07ZLNzkYo7SmIGqbbpV4UAmr4eS6nFZq5JHmPK9lDNiv
9MeKH2uIG7TLqWugLfnpJjTa17ZDJlKPj1r7avdciYPjbk0rcfMgLBS0Fz9UiJmTftK0jT5M7oMb
DeOuroF5JxGUJduruuqUmuanvLS023GuN+5QRDpxCaxbq7S0KvQu9kyfcSobEAFAljwzf0jrdtt0
6pNS2UNba0963pjXem/PV2x49bbJ6ufaEAfZmF/H0Lus5+lEFFW0LnLaC2DtxDquBw8IQBZv8zn3
78gDmC6iXN5Ck/+SGFAxVIq+pJknd1PBf+X9wFu3OvlUGHyLSt7FcZmsfVM79kP7qUdwfetpyLhC
rW1XYGLR6MfsPUACWQN6LXPWLcbVS62jMnQSTp8TDeRFD2cX3OXtY+i3/drq3HzP3eyt66xbW84w
7AdB1gkkmjIw4VvsFKqAYMgqjs0dvmstY8CjgNEu5uorO+1uWoRENYq8ZLCowrXwJaYjuJodcVfZ
5adGjLeR3TgH3+o/lYuuwIrm8PShFvl1NPJxoL4MJz9IE5dNF+2jt+y4dPrtxWz5cWdHY1Th8K37
qxIFsSPg2t45vGpbBwlkPf71c/1YRSwbPNJHIgaRT2BGFi4j2Y/P1bbl2BnYzK88BELpQz1tpfbw
//YUy0v4oEGAwptlqs/UVcWNCZQYnddnq7r9bzyJD3/BpbZiwvfTk7QyTeGAKHVlNnd1eQ76QRsO
f/0Uv/9aFunrb0/xUwNv8YZFDBPUleXd5jXxRd2GKqRwn5PpnzzTMkH58QL48ZmWV/LhEwMeYSNU
4s3UiL9F4QTSOPZ4X4bNkHMKm1d//caWF/7z0+EvwDyrM5ZHgfjj03WcIuemE+oqqz8JBokuPlZ5
NuWfvj3Nv3vXyw3652eNXfZa/MHEb3nQPw4a4hc4p5bgDkQe8U2L/K6mIEvaZ6Pif8KmdPvAFgA6
jNya8ZuPHGbhNn1QU+DWBlXAzwgOW7hNf1NNsSwCv10gtK4xlHkMJFmOEG38Dv+ODtrF3+/5lwbW
k1Vii7naNWYZFdemVkhjY8u8DT/j8GquzYwR2BGFZUFZ6p87iX/eFH4aENj3BcvDcWn+DkaHv8CC
W7KqzGzMg8acD8Vo1pt+8K/Bvb1xVo7Z7r1nvzfY8g1iN5A52vUOFeHOK8zTWGl7Lc6+2M1oBiBt
z6NEXadGjOiwawBtO3tQUns9QQtItlcQ+6W2gga1I27tZMz6OobXtFLSzra9Pu0nMTSrQhNfkCWu
xnqwDw1SzcqCDNyol6oYL4gRy+wNkZnOk9/QSadEQgZbvjZAYVLwbqvE7xaaIPpl6AjbETxyYAwC
3E15NqSk/qmO0o2M1IbdkMAHGg+824LBaFvCbGqHC2L/loIIGWOTkgtqxOZKWgQcmmSFNSlFuuBg
BblWPHtpg6kr5ehluTT/yv4pR1FLcMetLMrLcWKL1/LQ3uYtoKVCLw4qdhlAxuguBN3NtY4ve1Xm
XrljuGeyt+aY4Hz/vEqm69xmvBUxTJRG8nXKB9IwPAzoTRk+LGGgKwQQz4XR4wMS4q0ztKMY+oOi
mwHUgXGDzzBhaF1a3apX56QNwfXF8bsane58TrPXXCvUJ75PgNKf59y5sJCUDFnGwpMcdSe8VW3S
BY1CyrEWZD3Jc80o+nmDnwnYcZVlpQQMRAJmfRpxZh+ylvSSwB4kyD2vIR8yIjLUcDV5dNMSwqNM
ib7gGsCrBKB6J0PPv4UqhYcq++anqsvZ2Q+LyapqbCtbZ4v1SkxLcU+L3Dh3s6yn4ep4lL2p/v/l
cvixg2Lb/l+uhMFzFr+VTRE///5R70uhsH4RLHZMddjDv7VIfnOx0nNB3qB/iLt4Fz+QhIGJAyuH
JZbci2UHe5/iGb+gSPQo1ZnkfR/w/R1h2Y/9EFZCNEKGIO4L5p1poYL4aaucTcBbfT8yijD9DewF
SdfcTAj4TF01XDPHmo7JOBTpRtfT7qkrCahCo8TxpPWL+p/UbuLHiuTbqyHeA2gwHSXaQd88Lh/q
BKuYqtSXWN2MuhAYWYjDWPUu0KxgHMgPhg1h9U/uUNGpbHKvq4M6QfG7CufWRZVMN/Wr33X6JX9D
9kQKZeJ+tjVP7CbHDl/FpIlx+2Hnu/q+ZXysbBfO4I87iQ9xG6wvqmD6SnBvfvz8rNiVRJlM3ckc
7ShaO+Oc3aOG9sxt58KyQpROutw6dkNvBR14IuySI+gOm+gk1hAmuq9ybFtyc7TKXreg3Rl45lIf
VgBk0miDRlRepb1/zOnVtMjudP+hlfA2M0WGctxqzkUMGC7f/fW7+v3XwNgIBBnCRq4NtDE/vil3
WphPVdaeii70H8qIpiASPYNLoyr68QpQk39bEVfyfQH50+7cj6U7Q2SmcABXUBBzLfJ/y8v68O3b
tG8sRPnFqWDvOAG56E8FtNLYC+U/qeC5fX741pZnokDUMXg5ZIh7y13x4ZmqwppmbJPlyat067lW
ZZPtQpJVjFVayY1eowwPTH1ivJWYtsr/2UXzs5iTdwn+2jZAIDgcVX5+eoirsYyKPD65dWo/50lv
P6fZ8hrsOSdPuAGnP5GRzAQgg+m/qtPSfV3QEAflT9b56JiNHpgqKVMmTkV+bzYVcDvpTdMr0p5q
rWtzjhvYLy2U8qYz9/+kvF5M+T99fKCZWDZMB1wY9yqL5MePT3d6G0lmqF2InhlA3IDuZydOOzZW
iGhFdFQyTr9Enl+dc4AnMa20xjggcMB969wZWf4kIwxQZTK8xg10l8GupPtd6fynFxM21p9fJXRK
LiJ2eqKEuDt/avU6jRfrWMPNi8SqqxADOJPgeTeCj/O33dATeD3W+vWQTzbpsHQGg0YUu9Zoql1m
VUaQZnV+U2Wg7xkPqehRJXQQSdLqqJPq6p78N28d1kUY9GWClCnuzAS2WdIWJ1Vp7WWtzSaaKuEn
K20OC+Y1g+Qo78ABN5LoKpqWsX7Wu/Wpwx/QGblmrp0BBThRcgZrA8QVfLKKgOhM2t5TqPcWdB0P
g1M0DjhQdExwoF2m+KB5y2BWTTQThaLzPCfjS9XW3W2vQzRhOMwoM2xr7D10ahlCCZXuQlcTaMlk
Gn5BdowaKC5q7XOfu8DOq9Y4MN2He1v72dd4qAgWrcw8vY39cHRXQ21FR6w9PbFopFQIy8CmDgl9
Y6mm3oL+FEzQbFcgy1ARJsIBdNAmb82GnrZ/KUMtQt0h8OSz1RiKei7BwNW52acx1+WZQbvs1jY7
e9f7iWZsWyefnz2nbDatPibzFp47Hgg8TPiwMvXWAj+3g9noqH6LyBgiRBsJnRGl1GaKht7bUunJ
ddaZ+R4UL3gAx6I55wz5QOJfmyQaghC1AAZsCHRWlxFeSqJtvmsc8HfYQPRrZQprHbcN1ioSm2oS
FTrlt7vRdMdzJ53nLLzuVd0hf5nibCqarzKUhjE/tUobXYBifsNSXr4gE0g6E1hZ1/eVfurSLk/H
o49pcTeAQAmZUMf0mhMjK291VzMPuANMWE18B1BSa8RZfF25562LMGQ/7LIUSSvqaFpjTdaJ8BKF
teOWECBRcJBfnvndudN2JleUCkvRgrNkL9w6qM7Cy4Fbx1nAFBXOc2GmLZScLG6WjA42rxCcE0NB
dN9g4+Ao6IUVlJhnciLgehVuVeZmaNKIcSPks4jyOfBmmxWzMFKGELlEfkfRPEXtVYu8Jt+UMCDe
tH5wY32tl0a3iy2v9+AJhlF4LEy3A3kRFGNLUw5PHqsbCc+RdOFMtQPmN2DlRbydcAlOex05Ncwa
YwLL5o4QR3fYPmMNlpRlPGpVTh/PNB064/yna5ccZLSWj7woHrGw+/nBJAM526SEON/MfWea20TD
wH0mEb2QReVKQ3a7sBmq4pbN2Dwm0Wyk277iFWxKAD/zxhMj/i8vAcmKK3Di0ta4VZp1KER/bMih
ytZRaEY9ZtuBrzN2W+qTYk7M+TVLMfqtPV4AMFHasPVB6LG1jwgVcwIjTWtzHZdxuJ77EEm8pprK
v0pwf1mBGdfJDFc7mbUzPcysrahCACCu9N1qIyY5lwcZCwXUwrdouC+/txJ+7BdcPpFJDL2KNaT5
aC8+Q8td7GUx95FxEoAVZvqng6WZd1OmjP7kVP5UrgugOxeYxdiSopYEQG3l5zggtmDwRPGEraiQ
x3rKs3HbKnuOz0QXdXdWYtjP9hjmS+YHFy8U/dFF1gEclhffCyT+hP7hMfVUuIlFXD8BB6CySKJk
uG1BSH2p8PHtB1dF4cZL6fStCi/k79gZ0/5t0QziNI+VaV23nS3uRKfxG8rRSC7pBAqUzWCQNbxv
RsNQBxCgrXEZg/1/KPR6uTiTpG53btbKdsEE4VzVa8V3I1XBCytbFt0zdjD/ARsIVzeifRSnDCmZ
83Xw/4yrpOnT9AZ0AhLR0UoU2WtjtxSfchpptGrOuClVzlOX5TwzPzHybt7p8HF588tLV6xPvK4q
FyfLLngXfW3zUXGkS2eawgO3DjqQNL4uGpdbvumpCiJ+xppqdIW8rIU1EQlgVlLn61bN2EP3lVW7
ivW+HrcjjUQUykONnYF/t3XAO2IBGRloUSd3Rf4QGqZ/9IY49lagclOuiylynhEp8zLGhnkrOQd6
exZR5iZnZQX5nuAyAZCl0MWp9qOaoFQkDhzjZWwcaR76/Vkoy4iIxcatFQUuOIfK4GMNdLeeXtIs
ta8IxUM/Uuu4ix9BRgEtYcaQv00zUi8kPzVAFM4BnrmJjUm228rJ/UdNJ9wdJBseC9dalPuNkjdx
2bVnfp4mNmlxjRGx7OGuWg3S8IGeakOEULvgNpm1kBmPVZSifs1ZkKejJ7ikNmpZsTeJrfGJjngx
gEvYqj7D0m04TEKybmCnRctB6V0nnxt/8O+0iTKdfMyuEV9xYEKAy6EDDpgkMdNuRlBUc2DBc40O
FV8LCLTUd7ZzOQzdBV2L7Bbpb42BrN1b+TjY+1k5fDmpLtqZyW1alheFM1rnWqdbZM/XRT6cESVQ
ycCzmRPeUYm0pGAVLCMsnYQipLJVuCoJ7ajZBRi2ZVEt4k9MGkwPPS8V2HTP+FPz+WNt2GwkSphF
x12pLzLStSHIXMxzB7Qi4npstRC/Pk6TeBPPPRdpjHDSvBrTbLZPuUNvYlVXg05LA+nRGExUN+1G
SbAgG+UVMWLj2c1ZO1oCqAV8gWY9ZIbXEFJYc/Wn1hi56wkiOCEnVevUj8qexF0iG641djr/gWsd
GErhw93Y9gZZV1sPZyLI4/7JwJjkoSlJB/feNoparZUdddaFFWbecEPOoN+wuXNFbyo88PWWg8PE
JN7s0vLcbSppXhkjttUlT9znfY2jFl2kDRP2NV091gyqsb67yJae3Krx02jbSi+VazXq+mGqLe57
GJ80naxQuhf/kpbxRfzSlG351v3vpRn9D7/Jt4P+b//avZanZ4IBf/6lHx6DZeXXhvb6uXv+4R8b
aDnddN3T1Lt5bfuse28kLL/5X/3h/3r99lfupur1P//j+WseFxRDXRO/dKhLvv/s8PU//+O7iGVh
b/x5Y5l2yvOALLr94we+d1QMVCd0RXy4X+/wr380l3WcJhg5vnP6v/V1f+2owPdn7oR5gSMLJ65v
TpP3jor7LS/AQtzCgUagZfk7Vj16MT+dO2wP8NjidwEWakDL/elwWUQe2OvBKy91PYv2VRTuJErL
VWMqNADDFKjeaM/H3ih3ps4c0x/7qyJBLGgW+ZfGAkjYkvuByNLe+GYzBZFyTMZksg56Cbgg0UiY
lwwNUUE481pTY35FRMyjtDFkD41pBvj7z9g3z+kA7r3SZ7nU5A6Z3GOIjpcsZmJnmqmDUZ0OWKC7
Y7Tg11MLnqgXI4a23Av68/eRXZFyHXvXviKXq2ji605vnpm5FCxP0cOQ2yQlcYylcEPKgCbswilc
6Ors74LprZ+Vj844nPmpOFdudqfZ+UXnqYpmqLwvmlBfaYKSPFRn7mzdwO+EB6Q9GfEY0Kzddnrt
Bm1TnVdu+cnwnBMpgclK2gRhEk6y4sp47uCBrIoRk4fmdhu4+RKhQZatzWZc8tfqaQPGtN8MKKEX
mOJlo0bqicjcl9IAIqn6k8oIFYhmJXaMSbcJ2r0xHRIyzkQRaMZ8ZYbOi9FVd2lPgIBHM9uMiqvR
craTzLHTkL6A1fHK6d17WYcYS6zpkxO3nASVXa1dQaR7VsSQV+MJuDfWD/yR1w0h5Vshs+Moslc5
k0zidcY9wEvBdmaEgVMCox9c45SF7n70otsaxeDB6QkBR0/gTMyPMYhuYxc4KbqXTdyRl9gBsmIp
9z5Jx4lWwKjwz5TxTuQFpsK8fEldp1wnHXA5pHrbzGNhJgF96iYSdWB35HnypWnMVxRTr6rUo31U
W6dlUxsH+uaTPuSbhES8B9MmXommCOqAMA7KgkRn2zlktqBSlFvSPkmf5RBBjBNzfCNypp3XV+Q+
FXbfbdSwAErVV6JaVMPkNyZQq6l3c221K7erj0QqGkFtVXvfYYpSGmFC8Qf3Hw/E3tCiAhn4+Ex5
exfraCvafKN3ehBx6XId+Y+lOZgBKvLhtsbHv4n9aPweCTWxhAdi7sWGQHukT3Z24w+06YwQzlaM
eth3zsOhFaR7MwXJooT7gnj3jYecYmvWpbFyuNO3KPTJ92afPJuM4jrU5IsZKeuamN8bDEg4wDi0
oL/kvUimnIE295vWIi4KtP5lWXKnJDnaXBQeV6Frn8tc19eVniBnSfgAC+dz14ljW17HloXNq/Eg
8OawVpzyNIaZWg2dOvpG+dVqM6B0U/KcW3m1cRmZEBiipetq5vpQNrINom0AZczazpyCZP5sRObX
oTlPEhw+ahOXNYD9kMtgyMNnbGaEX071RTinYlWYaC0qa18IPAtTLR+0KH1Ne24Zoyi5tisbXyiB
OxqRt4zFTDb77I7mx5uPYSiAiBOt8BjsAMZGG4uez0qr5g44Tl0w8RjtC1Hkd1qMynUcOExw3E82
MOHD9TiDhcEHUMILRoAm1XAxNCl5Iy5CtcyPb2XD1WxbkTg0GXmDBF5AKw7RNqfTfE3ECOMTJOoY
lYY5qCbtxiRTk/BObiw5AxTUBsi0RZoS6APZf13WnUVwFo49Sx5TTuTQuOvr3DLPsrK91UP9DiJd
uRbGcAyRM2wQvIzxqi2bJrkkRqD5lPp2i4QB51gStH1yRl5RAhl3MHNjG6sQ7X0St0+eT0zD+b+k
cvifVxMIust/XhOcxUX0B/XA8qD3egCQPQpU4F1C0K7+5s//UA/gT6BlgLWfaoA+5ns54PyCcZQQ
22XI4uBh4u+9lwOLc58CwTUYUNPmxJP6Xhf9OhD47gL+Yy6Xu/RCfxg1+yZTGg/2GL1eU7d+6kKK
0OymtMItwm1pNveGL7O8CIopF2sptR62LyPS+KL1UvMTJtSRkbDKrnXNDICW0SloYrgdQefqWDxI
sm+5CcsG4bk7mDY+yDbhhA3JXpkZKvMyK+f0uszTxwqpvSPkZyCIHYo58wS0rl5bhY1U1eWajmr5
pXSlszL0wljOuZKVXgvGrt+hEU0DOCnTGjvsrRThJ8zmlTwr9WTGXSTzaHygXd0GOQ6j3YAtsipZ
dNzRCcqeeKwLS5uc/SSTfWzFIeyZTLFaw4wKi6H6YrAuRUMC69jJw0BUBQgVpI/kB+3rRNvHC4Zw
bPB9mg10Us5y69nK7+NIezEuqmK6KK10zUmOjyebUbBl4Z2oveucgEB/wjk1X4vOuVdD+4hraWPh
C/L/NSX8/8AbkUL1z29EbK+vTfyc/b42FzzuH/ciI03uM93/VdzBbfV+LwrnFwwkTDVB5C9lNo96
vxmRpXOT6FxlPBAnOPfQ+81o/MLh3/aYMaANx9pm/Z2bUZi/m1xgp7SXRAm0aPzBBfj3cXKB3acp
RgLaIeJV7PAC+rl7Ubkk17zp81zYNFM7vUPTaca6O+9LJ00VpqQxYdF3rPQmNOSihw7VvmGaMa0g
u7xENCUDzIvPjUhv0zDNr6YUb3Q9O8aWlNOIHobeXpSO8yYrD51lTpoxGJt4K/ueqBiSDQm5oQc9
5MI+n/s2P2gF/me4+mkxBaPTyiAho/1UEfONhtA/T5wuPfMdTmJtpaZtY/sAouoUU1yuY0/0BQj+
DF2INUxHgGrnXtkRZhOD4k41WMMQaQ06QAYpu3lqT9vRx9pG64f6C2UvzDWCteoRHWTt9cVat7Sn
DM1e5YzF0ZX9nXCkjsTVoksYI4SP/Ek7NYnzQqxGTs6yK3alnbzNSfKZ3NE2B08r8oMK3fC8spLp
voEStmb2dhG1JmIGmbx2NFmfEDvj4cpIZR2crF67bUaVjnABoJ1f+GeDFoqNo3TtaFWjfm7HJEjF
0sCd3UCPaFz32qN4u0UBfFByumOaWqxKi4Bs3SuvXYeN3g8bTi4s0oiS6enNqQvmRFfIY6ZUOxey
J1lnaqT9NFS0c0LdJCQ8nEQHBUub0E/MDZaYS8l3N9CrjS8mGph0aSPsWDWYKJ1sU8/XusvK82sN
jhMY2QPRlMadZvRZfMC6TqLlUPiX8TBV9aokEJwcTj6E8NInmzVgYua/DcJPz43SXwu66rfWgDpz
/e8yQud2xofyV6vX/8mfv5bN79eu5VHva9fSV1hoTO/MHlSF72sXCFGYw4sNhqXjmwPmfemCDcTW
bqJJYxr6f9k7k+W4jTaLvkq/ABxIIDFtax5YZHESKW0QlERhRmKenr5P0i21/bvdEd57p7BFqlgs
ZH7Dveey12UY8PPo8n+ziAphrICkgXkRlpp/UEfAKf3PQoI1dQDtAN4h4g9H8vL+eHSpyiGMDdvn
nZnbTxnlqgUpppDtfTbR2Yy6oo1Mtn1CHtJ5TvG+UfWGuv7tpj5cmTWfOm8e+w3z/wdT4vyLK56B
UXYugV2C9l43EAHfqwQhs83pgI5BBGOgivPHRtfjS6kA6anpYtTU6kWJF3rU9btBgO6GLU6Kc84y
oEmP9a1JwQ82CWb5sJQ3cM4wlrjQ8KKwjbaWbhVakHG+7h7cOCaIqymf4tK3NyDMcFw07bGm5wj9
Ltq2GUsCTxbvrJI/sYYjjcpyDoqOBRETJtO6vSy6mVmc6CsXD+l1Tj+vGzqesjmm4kboLih+a+x1
h8FTqTDajEPPWl23TR5+RgKGp2xjLW21reiuQJFWK1KEvvf0XaIjey8w+YHgEx5bejMEv9VqLrfG
ctPTtk3S/+LQxlEdyVUwY9wmPOmGTJFrons+OfgIaiZxl7mN7gf7rfBNfiU2lMQuitqjp/tHlmsP
lu4oA1rLiRYT3B+zdd11JiIWKOrpRFtvoCd1m35bhdhmct2xhhknWGP6N7AmjnOfQI7ANZL6JbOM
lqGB7nxrGzWA38KJJA2DGD9m89tI98pRZyJjp32ODJ38gaCsNtNTm3lPMljehO66i5nkYrODIR4H
G4X+jE0wuOmKRp1MXWvt0rrbgp9loZkPbGK2s1CU5rWSXfnoh0xx/Ear39XdIhuU55gArcHQRoS3
QCX4KlPY9nEmXnFeXRrWixvDl+hlRvudEc07V+y8a7uJtrf1wwMbv6+w1E1iqa14nenMumTsHx1y
Zc6Fb56GNP1cLcF5qcVCjEa8V6MBWmiGwmQyNemiUKxUFiL2a9vbLl14fIanOAq/1jFGqdJmx5oa
xSNZihoR1b/UtnfM6i7CRArocKahV7Nb7HzsIm7kPHNlxSfyffFep8sj33O8QWo5sHJRCtKL26w/
1mtDw55UEFyDcYa+HFmgCwBcvrQqZWK39GA2AKaeWquf1pOBsjGeE+BSLY7/ZWrVa2TCFynjuLmm
rhOsRhvzSzmLnd+TqWJBk4rwXEz4xADIqYRfUFWCxkwZQSQZiYNzZx2xVtMcpG68aaz+aC6ktOGs
PnoizPcur2VVu/a8kvop9ZnKI1pcVqouD7KrD6nhksBMN5+mYLyr3BA8aVBd2b6R0yFjb8Mttumk
YH/KHwzpXFOA66odnsWUnp2mPykbt4VsHgePidvSFnu4NgR4F+GyKjNxS8zNc4LtAXREfC1kf59F
4yc/my5tsby2oBaxnEJpLVT6CYXESU7mAWLOU+fjmqn7EvauUjbogOkmA1fimY3aFTPTQauZLiE2
EMooiF2j2HpWdbL6vlzNbf9DOuGXhJQjZChI66trjb9s7Q/t1zB08FFny2set+DTa9/fsiL80haE
pIYMlFadVT2pGP4Z1KDtkPOpQSY1Z59sosroedySoa6eHlBogHphnvDvFf5xheve+O8bkMf4re3e
/nqF66/6dYWDkxIoGn20liRyaCTJryucyBAXzBT3O9JCmpBf7cfvpCm0mYwCpKlv+F93OAZXy0ci
FfgerTtf7vyTO9yx/3KHSwYRBDgwjSChGNHgn+9wTDAmkTh1fjVzL2Ws1bcrIcdPYKmjPdb/O3a7
DZdxcsGAT+bUjHuTgNwtcjii3if/XfUaKYo5KSvzdUnju5ltiv824nH17YOf9zu3Q21DSOvIkr0o
DELBsGpCcvvcOiAYEoYENgxWBJxvmL4uc9e/e8zVxsDedrjvV7OoLvUkv6FZhWsbJCu7RWbG6K4/
pFVzaILg3EI4VpazW6x0y0iDubsz3LiWekYwejtaMcKgRib7eLHe8sbcgUR/RdHo7LwQREJVF/O+
EXm0xrdBJgh4DWeC+O2TFoz8+hDYKfKM9DEcumpNYvq4HarpvhQSbjrMEDbI5qHgxZ0JL7TWiz+y
Aik5eozCuwvs/Dv3YLWfLQfPeoTNHU7GU5OrH3nVQ/UoSbIs2/TCdlJtksgieWGocl0HOahJ1Ew1
4MNvmU+x08HMHvPnzmmME7y8TU8fETe0I6UfoBE36Oqc7hKUWlDV761uuk+QV2z7BZQx9NA9Z+wP
YWB1RPB9P8UlfZAffE5T8TC3lUHSl/LIYbOL9ezaT0uRfCY3ZoNBDva0nwG5TZIbpMHntDZ/tC2i
7nQBNWgl/byNW4atjJXu+y5+iVNefzQj3l8inaPJCLd3KV8qBAaIrvp3lWZHg7yukZAzxOn0VJ1w
GWXz75hTy6KEMBhVxq/weR6mhkWvApdFWmi/jyLAW3WJC6CbWSKNKV+X2/B8YCzKPaRAJtv+iyNC
fu9tT4IGmmCzqD4Do7np0uSGJS/atEiACHe7ZCOtkvgVZBZEINtcJl21D211S/ruDUxCpO8GOYm4
Im7NVH2u05r2M6el7ZNmM7Fzckde6DgQvyvy4VAL82pZGCcRZx4yEZ6bqD+2ZfXcG8NetSXB7GoH
1zDgOkORH7UD1CB31H0xzatvDq+AEN9bChgjnfZjAgCGdNwcPBpbu5mfavauqh67dRYMj36Ws5A6
1cttN1xCAymSGYCyLO+EU16tITxAcb4zehjeAxMoC63ZqodW0at4oaik6nNTlulGkbDeMeIQrrXL
W843LdmhrX3XKuBJ9+6mMIcfkNcYbxW2t7Uq/ahm7dcphder/B9eOvUQFOp0jd4/2IvSOcYC9PES
yqJhkm+zjC+DaQ+7O4IUYoegS+KRtBS0yAhEgc7F3UmFWborBvm9d8BDk4T3ndXJK5Xwt8Ub061q
6eEje7zChqvWaeISGNy53ZbjiAULgiCrOVtR3p05e2rKTKJ5kgkXLXd5d3TKInV3dl+5zvPwwaCL
ZQOOjvhqniUE3aR/T/Dq/A92nV+Sr72qB8v2DxK9EIsPGynRLeK7uX/8nYs3Bo1hn/upV+fRKfP4
tVmkNdxlXXVQUSfWGDxIHpeZ3CWJA5jFpGptooc2xMTcoa6Tsux3jdFMe99wzw5zzw3Nn9RpKd9q
pVqwFchZilS+It/x1/HANkzgeT7Zig9zVmId56+Dt3HUlyqUb3HaWJvOT1kFLkQCExGytmNlrmSJ
Stc0NZ2ua9BKULrMMHCmBFVDVhkXxpD3RthTo6ovQzL+YBK8HicWMa2YzFVUOZiK7ekEftsxRzyy
XvWWZOrBhWtHseGAP2GuBihzfDSt9Bb9w42Rzp/z2PqxCFw4beT8yIYCoVOyMZaTNU/pRjog8aPm
IZs4eky98oB6lJ9zFA1mltOkTErnOmIMt6G3G8xu62Rhs2oVt66XLRsqzWhrAuHC2klukecsmwTF
0WLO5wCN15p3oTp4JcE3LcT8vU3q3pquAIx+gpu8AZMNB/qpyzZ0ZS9W07L0kWm4wVMPFj0LRv5x
Qv6CLDjY+LQpdMmmsSHUrEd/UnfFVI0sqMebivXoioSBCEiXd5eM5QVQV7GeKqYmTJTh0x2ivntz
g3HeMmJ5nEl72C6FJuQEXCBO2j+HfQ8xaCxfGI6fUoNIb69fXtFVxjueOslnYFErxGYGLWP33gbB
Mwf0zqzyG4y63Yod2gHT/zN4co2hmtZDRPE82lcau4fAUV8TLrqV8MxbaQL5d3juhlKG+3ARes/Z
HCNoWJy6hAdZDmJgfJ3HwJl1cgQ+aFyx+9Zh/p3I9i5L+iuVyK60Ovbr4oBpOF7Lnn5n7iULTbMY
tqZA/BNAo9objPDX3pCiZs2GfWkYYu9aBIR2vKHrNs7vTIKcUB91JyLfGyr84OS103NeMiqfFZcg
RxZAryXCvCzOOZvQNcG06Hp40s4g0a6uIGHSaBkbdKVZHBcL8uEQ0kLNdh2iPLePUibXuE8/GQBn
dkbpw1RIQg44CBRLYfFIOP7VaoaF/YKNJFNN31gmvthOfdeW3rdF2t8mlqvIg15VFr2qqHI3nZ0c
w6J6NZV/sGkZRt8626h0gRijKsu1QHh8i4p833vWe8BMLeqT+0V4NcFfJvQBfYgTLsRZH6//Lbs/
ym7NQPn7svupVznRiu9/Lbz11/0svNnB6bqbERlbs99L6F+Ft/kb1a7QCzUJxVrLZf53eMbcHz2l
sH7H0TCt/zk8836DUahL5EAg4Cc87J8U3q7z57k/rnBT4rPimMREivdUUxH/ODwTbKkKQxXF3ULi
JN5x5jKYcwjr2ywlRI8BM+sqDfOL1IGVDsmVJijihCTLuDeOZY6vn4TLkiiRnsTLsa3eMhIwwzZf
k0h2mRZxE5GQucQusVg6NDP2os8tKZo8LtnWJVcTXZK7lh9Rm5jh14sY83OhgzhzRH0UKYRzKlI6
+/4jrrO4+jrAM9BRnovHwRRkBIc6O+LYrzHHI+a+dIVk7nUUJHcpckF9p8bw1FM5Zjo0lBqQlFeG
Og6X/nqJiRZF8SuOnDs3HamjNumj9jy9z3K5tDL4mpNOOs4As8AQ7hW5pS6EhZUiydQh0TRH+Qzv
1Xm2YeAvqvsywpRtB1wDDezv1Rj4V0k+al4oCF/ZbTqmu8oQGCN0lGrqMbATjfESFA2TsAV7Crmr
cbOgZyeJ1daRrKWTcw3rmNZYB7Ya0EaQzl8dklwlhfdtVd+byt4VJL3OnrjznGDX29MDLtfVpL0X
NtmwtiDdKzdeBxm+0B/s3J7BSjAQJ8sW9WtCvmylg2YLuBcIhdLbeeCtq7P+3pzCadPqgNpaHt1Z
J9bCvSLJpibGFi3sLtTBtkhdxvXcD49AP7b8OdmRcpdvOvJwe15GWDNPzXRUrhzV3klwcDW+AOc1
n6HBpcxOwASkOmpX6dDdebYfEp+qZgy/Y04BWOm6T1K5DwaO6bXRuTeBjvDtdZhvrGN9cXk9GOT8
giiXN47iYJ7q9MkPy28+l34ZFvcFtVxaNp+iACsEKzpUGfxQB2xa4zqA5QvBfIrWNE07WwcP40hb
IxLKdlXSbxayiZku7005HDLLzre4vLhPaR98By2TdIk2Nr3qFXjtNhDcjLHDu13rIGS6jhEZlmhp
FDGsGjS/q2UiCAjfVXVZ5oYgHNZmVe+vpZk2TBmZHyUTPoaiL3sQvwRfKPjjNBU7Mk9eExKbWeE9
QG9D4Z8Q5mwIYp0ZNmPw0FHPAcYZHIrWl4oUaJ80aAxa0WZ2lluzD7+Hg4EDgOTooPIf8CocRpu7
T4Th0SMYkNDheSLeyd9NOoAavw/MnyhjQDkSZZjWBFUby/wW2QspvDrEOucdXXVGc+oGY2OSc43O
HKaQjr5GFrRPFqvYztmDQdmo87EHgrIR4b51A8CBaXjKcrHpJ/+a6WRtqi25Bp+DConYbSDp5aoj
xCUGHxh/cAQTJNSVZgv2DvVOCW6Q3+t8kq1D2FZFoQI/C2qwfNcAx9w0LhNb9W3iM4sG1vgGoP4w
V52zVm7BlNFLmFKPTBPnRvUIv6DZeaNa120noIdEwdqyXV7PkJebEZbqiv/+w8onShUH9XmGsZFw
KuOh7s33tuAjId0iOSnPe66a+raF6ACUWb6D97vzjHHXpqjuDCuX23KEyueKdAcltLkJBclg5P5u
Ct7xc13yQ9PoDmssGZ9lkaudMjiD8YdAihkgMOVzdAhp3A5KzG+1m6h9wNEoM7pBsojWcSwvSxeT
LwwCVPsxN6QaPOLMGtEtqmvdmrBT5VO1cFYq2PgRojI2baSAKe8tiqpT5cYnXCrJZkxMMqjN/tlw
F7EO06Rm40H53zh8qLM2/AzT+3PT1Q9xK1HE5QZMIdFvCw44bEL9Y4UgcNNk/H5tg/g07ckfPeJy
oqL5mjY5R0W1VjF+p2bZU6gVRGi3T3M4fsqs7qWp9aIj61+Ys5sHYY1iY5pWfF7adNgkaPMxyNGI
qYiMkxymT9Omj6Vr75eqV4z8Se3M6BuCPMUaERCTFgCAtpFCBY31aXDvx5ZA09cxOcvYvi8Rd8Jq
+MRg+zkBR+MKVqduqW6tCglHlYsWqoD7Ljjo0XEHV5w/PNrSCA9Yf7GN497YAtnpV4jTNgBibtoq
fxgCi2F8zvGbzNtlFjoB/ByrGbV11L94Wmpo1t2p7m4Hl/mBA5828qKrpEkFjBYke6tuUFo2yYuY
lz1ZjelNaXD8L0ZzCWbPQK3VZxitJpZOqElXbeXz2wqRnlfRiSxXAwiTH4MSUVFQUx3b1oGRzjv6
1fgylh3Ar4gT23tJFaOYpksQc3c1yB8Rw2OMW37P3sxQJfJRjtKWs59pT2G3BHfCbpgALMZygF0q
j4MX3wK+9v03uth5v2hlI0v8esvlAeoWpWqB/NGqWPUih3SRRWa+BHjQkSRlNNL+lHgVJ4TWUcrW
OMQIK6Vs9TTffLdn8z2cWVnNlOlzPB3Q32wKxJlWZvKj8xpbW6hNNuXfpiQrV04E3NRMLYbNNsdD
5L7GUzHsWVGn27GOt7VoFXvnZecORrLGwHmOeLOrr4wuhAw1wPZgoB2+TRrvzq5o4RLokLgczWfe
fm5xBKnVlJ6wIHq7qp7um9bdp8j7N4SRlLtyMjPmesTbJzmRWKIeX8tuonXMHx2CmNzceS6C+jrX
aQeEPTuO6GSbJKdLQjgLk2fHIu3JU/Ibh+u1C8Zyncd8BBJUtzD5dhxwYj9K3RIKbMdaoust4lC6
tH8B6l0vgNORhXGPtjObt83E0pJzP9+AN41Xjdsy80QKXLlIMBNlvS2txTphHPdeAstfoCCmyH0l
S/hm8nIPtZGxFWiNndH/zNWyG0brgQ3UmSf34Fl6rYBKuWIhyAwkv5CT/OSjYyaBlp2cenEq8Tpq
oTMhci+tNV2UlkATvmGwPgJSFaCPLmaAGcLIj0tyamRzmaJoV4HQ2/RIqmOtrXYN97mvhssywdEv
k685Cuw6Ezm/dliak98fcJ9023JyL4XwmYAVHIQouU0ncTckvh8yZd2MaL17LfqOnKVZu4v7ko5F
gXTZXDaRFoljI7M2gxaOE3PAvlZaJMoV6EoqLPMMlptDqyXnjZl+9UjeWPuo0b2qZYOBO30fBW17
U9So0GvU63nq+RxK4T7LCSMMijGl5oQQCEAr9xf55HbGyU28Yu/G6hhQbVVgmm3sncuAWuV3E/K/
8B3JUuDv2zFCUbu3/1o3/fLXhkx/5c+GDMUCOejCweoATuej4fnVkJGrzgaCHCFWHr87IX42ZB7r
DpYgmBY+UBW6V/vZkLkQfUwHfBejDAmD5x+ZJCBf0HD9SRb5gd8hlAxBFiiLD6HWHxz4QWgoN/IJ
cyknNPJidhtWk7m1yafyJWlsf0t0qV5oNqjoMw/5jdMda0f8GJTJxVgU42nUg1aqXuA1Zn+IUCk7
vB/o/9kFqrJPdz1ToNRLv44hhakYoEQOJbpgjF7l1iN4Eo3yHFzjunh2GkoEZjrzChLczYyNKoqI
ETeTlzC1nwo8L3esSg19T4xMpD0mY5OAwZfHL6GMMmyXwb2fUVXj6njnOOt3kWWMT2UdHBCGnNNq
mnfmhGSgnR5qMd5NqsoZeNe3A+UlWRJ7x2zT9eBMN4XXPMatQyT3rC6t4y0sd+19ZgbxOozab3NC
yqCKogHw4dzgCw33UVI/ygDK2SRxN0vWR02THIfc+yIE2ndoi7fIsDeWv0QYompCMqfiEKtEbKas
xxndZJvAWR7CSMwHxxC8NX0ynPOESXvhRLdBlZzgYzLszfPt0hnf0zQPVklNEF+Ex2BcaPHqEGyP
McBYRD2eaCLhrs/9K3YJkIGMadl1IVDr7IcUbrRqv1u++gGJZotYlEakBlUai/Yt7rEZt6H2XXkd
G2ewzLYOq0Zih651wF6dy2TNbalNLQ8YF6j3CsGyKp0gNohqmziq3Vh8hveLZT3J5cOWAnDdcJ4R
jganekgPmccqwq1D2O3VsPbDDEtrfiYO5IpJetPl5j4fy52aECIAin4JZCv35WQF61CTO4McSlri
XeZ6frVUsZPl8EWOc3Us7OFhaPHYimV851/GHGjnqBdqcVcqdjq1mK/p5NtEfsaXoDfCm8Fuvoom
ZKrbCOsImdv9ErPD2tZeHzjbuWSRbS47J3NwgqZDdRsNhneqItXi3FOI0DwMcKSaV2jNSAT+7lf+
eBoce+WHHtP+6dDZ4W527HFjh83nQI4MEmf2+SiRtzVJLVWfHZoRVGvv8Bb7nOlGES/PdqUYjVjz
uLYr79Gv3TPO2vc8rrMN4X4PeRhHZxfr5FKAaEEJCd2ArDGX26Vs4+/pUgXHTnnfJ485ou0v1A4D
uHbc5/cdyFYexEuI4nLjNWNFL9GgIPbYhWWk7CqaozDy+5WYsMuoCX9LOUbzLhUhy7vwmjczNMQC
uMsQ92rt9tIi4JFAM6s0t4vp1syBqbnEsKEKP42p1W6S0Pqc4o3ALtR1N7E0zIs9Ns67aYbZkzKR
sODSwo0g8hjs4b/Dwo9hofX/3k6X9+bb+/e/3kz6q37dTMjsHB5DUNM/r59fN5P4zYLIAqwD19yH
Yu7XqPCv88A/3Ewo7GwPnb0N11nr//+Bzo4slL/cTOzoLQmIBtqcC7jpz6NC26AdQ02b3QlTds0p
6JLKZHpWSANyFlCkbeE2NNg9O8p7gTWut5iNN8VhOh7NMN2XOs+CdVDa+Z9whrOKTYYnWJXN2ZzA
fb2GGnHvdmVGoy1Zhn7w77nEHNKXDpXFKihBuq+y+W4yaLACz3oLPcuhWcrOFWR9LMOkCsHan2Du
Q2xbGJtMn8gh+e5yula24hvYS3WIJmc3MDw7ILS7h4jIzdlY9K+Fu+rQaUN67LLnELQwmXY4WMho
XmfI1HzyAcaCNDpXRwZEOjxgavzD4LJBLLLxoJNskeBOq1HNuOt0+IBS9bANdCABlJB8GzQeK18V
kiVQx689+qlN6VSk5CKNZuRnIoOKuRh6w2ZsMrpdfCCIFOViTbQ4oakeC/QpN/JDHJvVNiM/dt8K
kZ/NuowevM6bXtyh0QFHUCNxDjh3CWKQdSQScTvPErC1tK5g41Ant3O9cmuvAxFBGl+ssGujseaf
tlIfumrdHUrLxkkRM8icB4GKB65xe0pFg8ULOMTZrxpOtiKY24jXUNbJSXqGiyoya41sZzEJAGCb
ia+ituWm77UjM00vMRqnPkTo3bG+jkv0iBBVd6ZT3Ms0YEzAcAwrWJO9E4XzUrfZjTLJSGE4s8+J
QFhTmV2awLi0BqDruGBjSb+NgOBUWc1ny8hu0hHdXG0xwI3icdvF/jdJ0gBd221ZTIQ6xJ2XERwz
J9iXsMUR2OzE6XLBJkOYL6mQWYX5gn1deMzm+NgXOO1gKZd42Cx/WyzRtwVcxCpEU8WIGR++0nNb
h/zytWycbzj3GoQrNIOT1REbHU/bXnQbr6BmAq2zwf/hbBIWqYDQK+67UN4ibi/YuTukSEQ4rk18
GVPC30z5vrEItt6M5T0ztf7LAaxIJ0FXGyfDxpzMW88haz5riFwBDdaeTHZsbjKx3nWIqEhy9opm
YX1xJ0KEw1k9Agwnq3pGjB2WrcfVAn+FoA0UnDJYtZ73XoTR91wx/OPpWnfpjBLBSK/wjEY+A9ZW
mD26jHYGWiIalLBqDHY+H30TAcqmNJsu2oROFwEk/Bh8Jiku2lPZdurp3/vj4/7Qkqi/726udOH/
l/1bf9Uf7w+yULF06SvC/Y80QQnNS6O9fATUNlue/+lsEHJJ/peAm8f25vd8g5+dTfAb1w27V4eB
pS/tf6bxwrbyn/eHZIgO6ZjrA7+KLf/j/pCQvUob58Cdk3PEHngWkBr7dXZhv7SWS3vP4OolbENm
sl2+H7FuGwk7oAJliKOifUCq+SrJpuemA0Vmq+bepREPUDz1IakexXS0pxZGzMFJjc+0Aqcw2sV+
dCfSgASpBBiK68wB/mMWLFkLUMGdl++5ZPM896iiZOh/JmYw3/q20e3k2H1eVHFgLB1tbGe4JmNn
bxnTJvx/87wMzIMtG1q5yfyt9/JPpdGD327M96Rqf4yL9d03KjSmPVj2xpoeC38auUbk53E2XhBr
uCu8oOhEEFcMS3BbuvN8NrDRuII8EpQJJH0Sk+7RJvKH9ocT9pK/2H5rBoEJU1kEZCecRSHFHlih
mvBD+5uZvTrzFRUU5z8XszM2B6Cs8Sb0AKWO9jhLLNzmVKzIT7K7TWXPIwNUhEtvIiEiaptMXNZx
OcTrQAfbmcmsR78GZndJ7J3JjgEph47CswjUMnU8nm1hxEA7p+8JHZ/HGg8ty5I39wOoxD1DnJpk
BAL3LC4y+i8UI7GO4yt0MF9Rs91ekNGPPYev1PF9KE+ybacj/VAKQznSMX+uR+Afn03WkDoEMB2H
daxjAXG5EQHPxPoS6tDAMejbU0wQ8H7SkYKlzBE31Dpo0IgJfxdZ/8PSIYR1XPfrWgcTChIKB6Sy
K4YEem7JEl8QoLoCHkhtYLrvgQ457Amp2ZYVH9UGvE2uoxBx8eRX36a9FR9BicacsPzBUiN1jGI2
tM7ej0GsTEQsMinG8KRjFz0dwMg7B6hAhzL6aJDQJhHUGJpawqfDG0sd42h/JDqC6aPN1DGPFdg4
NMMJMnedJMnoqjmPKEDO0UhEJDxHhM2mD16mc1lPMdAiXMr5kWAMXUlSJgVVzL79SJ40dQhlGlSM
BYH/fjULOK5xCIhrpNvQ83nWfpUcUMeAyudVEnCZlj1Rlzr0skktgpIWtrrb+CMVc9IBmQHr4/QH
+835wMzFugctoztqr8UitJjN2a6SdWNOT2ijI+LXcgc/dZDtVF5/mg3yLMwlxP4AXH3bxgwdh/Yz
4o2XXKGIg+A6buNigV5UcOOmJmEX3px+EqW6psBZvszB4q2sOIpv5t73mWzDn1v6ewxQrLNcMFiq
9OojkRTvcT586U3wXJEPLzMwfoxpp2eUyWcqrVMuIaxhM9vbUCPXedHoQyS48FYce5xHiufU6Plc
dIX/ZPrOtRbxqSIuaFU26paR0Dd2+C9DbkwkaE3Xbmn8o980B7W0j+0SPNexG+LyLNgd9ERKUH6Q
ypnMexuB+jotJ8mSuzyPUbtu/PghMhvwVRF7VTSQ9dlBuMUiVwemWgek6qfMC+98e7wYMJS1xNXn
SaHuoMBBfZLkJYqrIPmKzaH84mZdeojsgYGx7G3WooE8ucgNkJYi8JJO8TVoHc4sk0QQ166vWAIe
3bYd9ykurlNU9jzKKE+22Tz6vCSjg+jeubtq4kwK1RjdFyKQq5bH5f4j+3MxSWdp9D/aVSizUhIJ
9wwTkoc8aqqNb8Hp4YTp922KTNNwpmBfScGSJI19Hm1GUmbozfupZ40ctgnIL1LhtsHClNRtnB9Q
05ZNJpcjbvU7s6zPhZ3eOIxstvZoWnsbm+/WNqtwB4MVAyGs/X2OJGcjKdcOljs5mxTIXRIDvAqT
xNpb9sRRj3D/EBc8tdZIp5uX7A/cGE3iXHFKmXXI6J1m+95pgBTFAyEqPWLPvZFSPQEuGFc1Cdhr
sj4AFnjj/9Ak/x3kSjrLvy91HlX+Vv4fofT6q36VOgxxSdSiznFNy/mIQP7VKluwg13f9qSr/eVa
0PJziAvphr+KYg1lje1hiP/fIa7/G0URlFj6TSC7mrD+D1pl4f/F2w6oV3voTSJAXYuggj+3ytIv
2Lb21nyHTau5eika4kRU3qvKpXWaxyz7zHbK2/ndYF4Yk4WrYRnItHGG5ZMXjN0jJLN8vywiObvk
0m09o2tAY7PL8mvzNs/j4DLYIrxxnAAOO2mcq2HAwbnpl87fmoopl4EYe7IWYMRd3B1EZWffktAs
9wQnhKBKkCY0VTt9KXCYnVTNwlCSC75hZKTzFH3CG5r5U2DV6zi33+aw8E493oJdp4zxXGYqION3
xJPTBSF7LrDCdq8Y/9KkBW7NpULSBsNJfbLbHSvmdNFaxTR9r2ah4SBlsUEVEiHcrT7HE0y7JSTi
N6tOuGkCIorK7GgtAV4wCsprJKJXM5tPSW83JMeX946qzW1idsa+c6PltES9faIl9raYws7Ibtpj
0hEnabISZx9Tyu1gWeHBFYO/QgubneoC41qohvuloZsH5qtbbmfhSHK2KcGNCB+C2xSmC00s747R
GyDWxgqFTCLEXUv1A2OAPKQ6bk+9lX6pKw8eed6VFBJuuhUs02NyNrt1OPALQ0LYYN1jcxm64pBK
ICJGQw6TM+yLjrSgeemrt0FF6WXq5LuRKXNTm4hsSEP1NziH11kaPRJbdl94kb3KpmlvDfknKx27
4EYyglmxHLgbanFVlv/JhEmIFD05oujZ04ZyldSw7MlhZtSXsXQaZHRpW8TV0HHPbFHfHUcH27vj
48C+gK3CAN4aqiXoG+QLUXAoC7UfbOcmnYJLNZr7WPTWdskjqr7Qvc5hului5K5YEpabXbELZIFj
0ZkvDtLmKjOeCdvNNyj0z27Y83/68EthNV/tUaDVpEEn4RpT9PxcB5yoU4iWQ1UtcbklUNBbEMAs
4lFj9N/Ig2qgJ2Hh26HWuWFLWvFUUMDcCBeuyaqfkbDSlNuU9810E7lWcvy37/zoO01g0n9/GG/z
/9qoBovwX0eX+gt/nseoHNmbY8K1mVJikufQ/XUei98g3YJTty1kkEJ3pT/P4wDjEaDpn6kWf1yq
aSiZHjU6mD7hB3CA/oPzGCfTf7aePt/HDDA4ccpLvu+fz+M6CidWOAMWYak+jdojOFA/GWS6r7y0
ba6AiNEeFK56dagjceAgu+s8lGk+Bei6NYaSc2bGy7GQxmZiUQQx5G2a1GddLCzkGbLLdoVGhjoA
gDm4erWtw2BAVYT3McUEia7HxWDkxyemkc8BRskojsudq20QHiZKdozRAeTzsUuml3B0mcil1WOj
CEn+b/bOY0lyY1u2//LmoEEGgMGbpM6sFKXVBFbVXQ0NBLT4+ruieMnTbDZ5jHfMIY3WlQpARGx3
Xy602N8ZevilIJQ5cvrU8u5c6hFZPJXb1OvEQNFAXpeEOrMh3nIKm3H3EJKZspegNQ+toEM+IhCq
92G2oVSNXrQBMZ9t0buoU23XqiRpPcI88MvxQ5Tig5U1WTUqd9oQQPVH67kwS2ZtXYYBkJAq0Oab
SKVWeZtf/CK/pGhzntW7Sy3CYPk4JhO7Kt3YEkLB9yfFG8jZTVhmN3kASWl28g9QDOsxpe6izOQW
Af8r6sftINJwR6O1t8h7h9MU0vsqiTWx7rTxQmyDeE5oPsaBxwoYEMs2jRIHPE/tQg5iwdKxzfph
b4n2FVAppEarbbbY5y7zbA9Xnj5RbpEM3vXYDOFRtiNnyMyza/8YafLbrE6eAQLaukk4b2NeQHKb
s3Gbx/Dfqjjx97KaohsrNR+MWB281CjYJK01E6l6mXV3IQkp+N19J7Lw3LaFPMx6XoOd1NIdI2k6
afVbA+7Vwio8hmgA0GgSiR8VGA1cauctmD0kKyvkbCiFHFcYGtuFppXXYYJ9XDBuxYNxD6KaAXFC
Drsbd/AcD3ZX8BVP+SpIxifpxF9dKz8GbFMXKo6yGGqaWV2te7PpSwbJYL1gSHvVJJwcI3S3FBwz
0YRKY+pg1Vy0wrGbN5pJf3I1e5upIHiTUH6cpUcRuKDNkTJBqlMCW3zTGRmumaazSadJdSlT6Lu9
lnzhcP3sEIXDvnObRe1x6rV7aHuvbQbdrU79RdVpV9VYn3UreBiL5Goacn6twHwMc6tYRnVwH4zu
FXNIPIhmaG+Q3RigeIxKTPzF7vBAN9RMjXWWMLD0KUyM9XcMu7dDnZxDWQPXUSl6t78Mhn1rTXyW
PIix7hh7sEdLcpCHkG1AJ4YrqTnv4dQ+ena4DAvn3NvOJYrnnVXnnKwJHKfN9OxwxNwmIZ3oaeyb
Sx5ztERXzEaAAo9gUPp42cf1c93kB8vvT6ll7rH5PVLVTZ4BVo+yiexxJyvYO7kYqWW3nHHe0QX8
nZtmNbVj3lZxRtdZzB4uaMtmDR6cIbM/78j2xItE5gnwXrJ/DQlnk8OHeuLylDJKxID+uuyw1jI5
0zddP92EOrkhQ692Ol8Bz6QbaxKnpPO/OIJhv3TFAwrPybIJTVndZLDVkREVjTziasJZJDnuTL/Y
ZG4EGk+tyA2FPmyts11O3MnIaK8O81YsBddbN4d3KELvbo5jMjS9Ey2JqO+hpm2SJrtFu8BCEKYG
2F333YTpvDaKjPO6kOvJQhnOY5PZjjdtSHl8q9s5uEsqjsZxbdwXcV8sOsONv8hIOwv4sQSxeEbE
8dMQ9Zfaj3bYFb7NI0iDFvbMIkKRSnMEk2XcOJq/ACibP+Wh5oan2WQs1DIyXNuGc+V49b2vIsu1
Ci9D3n/FJeqvGX9Yi5aEc9ATXnb75h3rTrWcu/rajrNzRCraIh09kpI2VFwaD+0hm811Gtqo9q1z
Qzr6RL9ksxAqbJ0gVnukr3XKVeEWE8h2hkBfgMu7t8hqsyM/QHB+TFSIO2VwyruZn32V766mx9wZ
buSQXHM98CWQBM9JhOPS18EjxHDE2c1DzewYALR3BTlyg8QoJPgrWx8fCtNfBOTNBblz6dsFQjZ3
tYqku5kgnK5i6jiPTJqSiK4XOnt1nrF4P+WO5NKuVjF3N2947AimKioCT5yRQ+5nLF4m+1kF5bUU
avNndF6F6AsVp6caKMYMQMS+VGH7VK9jsokI6eEYb1wVyf93V/a5K1Mdv3+9Kzu9UQL75x2Z+ke/
7choE7MU/I1jqOOyCvK/ft+REfjmCGySVPPZnKhj8G87Mu8X1AF6DWyPzRKnV/Zxv4kBsGANm6Ix
HEmCZjD+1z/YkUGW/XFHBl8OUq1NsY5qobDVju07mxMES2bbGhRIK48eKwukQ0ZBBqs4A0RjBiVR
ia3B9sKZtGU/+o+MGJnIdMSTc1/cJx4Pr7Ld50mypp0yoAHGzekejaNBPuCjNchh6zehBuekJTvn
s3gl2jsNAvARC8Pqoys36HMmjoXOsooNZ9eQzF3nXULsoeCsV3bibkgFtr9+urAdZBZWWCsZYf6p
xvJ+mrRHuAwPVul0C91E69XrYS+0iZXDO/DIQzxlWE9UxEkR0EKWfZmYZNi0R7NvCjC1oBmDNj31
Eh9XFxTfppqbI2IrCdUhXJl1bq0dc7xggnmrsoSdQG91q6mMvlZDPmPsCujXHb11qLfDUpaQUGCZ
uowNNXvaD2OJI3wIr4wORys7rM7AQo1+pyvjU59HLA1mf1X38inS/RfNdmk4zsBBsOi0DpWhMQ0b
dTI/tMQK+s6QZyNA3ZflNzZ0q76Ob31G+4ueTYYM872RT49p011pZf+N8eW00rXJ5dxmgbRA5GH/
krZAMNNd1Wj04UYUKEwoGIGpd0v6TbyLOclpOU9VugToSecq6JtWda+ViU7xOrNroPeg4IuR5zqQ
li/RFNKOYEzbNkhAxIzGsvBMatitHfHiS5DBs7JQL05RVVeS6LLo8i2yKONuJ6PpoK2XnIGB1CND
WyUaOZrHxtaD95QIQpqN2sImE89o9i0UZfoZWS4znwZj1lyWHUEptvam1zRx1z1OOyNlRWz8D9hm
3snji117etNtzC4S7MYt7PGFsq6h95ptXl4ZZkiIwWV3PdedGirOWLaJB2S9u/Ly3CCwGLewaCtx
xhFLU7y9Z6bxiG2E6JX5OPT4xsKo0VdtYxpnS5rJURYluxFSaOvIQTkK+oQ0/6jqEXCr44M29LMc
LfOGhmh3F5OJ9LH4TEN4yPHzMxg23wDTOStoIPHFtagewbOwmbx807UNVibmyviBi/epKTdmHxNH
pCbBpxM3ZNO8TLIpu9gIWvH439qW/nhq+zWbRjEERUBk5HwPZ+UfnhHSGinU03zjkuUPqf3VIWuf
7797bl7/uabqJy+Bp1MgRvKMpPcIO873j6FJhmNDmtu+pM17l15P8r7w/+WT/sosVwagv16j7j+i
t/ztz4uU+le/L1JQSWDnOIxqsdt+zga+X6QEw13lgVVlmPbvi5RSrLHbIlExYf2MR/5nkfJ/gSZm
M8dVVWlUtXj/ZJFy/ty6ZgvhGOq1fGZ3wv3h6mCbaukZb+PS+1HarBLLgv6t75Ki0A5dFq6NFjq5
o2LMAeWI48BGmhWGMFTvH1qH8hJpWcYmTKZ7TyurbZdwxikMNm8kkdZJJ7+E5kjkcm67MdgKUXba
ytK6xwanxy0M3mErahFg0JvEPhlprq5Mayndvj45pt2RezDBG7nGe4tCrGPM2cmhONdmYuAGVUoq
uXSigOMNWWhxU8kcIEY6eCs9I19We4Kjr69sttjfF5NPT3LOu/LGdJOEnbYzEjdYJ0oZ9Lr4q1GY
I6OAPiAvUiT9TihBN5SYoFoWGAIIhXEJzKTE6EszXRv5xc41WDUlLz8rXap2dRQqpVXNSrWqLZXW
RsjKELQShK0RgautcSEz+wNhjvYllApWtj0HyiC5LZ1mmQoqNjWdkkphcUDIK4InEW1NNcKa1xH6
rj+1Nk9TCYU76oV2YGO8vVPN1zRNTitwNk9W5X4pEe4qpeDVSHnMoK6dNrgPezS+YahXPaJfjfin
IwI69EqsTKULou+6dFOUz8mQHQTS4ag0xAkxcVSqYtf6mxiZ0Sn8D6l0RyrliXgqLRIicrlAXQad
qcTKOIZomSoBE4D0tYeimSppc1AiZ1ZQXsfonsVWSaBz0+Dpal48AX2EMALHDOJGUxhHxJOqx1JJ
qbkSVUdPhKsGnbXkp88+kRRxD5ysmI1+KTINiLTdXUvFsNAVzaIGa8Gc65mh79c8LOxNYBlfpSJg
RCMsjILBSqDoGGHh9huhiBlzBZ0u5XLddjqLMiMw0BqxomxI29prirsRInosLa/kRgDKMQHnsHmo
WorWQbc5GaoELHcncEcUxNmRpKl598ByUqeSbWK0XBEFjOMA6UBc4B6hpIJTjmKFBEa1ZIdoUeXV
b8MenkjkjRcLwIgJaCQCOCJSb68BIOnMfc4UZDj5/M3Gbu+kYpUIoCVpLp5cnzGVopkMVjKpWQnD
KWOpK+BJ0T67ioBCRzZRzET664ZkDfBSvMRtgvE5lSfTRLwkLNaAVEmr8NjmMiej1iwpaLk2ga/Y
Hc43V/FY6nG85Jk5H6jMeYlgtzgCeIzQB3efVO7R9PNzDOclU8AXAHRk8djgKDsu3bcRYBjoMDF9
pvHRhBljwI7JDLgbnsLJcAZ7wMvz1NUNJb0AZ+jJ8RnQAKFxIttZ1QpMQ4tcutA6GJ12XlDtxRBT
Q4MaRPA0K7BNJTvIdLBuZgW9gRowYqfPVhImTjDXH5WC5LCrhS5Hng05AiSiQun4fK3s0aInKPE3
7YBaainwTp809irta7FLofJQvHtlQ+mJaY7DsIjJO4Pgg9vgZYboE8DTWdYK8oPJR4MPZ9w68H8M
mgjgqxQ3pkIDGTCChN9tWwUNqug6InLb39TwhAK4Qn3UnPRP0JD0DuR/K+oG8psMFhEDO+0QQSeK
FaZIb8eDgFvEzJOT/4hVNKGffCmKIV1nCnQ069FpVugjB1GBWFr2jYb3+0oitEyGiRVDIZPGKPla
S+cSlsCUdIVVUjanZcHQGtWePFwLfckd8HXP1XwzWYCZNIVoSv3wbrTidafYTTCcfD9nlynrg+M5
nJYNCiIqhXyyBtEtM1HCdMynZxxE0Pj0twoHJwoOyCgPdhQb2AcTltQMfxKXSLy2e3sDIXDdl95V
DH0qaYJ2N3MRwZ0kUIQNcUse/MsMs8oJeWaPUKwENKvKqD846LD3rd5maDiuwl41U7dkbv5SegUZ
StAuI4Qs7Og7F2KWHmKG6rkIdJ5HCqnlxgBJONVgFJzcewl3a7adj7TlQRlbQmHfXLrKSBO30LoM
fOWLsfEZ1YDTMCF6ZVy3HDZsgoaKRKGwmNxoN7XDQUHgkdnqU/jG2lmvyzjqMO9M5VqnuezieZq3
1ahi2NZN/Rynxp2DOUWNuR8Mt31BkicQwHMBxRMGVeZKDlgjk3nTe7cCb9zWfg0jsnwn0sew2Cu/
NrjkidBhjMcPNZ8pdXJWAYZR1rzTwNh3QeHQVesjhrU9iRKplWs/774GSkiDFPkVs+4lSXxqfGD2
QboPToYUHZ7WKWKK7vcrbJ+YcZKOjE7LEwxu/jlyde4yGYPlItxTduFuchAJXZ6TGsOoQSvupnKm
5FhLXqENf3EGlwNTnm/BJWzZR/AbBP2dQc5uWfWVe5g1dy9bKKE8xMkDsTUCizlP4JSM5uLP9iqc
8m+pnpZLLydd4waE6LTwqFtxvvRb+Y2sNZEd238ZSs1Ya1UON7gQb2nkOAsZas961QU3tVeceJrT
9XWyKWCOYtvRllkHUUX/LGguf21rrmM9DBfkhfsZGItPpfPn9vFfO4Sajfz1Pvrqo/7ZqOd7xAgR
AANqgCNweP4J848Jx2C/rIP1/tzA/jbqAebPkcqmNf4zbKAGRL+Nemw4/z6CGY5qYXxWAPyDUY/7
p0kPVlTmTyozoLvsqn6wfbqGDJk7zO3ZbVzkDsbkDOYjM1u5le1v3d57Yy85bKDaRlAEZiTyQ954
nbJqxmbyEpt0qdKOWXbVHk6bzJf4ALE+M7bvXHCqdT1cF4M8Y3GI77V6YPLJ7ewye1WO0ixKXi0w
ZDfUnYVbqQemsQ7xmwVYBMssXpn2HG1aVLqQ5CjuJKpAtZwpPO6MrHmhdytBGBsZ8Y7zymLzEjcb
k2CecSBoN5d34QwjextXQWKu2zLEj2dR4hm7Rbgd+1assEkkW8AHFUFkzER9yhl9GGm2BJlQP+L5
6Ixd6k9iXltNN0FrMH0Mb1lniQr4eqBRiG7TmbrX5SxO3dRE5UqapbiDiqFM2K5M1oL2ta0ho7S9
S60MrUmAarmMpojMbcVuikIwUKnzoIyukjk8qIkxKt19RX5eX/97i36OY03mBn99i57Kov2oP6Y/
H3bVv/v9sAsyk/4tWpwp26JXgxPt74dd4xfc2TimBedNGp6/8yyJX+gSZfyhTrMYsH+/Rz+7OHwQ
2+w2xGeDxz+5RxWh6I+pU9xUHH8MD/u4MkH90DCdy8wuJ5UGz62533CfgDTQ3ReXSELpdk8m1RHp
fIM2uqUpaW1SLNG14UOgmiYmCzKLpHyiooRCHBHJvlhD+pCrhgqoAcmWckZkFIRMRk57VCw2lAVD
y67cOAT9gMsRu2Cw+KqpFgxD9WFYqhkjUR0ZM7LkELOzBNl2KGhPXiRW9JQ75ZHg4sustQSpvZqI
efU2JemNH1lvtTCeKdNRCObxBC1AlSqn3DeVKqVhiOzkZf806d4rO/D4qpBGsDYGR6x0mTykXfaq
T+68x8eyDzACb4SH/laZrzQrnTktLyfhcrLcprO+rvySxEcyPHRR/OLFGuDn8qmptfAATnflN/Yy
L/qzgezNnOo8TvGZ6uJlNdUkMuLoawlEia6+CgDZcPYBO4OAMfc2qhFFH2x7lqZ5F1anGuhAm75U
Jvtc3uJWQS8JKvUrfKuQsrHEYBEyvYfADhYckpsd56NiGQxYfQPtKPJy2JUtic8g7tZDmdzKRhyF
TjrKFhGj9SzbVWX2tdYILbZmQ/Ck1rc17ADcuN315PlAMACC6HTabqPC+mjj2D5kBa/HVrpx4Kv6
bv2uz1PMkU4cI2+mMjR5GwVnOa9zj0MbXzLpn3Npr0SCi7uckuMQKscZYpSD/o67XOANdnp86QST
wrkcl2LoDQhQNqFklw6JOG7zJcQILrYYA2ubz9d+6745UgMix7S0a8xlwNQZysN0M7iiWbpqBlJZ
XyYzqZaonLeFkSeriF8O2fvBKbFu5lm91kmDHyvN2GdeeZLJ+Ioo8Bg1zbusPCafw0TpLHMZToQd
uZ0askmatHsak6jaqtInGJxyMRN4WMZRfhM0tkXf27jLDdoaak4zi3kiZ5CWGOWp9QIS8I3fgwJR
ebFxMqWAchwj0ykGRmnuPZMgr3WXzMVrhvGvNYZTOZvQ29viAHPjqNOybeYdorcu917vvSdNuPej
cCtsE5SmB6iqie9kp4GMFnu9KA9dbX/QrrFP9fCi6cVr0WQPIsUQkM3D0bbqK2x7p65nOi/T8SaD
mTEGMWApsSrmYSf9cm/U9saZ7F0VwtC3dTwik3Uls+FqaPRrirazTTdT8Ru2z4ML+Kax5w2l5xdc
IqSSZ/dQ++atE8urNOZ0nKIuT1ne7ZPevNh6fQqle8Fa/6WJJ6ZMoXnXlM1TiLeXWpETnX6rKJxu
Cz3TFyk3fZrRlz7ET2Hqbp2wBHYbe/vJKbaiJ8Qbu+3JwvsM38MiTxbuAbLd5FofgJbHxtjV+97X
n/VxyJacybOVb3a3Q+Qcu5pp/OxiuCjm/Jlw287t8DFM7YolH6oZe18rE6+z528HDZXZHzZZ3L8U
zO4bR/82MwxY4Cdez03wHOvspsBzQOq8NSmYXGbekJkbr3R49o2WddDsfF7XIrvyQwBefrof2w5/
BwdmatYvdp9dBfScLpIyPA1MWEB6FO89+u+Cs+lZ0/1tVfpnoOmQbYZxk1e6QbbbeIyN7jga9pOV
aig1yd2sfkLLc96ZvnE3hmtm+le0CD6Nen/BVXvW0xE+iFuu62l4MwH9LGMZxtwn9Ju0/Ba14WyK
Loy3lZe/MsM8TX4O/CuuQWsk2xSrzaoRxiPm3EOFrTuKSGliA4eQYyxN+94NoZHE83uSuXfgCcJj
4VRyr4fBrcyLk6Y0t6ACnDQ7rxyZtq4ZLGwLHlnSCntNf6+5IynDvRx+pLi9F25R6leTOx0NKqk2
hkH9AZjeLdZGoHJZJJfmCKVAhPquybvnZojvqgJYQRfeB3WzA58TcqL1HgucUXzm+3DKntoq6ukq
vk7TdJXo/dJMBCOCfNw6dnkZ2pAyPTLanuh3WjYzhvAIyghaWIxdHfp8NcZFoy9nEeG06DvzjtIn
fLcEIVceg8ZFb6DcW+LUZKz3a6J4JuaAoYofnTxuefhDPjALTuW5l/WbqBJEYRh/xV7P3TkD/aU+
RyjwAkHBXT1OWzcs/GtPgRlyhWiYNUwppsI2hH0/Lvouf2fEAYcKXgsrjLOIPMtgn6iifCGBU1Uo
r8VATpmglb3fH5KMEFClTd8K2iQYGmWLFJPP0koAS5Ah9NZOlj3hSTVxCoOfcCOv2Bj0gGsQYQXT
mzw8DlBrLkVltM8Jp+9oAWRFI287ODfNUMwHqCdkHAdm57AlctsgVDvjAzW042DVh17G16aXbuyR
sjtzfsyr4Das6quuopPdxf5jZl63xrr0HAwUoLvhsK6Npln0KeNHG3Cg1bbvfdLRyOO92IF16oeJ
RSaGnNZv2gCbv9XcS12fVp4bvfFkfdStehcM0UV3xg/IFVf5zNfkR/GaC6nE30fD2OxcuXF+gnpg
LYWbg3VIN/SmH/qOJZqMvbcSNaNq3YFPVd62TUquIp/3MhRHZ4x3Rg2RIgV44A+k1fSUQwDCq0gs
akLzu5ZpU19O04rmyfsCkgKs5/RKj4e9Dq6ME9ySrdDWHKs9wHwODNE+dKurULYQ+ywQpAYN6qy0
lrdJPfklSGacyuHNGLBTmByJfzpa1+C5nKr9yOFGa0WxbLjoxrG76vzsi7B0IkZ+QRdHfItAsMYf
u/TtZFpYudhFo37XpJoavWvaclJJEkAeM9pvQCOkrzTWzm82bWLs8s587j0b/JsxbhzmyhapZLYW
1SIusExOWfqcUa0dGkCH4eus/bRTLsVsr8nk0feDLeyDa703o0XaGvfTQOQ5kU+lIfQVRYGER/v4
a1CXNEUkQ0eE1zoPjn4OQusVpJtYx4mk6NAlxBTv/Vj3N2EYXNEf9CEn59xKQ5UZZC3IdS6WsBwc
mLkupqBJGutgEt6lNMpDYWNOyTzajlr9JrNxTOICZOBqbZpGqxeBE9Eb0ugk4Sbx4gzJdOfzpFmh
Cx9H2EP0ypZPIwdKqYkX00wCOIHVs96zfdFFt0mbHv58w6f2AmPH0At51QsZY2NVCilqRPBOTxJf
V8ro8KJBjZaw2Cj6bka6n/JvpK0btojMMm3+C+DKyuiruzAeGRbPtEW5JnHFtjvOBG0W0rGfR7z9
hKO8cFWPPg66yT4baXxOqRq36cbdu9HcHGVQK33WegJRHR4G7GB+k73oMVB0dbsLDBELBl3ZJq17
68WL2rtC2jfGMMZH3yqA1Mp9KPV7M2RHUzoYmAYo6NSN6nl6rEIdH5KNjuTk34jVZzzLzXVoefdp
SzdIm1ylvWCfOajgYPs8GdWtP0JHLqR7TozwnLvJhsHVdIVi/Vhl/os9Wrcez+Erx4Kh0aHBb8zW
fplzf+83gEYxBRTboucPa5S2ongQZcQZu4PDQkaukKyOTL116240EpNjRF1r8JyyyTbpYLGEtjaN
OMBg9t2J778LyZCBaGcj6gEACKszk44/CslmrOujaRbxJZFYDopTQ8rUt+/+/kWU4P0fNpDCD6kX
EYaNJE6dw+eo5TvTTBqMtaU1TXzRJ6rQTrpGutG+b4dfM9YUZv+8mpGT6J9fxoXwYOswiEiw/vGz
BMirnAJ0Nu7mt6F80KzD33+Mn/x9kLfI7ajufF0/flcNA48SBTS7FAMX2s4LkJF/P33/5Lf42d+H
Jsc3xBdF6fQPE6fQLSiqcar8gl00R937X0X/L78f5Rb/08/w3ffzw29tixScD4/Si51Dh1mmxqZ2
VzZT9g94uH//UX7yUujiAkOWTdef4//wU2ReqM8MmtKLnuxA57dYR1UTNXHnpSZ/NdP95cdSb/uH
j/WHn4Vpw/deCN2I894VWXaRdEhCqOHc1a54pk795p9/qO9//x8+VOEmftl5v74Q3MOC6Ee0YR1R
S7H8L9eaetM/figfh4vlsTpapsmY8/sPZTnY1ll4i0tjbQJa1se1E3z5+4/zs8vtu5f48XKbG4e9
EhCJS+G9JcGLrf0fLmdlkXMZ1gKR/pzdfHfXI1pRSUBbxgX/uW+5oED/Dw8vjEk6gTnsGCSzfvQ5
aAX7e2HQReW+De65K1A42v/y7PrZlcxFzEzZhmxmqBnX9z+EH+WwpryZvnE2ftPSo8bRuekRW+UK
m9zf/yI/eS1iI8AGDDURZ/70x9eKAvJ/fuIUtBKyJ1nHJfLlGhJ6yR7r9vOl/lUlbL7U3x+6qzfY
eh9Fy6H1/JZ//P//d9e+FXGTvXXNn4ee6l9+N/RU1h7Wkk/94Q82VIOmYSQJmx4hx2CE+bvDxyKN
6aLkMSdFSlXTzf/MPd1f1HRS+LbFUsjo8x8FgyxL3f7/eTzA7fPoN+MteEghJCR1dSV9d29pnmal
NfihS4e+PZ8SUzrJ2QDIzDy/zUntI2e1yzxzzg7SIJrXF1vBZWooM71BFCY38mNl1i/ZVB6ypriN
4dK0ClBjJcHJg1gjR1qCChg2JLHZo0G1ifThaU6KDz9uRs5jZkOuQZQ3jNI2Ro4uGiE9dkFE7x4e
H2wPyamFoDNCJ1zVVl8Y7yZ4oLGH8UmgHYronlRWHQPvFW2IoUGDzKP3CiuZfyImg0/cpOjl3lUE
ysr1D+ITSml9AiqDT1il/9nLXauK7kSVdXd4O02sn58d3rR5u5+93pmPH2bt1o7GdNOrgcbhD5nX
Vc2IZQ0HnMQF27z3TiimQFY8udLplm00bL2ewZuMxRv9fBQiDkBUEy8bNmr+hAm+WpoNUqnkPFbN
+OMj1Ooy6B9MPXjU6nnfutptT7lFQbIHWNuq19rjODgXXzF0PSmWdWbSHhS/odFeZR3n1LLtTp1b
ULymsb+IQFPXvnHbg6wHhL8ugurshfKbSTIh14YdW8gD/Um7MKjA1Rfn3BzPXclUc2pu/SjbMR14
oO9mFTnuLjDCi4j6ZlFl8i6T2OQLBZPVt4PT3NYtXR3jsE+E/ZS7TE192vy85kDkCCE/Z1+c+N8K
Aht2Js4WJxzqa7a2nIlANZw8m2uY7y91M1PE4a0gxa8LMLtgSC7EbYCnIlI39q4Zzad5KE89RwHc
HWfMYvS9wP+OonMSlOfGoufPcjBvtofESbZS6K+mk2y8uD1Jq30PSy9ZKzZp6Pr3dk1UAtMpFqOj
0TctJz393JnRCl7tuWaEVoG8w4bx4ETWPoOkssggLcs03zcGVbnEtPyg+oAGSLdH9kRh1gPBtNs2
0jaBdI6kBfHB5jQX9UwoJ+M42ON7z5tY+oWB39Q4Bj0eGdfAudUeQ9egdmO8GsZoXzZYwbyp/qhd
E6jyeFtPhIaCsHduXKfexmKIziKwT5NjsqJkerLP06yKFlhcLZJwPd+XM1YXXTiMKrikOgXvAES4
ZNhOMrXxv07heAaGAjrPOroxh+kKvW5kiMBI3F1ZVfXaJhOXnyUQ7IPtWPXTRrOCVwJ7p8Fnw+Ll
3X2KU8LSWJNTuyWwQ4YEOzCrp5WjxGsRlTey1wqSPMYpsO1bu47rJUNA2Eojv3if+NeJ1LaNna8k
QgV2tZTS0IYTUTUapzbptoBKlo5fLnSsP5ym8f7GqosQ2Ml1FUTTsrCbK1hdNQtcQ88AW9IgPVqV
tsV5AY+tOkuTY/VQ5V+knfNjzNrKHDD1JsHEl9WKGwC1+5LcEVJlYlE6CIosmEdKDBmvlDp8RzOi
UiGJ5ZGeZAKQrbbMzfK5dW1MMmYOFz6fz51hncY0/iqsKoF0b+4CWeBKi0kPYRa8FYX52PrioDkU
RmpdtsmmQgIRHU6Ob0yL3uYJkGuZXPqyAJxbBd2CJEq1SbrpWIIFXQgrvqRp9dCLToA6H+9D4XC9
Y/0rwFL0Xorpm68GYimmnTp58KGZLf048sFcaMMROE52FTkiXf679n/KnTbL5N+s/Tw5PuqfrPv8
q9/XfRZ3wzZM63/Xdrbl34ud9FaR/TAM49es8G+eBB/+LlYBIsT4DwjwcTD4zZNAnbBlC52uEjZ0
atvwT5y9pqeOgH9Y911CMWymTRVNxpPww1mnN6kSqjR/urBqNRtdy4p1Y+tNitJAOStB0WR0FlXv
MBBzgkKeBhWezZ2t46XIHPgnQYnoznEssOX1CUjtrrEPNoXIxFgsPAJG65NXG8rd2FfyxrTRiYTd
alSbhGD7kvLZn41kqTn6l6KCioQ/4iaPCRsEQ5mtNMnjkhDohS6GflmUvarCctMlLbGAVD3saR1c
VLgj5k1qQdLuc8qL88BZ63Xk7DQXCCFtS80e6FHBA1oUDvP99NY2vI8hre7KPj7KHKdrrQsNY7E2
HkIfNW9ufXnRO/HKxvrWr/grgZGe2DYNK9vE/DsWGdZK/6TbfDUWmtMY9jd6yvy2kw9+Ul1B63rV
NYRHmfNm5wGXnJccbQczWDc4p1l6X2c/Q8SbUgpFSaBMblku0XqrJV5FmIBi3Phm8CWNrGbheCVZ
/wb2RXUqTPmc4PdlOCzBs0d5vR6c6X2OzbMR1/yHJ2/jKCSFk1iVd91YnjZtgfZMqqI5RRoEGlXV
tBEY9bqW5dZ0x43uD1Dj26vO8DcMbz9mz4vXjtszh3LqpQurcdE0PCSLDti5DR4SPs8gd37I03gw
7Sc0rhOoRnwjtlz3uAtXzfQRuGJtmiTIzSB849T5rXPDcuWmTrHCKg7OWW+zk5eZ10E9iYUriA/L
RNKfOL95FVkMA+8azI2SLY3dAEsS5KvN9jFJyptOzwlsC0KrJJg3c0XDQc5j3yIFaIibcQifiBtj
Vs2bq7DGy9lrlGJ5gsvVa2DlxmkIjHCiVcHNinhd5g1SbBiA+a/8RxkkGGTDiri6uAoGr2b5ZyDZ
OvEbrJAQc1v55v4Pe2eyHbexbdtfOeP24YEiAAQat/ESyJJkshRFsoMhiRTqMlB//ZugLVuSfX2G
+26czpHJJJnI2Dv2XmuuiTw0NbFIUFpICkBXiQCMW7atI0YfhdmTNmsQYjOJSCAmje7d0OWZglZ8
MIviqkNi6fflWsTZqwE3ZuOGRuIi18ZbLKnPpWuFmFYKlg8sqAvHPAC442yPvOuphLWfa+g33Zhu
N9JxV9ZGt8FLCYYnn66rSTu2FcJdyCpfsHB9TAustfN4k65GHhLj37iAIIyPik07yvPATHmbShYs
oSqHSyiWN1ZtvaI3IDC0jonFmT+PqXcmbvqesXbqF/bynOOsRTtnRztpp8T4RFAnutB5VlVza0Zx
TpBN9pYuQ3OYzXC/9Aj3zFwjQFzAF/Gi5L6Ko5EPdZJvtTr7WDJFNtrV3D+IT62evpRoPHn7K6a6
Fbr3pLKuiDx6TFuNzd1wkl6hw9a2t05cn0IIZH5f9YCxcQ+knvbcIYV30+qyanEYjK5i6B25T91C
q5BFlncYatcLVEGazQhRfNMoT1ybWSU1VE9L8vpvWXwvixaTn78pi5/K/2wQ631qX5O/4hetX/2t
PBqCa+wKVSTu+P3y+0d5NDBa6rhNhL4aWfBg/nEttvkXBjw4M3EsUQept9/KowV/AyEft2a8TC5X
5n9SHqm5P5VH5surz9PF/LLikvSfhzXQMmrPsOKzRrYO3sOiIxFhto7OMDcvQ2vNyDaarmXrSui7
i60EngO1q1HpB2Q4KdguZ9DPZWuKoERPTSaL4+oDp5Ss5k89jQNZ7BE6uN5EXEf9RGhuSWlNWDSW
EMe9azQLqzGvjdS+wywf38uug1mEUYOWUkNIBXJhSR8K+OcfBBBfExi+Pt+jnQekaqZpvKtrsOxV
l6sDyFTQN6gFH0tjwLI/p93wWBceWmHLrlHLCnwSOX13U7IgqOWNlQ31s1U06bNm1/aBsVxHsOyQ
h9eubkRyk0sk1ItqZO+T1F1Evkyc0Pcq81hGeuFDJuuZzbvF2XXK4Q5DENu5PjMFIoVyOAA5t0m4
bSQGEMJ/0OF6FSEUbY8x25WJ7fqpkbt3GlCLhZpcJIe8dZcvhalZCCLErEp/1tl9mzuA6CnsKGH1
SEzkYHV7u+UNQYg9acMz63rDAEcI2VGkRh+XXD7jcHG2iEqWYc1AspbFo6BJ/rO5bqO9q3fLrWoH
JJNeqW49BJu7NEd5Sua6iB8KVJaeperxpnrXXpZaNOjbSOlV4Ufv+kz8q2g15SrbzHJlPkCLz8H+
OD1soZEQzvygW2XnckWg4hwbQLLTqXATMb45o4zePNRzeyQYIRKLuGKn6LEoVJqauaUzYc9kop5i
rnftdaNpHqEe3ebfk+v95IKf8zcnV/CW/+dctd3bn3v69Qu/HVqm9YsNIFaH9AWzh8Prj0PLFL+Y
Hv00IkWPbbXgvPitpxfmLzTteDnRMGIeN9dT8LdDi3hxQGyu6zHFs1aT+j/q6X8c9EP2kYzG143P
ekYK9ko/TvK6sIc2sZTmTVkBRcmSSzdC0jDM2+/+Mje/XhH+U/bFTQUoUv3v/5A8/sPZyG/CDQWu
Oscfz6Npuz+9kBbpmU0K4XiDejo7YtaQYmsv/alg9repSE0jWsbVAmr5tTf3l01Wf3DNlhBY1U0+
BHFCg1sjuxha2wssggx9awbjxUkTcYK2T6Oqa7+QcYuMmWY3Vvl9zQv6Zp3fsHMqSVRFISkbE7GJ
NkRs4AtwXWuGGH52L9Vb4s+ZIKEWP1hWVoIdG3aY8DvgcJ5BnN8E/UN81KSL7KD3SBWynlCAVJjs
7XvLtO60YjprGuv0NapPH5MUaZl3bL3hPIZFtC08Azi6zDc64pPAjAGs9kN3a2vLbhT9R0+2bxC3
X6Jifm4XOvaMMVyQz8kNEJILB2TXjhp2cLyw3StAML7Vth8IPDkkK34lj+MLFK+fEXpmu6EgU4mC
g6OtmmoYnFDRUKkiRemWF6Ng9LCI9FrIdidnPHDo+oLGyV561/jQqojooaLfEJZ25zb93sbGFDmR
hpVDFfygREIjvRR+bNr32kxSeNERAOJ6L15XYDeZAtyEsPN6Qc6xTS42ADbeP6RPbv9VMmlk129f
aUNvo7MryqChYTfc+Wwy5iOlQWATN5IdkUU3DQL0HZ6g/VKIK9QKEdJNsfcG/rbxCPNMc+wBaar3
UkKY9EjMw/eHUXFRj2ipFpIKQdtYXX6vxv5o2NnACFj/ohMGt4nG+TEn3Xk/Wcu1OUGXUnFKuOLS
vhq5+WqiPFu59Qes60fouQRaEfpUZPZtkUmMUpVz6VoL4Ul5+WVJ66fYVbEPAOvBGWDui8bNDmOP
yArqjsmBLEuCLLc8YuzqyMzYGlPcfCIgNGp3i9SQutnORJygzhQIFrBJ3T6IERUDdsOdIcGmG007
nfLcVkBv8dyFxrEV1uuoe0cUbLthqYiimbN6eMxsC6M+CFoMR3aC57ufjATZpXm0kCsYQ3bu9Gg7
y+ZT6CR3Rqa9SY+3qfHUbcXT+DCbQLIi1QF6HYNqJNtTK+yC9L3hUhJ4H7A/5/tmpT+oITlSnsZn
J3XVdorqqyjRQ1aQEyvpZhMLhBNpFgydOoxj97SEGEQnUuWGVL9J2+oqc/jIWmV2k5s29xjtuOSx
oPGO4y1Bj8UuRczijLRK5H7CX+2Nu7hz9hNZytkSgbtnql869dPYbosH9xgThMB07YDAGOSr/gJF
D+Z9Dv9ozl9ycT+MdDJ9f6orZrAIVaAK+OZO1xG1CvTCi7UdLXEYTGuHq7WCMVMPe8tNu51uZPw9
B/FSCgMbXDUGoUbnJsaam2N5PVfjM7M/0sFm8dh1uryqtVQ0D1U6+BForPBQmQVb4P9yjP44gFlP
UcoFAx3OIVpMY+1lv1+8KKUsgSZnvhln392IfXia7qurY4oc8lP5Eers0fKRCV4AGOiDdG8d//71
1xXzH/Of315+Nf5jbzFtRPc/vnwbEiWpOf1yM7gsJY6ezkx1eiEI99eO4v/cqf/V66Bdx/jCelXo
P0sdvI6aBZV/uTGSy3hSG/BXXnQce/VfXkf81d/z+xf6aZHVx7quzGz9hXbqEUn4djjorzKQWKiv
mIpGmztGH5tiZx4+nGWQb87DVbJ7VNtwe5uexs2BadBlF/AfBtWO/20f//7v/WN1/vXvvVLkDRuB
DBebn368hiGJDYVEv3Hsi9ZBYUCEg/j4969h/iRgeH+mmOehiwFP4xHU9eObmvcQU8tZN25wsZ3D
Wy7MV8bH6ATQAiFvMG9Oz8Z+8s/NbjzYtl9cMIG4JcB2N27yfyfDK/NhFSB99578aSv8/3KWw6+f
fm4jf/2y39tIRsMw1n7rId9NLb+PhoEWuZYktAYMEaNgnqLf2kjL/WVNorBoImkv2e3zT9/uvi48
CGHBgnCEC6Don7WRaIZ/OBpYCbvEahPpQRLc+jCtDKTvTyY5RY3Xy7i/TjGInGTuiau2nC4kAkff
7ttHUqsDwhyzQ1m5+fIWV6qBgM3CaW4W5OfGlGNDwe3dZfNtF4kTq6xqt0YCY2sG7u+yot2DCgDP
Xse7CFjacWS25Ec1gC1wAxH4/aEpd4Vb5/39HNXPHmYQGgUXmms34SOoTWbNw6QtJ7supzj0Zzkn
8Cgy7GMhLEet/coWE023pq/0F0JuYyPz1lLHtdeT8sJMnOxKWmW9N1bDgBXXW0ks4642JOuvVtMD
d1h5N9ZCGGuemBsI5xGicO8ic9tu20B/tTuz29lTfcbMvJKAKm835EjetLCbdioux0M7qjOiXc/H
4vLcQlucDXjuaHJNZTJCji5G8mrx1hP4mIT4PhjI+ZyL6H55hzdRqHVsmrvoKxNx5wVb4BDuGryy
m17XoDLFCnVl29/FmXUvU73sjwTYat1tggj7gNrcL+GuHxqb2/K90zFI2MR96A6gK0OxtwyYZJi+
7a9Z2I/HZK76PaPJLFiK8mZO1RkL3anM43Ojmxey03ZA505a4QTVEu2YEmwgGvvYGl6hst8lnff8
/pn5V1Ji/+387BF9Sd/+6fDgA/n94Ez+Al/W5CCgZ/iRGAODlo+uDQWYqZouHE6qb4eH4PAwTA4H
AGZ8slft0bfDw8KUJ0wup9Zao9d/+gc+uh+rHD/pGpdClqJEB2qv59WPR8ekMxFp27I/Ywtl4QAk
kSF+Iv9bU0H78PMZRQ6lKTkKUZqaJguXH18IAOPQOKmoifa2vQ9Z3EAoKWgWlwNKF9YXVlf24qiw
uN+nJnwW7MPiYyrd6LmuUnkiIcO7MNwCZCxqjukmnq07a66IuXfmiPAGrgDKehmmxpFk0zXDQNoc
4/5BECbgZFp+Paa5wntS15W5rcYcx4zUIkZziQpLvPmzt7UhNuuBKr/YuRjP7upJFb3OTcuos3ze
VeFk+Tn0Qi1XmLHgEFTWtT5wxbkc8vS67bIR/Uo5+bF3Yxn6m63q15JU4VDpDy5D9hJ/m605rHJ0
fgutJoFDhDuv2NpTcQznuQmsDCmOag0un83XmGiFpUYabdZfe2u4z1kKbEfRps8u0LPAi7L+SnPr
9two2znlCbBrj8SuZTEV40bN+ipSRUhgGDPU7Jp6WwxcEJJcs7fmKK8sln2qZKsObADbP+Hn+650
P8yG9pRj24NjFmNV6brIdDe9xUwrUiQ2s7QkTEas36LD1oIh+EMrOu6ejizjO0Wu4Za7bLv1Jn16
Enky81c02Q+orG8DobVzkBJP2TidPMUapp7vCvdfzTn4kH3XIb8/y3CUdfA3gg8Hj/WPjxg2xSaK
MNacSRD+NHK3u1/umdxtGp94MGQwGya422LvbiHTb+wThNYte38/+y+N7XvT9l2n/l7zsaN7jm3r
OivKtcP+TqGFKXvsI4zPZ7LZT6SpTH4WNSGsYwFT3s08+H8hdx7TATWJ7u8qctvwZPAe4XQr/Jlb
uRdCtZfm8sLlx9spE/V919W7UC4vLkWApBN01IgePiLpIVGkbbiRKBQRYDBMNrOASWzCvGYLB5hR
+mmIh1PIEISxd1jA+M2muYdvaGwYiK8zS4J6ivKQTjhoLWTxFWFtI+XPJOGSiHfiRbG/wFdPVcCH
+DyC5tg3EaheZUUfIjbGhlVc9ZPU1ykpPnEeNNdrxK7X0/u/f4t/PERWNTkpUTgcOS9ZJ1jeT4eI
t5ijVxchDN6hSPccBATAtYQzk7q0tauEBqWJOK5/34j81VPF9uK7p+rPr/nTu6lNg9sOWaTOTWQ9
26CyJ8Y6waLcgyj6q6pBqhM5LMvdhmYrR49ki3LG7dDHG+JKL6tEPumJYueutK+E/+zARV5hiL/V
w+WLHTUvxZg0GJGb+uLfmvzrTutvG3pClf9z9al7+wv8+yql/L2lZ8iLgBI3Gzj3X0vvdy098WG0
8sRQov79fp3l/sLKyoQDaqPrgHrDN/xWlVF5vl+Zqea/CUH+QVX+00nG8QHDzbQJ4jBdLsk/niCq
H/umcObxWq9u2khsZ2DWf/9Yr3X9uzOKg4l1HEMEm9/QBI7408WT8CASMNy+v1YiPSXuo6bDDL1F
q2eEN+B7KJV//3rvU/O/fcX1J/ruVFwdjwlLKy4pGH4RykVwquAzkn9bRUThjm0lT0Nn12dnDcpV
zs5JgVA04YRKpCs6d5uuwboTQ/2jY9HBz8QdBYYiIdqS8aVdEWgmzcyvW/110LKv3qQ94Y+9qQxY
zYTVowiLyD4v18ErBU1u2xw0dhElETZfZ6/mPNkhu4EgVifVPpyn0k+4ukD36hGZkQy1Cc3kXhul
D0DoTg7DhWczEnCT4VJrQt6llCMyZHgBvisQM1IzZ7wNUYrAJbMOVWXcDDGRmNI5lnqfQJGKLoC+
Uly1Dy1RU+RZvwyLdTO58WFwFwXOQ+1JBUFrSbFM7AmpSTVi72vVHhXdVdW7FLf3a0L7fmUgEsU5
OFwj0vU+AS+fqwX9A/9HX7RTdZ1H4rJj0EGy5MKCUHUL3kOr+UyG76XjEM8kQKO6yXHKRjIrQ7y7
2Xkmg97IPbbvLK/w8q1FK/lCzOorgDYbQYu4mmpxCk0LBF192YFchVdwnK3kRl8aH9Eqe735cpyn
y14iZumWglujPV6oQf/YEMshBKPBolw+2DlJRdCksnPSlzdl1kHAH8/Zkp10clo3E4pQhHzEuTUT
aGk1ZPpGIJNXqfsB+y+jRU2PdmZR98e+HztylEx1K5NmvkTlbO+UNFEavnraeC1iead6XKNGnDOD
jNudgWMyzJObvtTux6HcxeA7N9UatZTAdiu6VzfGwW44KaKJcev1zOjjycCNDS0u5b7cA7haA6id
UezHdtjpIgw6B+OrAZutqu6XUtwUIcVhnDAed3k23E1zfOes82REULKWT4LZ7oRI9KFGi+SnSfu1
tAaeJg/UFv61BQYSviS8o8ObDiO3xCvdCMRYnGD469cIUKhdjgaFLIxuSNu8EnbKTbLYT7q9zd3S
B9Z4oVR1gFm1UUu3Wp/PDE4Cc9SOHBS3s4w6CA/IVBhx7hrPehQtOSZ8QgiegwZc2vl8yEY7P7Z5
iX0QB7k1a6dMLQ8sV2Pmvd05aav7dCDuLgWE0Iep5/fS/OT16ScoAtTJnFF0isdvVC3wSTUWyNQG
efi36L0XvVXm/3vb8qcp1q59U38l4Fi/6lvFMyBlOxQt9pdMrPSVl/J7xdNBtkgXc9vvZe3bPdT9
hTIHAIY7Kr36O+/0W8WzuaLCX3EpICwY1+XqP6h47juZ9I+KtHbv+CbomdFOk99pv/sevqsPWZEb
HrlQ7jmc1CnqmqG86kZzdvy0GLi1BWXSL3t4gmqFT0TTI/5URjOVV67MszR+nix1X8TNHMQKZ/jY
9ftmjAL2Fkyx9NIkuTx3NpWXfrZscJBWaSdbhAcN4Aj7jPQT5mJOCCd5zWWRfRz7yshuO7eO74mW
O3jjBLoohHoHJz/SE+0MPlRyGg3Nti206HkGaXYThnHi3MQ57Ea7lCynxIirDy1BDnzDDgu9fHBc
DVMXKQDjFgh02CELUHHy2ItCDds8Gz9mJkAYdp7VASlyOhNw0V6NqTiNvX1nI6UgGrN81Jf8oRew
EKu4/mJKkj6cuP9cgK/z2y4lLcD6HJcpQGxNnJ3e/OhM0yPEF9u3iFvRBi3QCgD7UcKAT9S1EUhs
zfhQXbGFAbqSEiV7tezFjOz7TI4g42o7mLXk1fTch6IXb7qAPK4K/ii27G5dC7xchGr0MPL9N2ZU
Zy+zFbFIHZODTipW0KyrySKXD01umLuqzPDSWh0OkdQ8xAhVymFoA/rgoxXDs7YLKIwlApKN0jOU
6LjJwPLPJ6s2b0O0+f5iYZIqhXkgWRt6g8zAP8+TeZy5jIOQ1F918JKyVxgOQzvcZq7aQ1r/FMXV
BQadC9wGrZ9ITdtYi4fmD8GqF6vdFGqvtrfscn061mF9jloHVX7YBnW7OIeiZPSnwvorgWJoiBKY
Cb1WfBljbwqGuXzike42pje4B0Sz2Y7H61YYeN07WZ074l1JZSH43mPtHFVscmPjLqxR6vbkVWz0
qQX0aA8wYIi0iO3qqU9NrmFRd+p4BzvQ3IwRgSvaGGUcvam21JRjAeZ9auyPhurOXpc8pB22HY7w
xyKK72JYrkGt93sjWgWzDhyFIW7vZjd80Ef9dml6PiJGUgeMOCNilRNc22140yOTnPNQO1qT9qVt
tDjQBXHfs80lZzG8nHEno+TIVnu0XXRfYl5OFUiUdK4YkEh7ZSSVll8M1NZGjJd2ZrwyjiUJTeY4
iZIrJ62BsOruBQNMY6+j4QUO2/gGH4CAioausB53s9dde614GrQY0gxP1oY0OlT0vfW1mKnFWV3d
9Uvtd717WNYBq+tOwHlKxEddhgdnXMqDJng6wzUwReXJWz6bC5Zv98ke7Xuo2tNxqDK29K15JITJ
ClByXcaDZqJ4ZqmuF0Lsxia9TiIncLTsrsiHMx4qjSW5axBjA6e48IjpLpudk9OnjfXIJh/uBeRP
54GksMHXW/1raIoX3cq/oFs7NqOFCT3qSOvRzDehtEd6F88viuKxYJiyNT0m53Nn4BMpnqtZXIAq
mKnWEiq/OLkAh26tVNZukECqBA/VkEjGvNu0IT0wBtr0dnPlaFO3XTKyi4blc2uZz430rIOnlwgo
PPdm6QeM8YSMY9QnEBNMA5zVeP4SzgivdZcIv7IDNVPr+WHWq3nTu/jSi9h6qR1xTwfOsDsGgYFe
agwQh6XEU9ZIuhP9PPQ1pF/behsWGHilTW5Lag7BADP1kGWl5w8axA6vbzzY+FCjRjF+QYpQAKEX
1kEHmXFOJmLBB9VMSETw8lhmczeWxIPM0u22xjJss6REaycTWKPWHCSEopM6HtdXhK0f54KQtnKa
goIudmu6kE0ni6e1btMvjluScbTyJ+wy3EXCmg9O2TbHqha7LDaTIMZAvJPYPBkFJsu+TJuXVgKT
abV9NIb7ikCcW2AksGorGsJZjfoGyYW3m7Sy2hAhFN5iFoGn2hhHJgSXKc6cXVekcq8a7HMjwGBi
9eb5FPf9K7BZgMV1Z51MnG6QFZZ+S1RtSYYxTfAyFrw3xC3vbIlyRAOWt4no7zZ2Nxwtxh4bw5CL
n9vDRZR7p9BbLrRkIY8dfdkuBHbWFiEwXvdeaq5zidoPRUC/rGqX+abu44fSRKiRcQfb1djvNn2s
tX5qdV+cpqDbRD61nySCn9mIOrTurEaMPL7pEvRJ4aIHWZUM+7peLqwuvAxzK8iAVA/YA7dW2uiB
SQLYJnHbMwq/L7IsPucqRETveqRVOBoIEs0+VZact6ETsaZfYBrr+vho9NmnKtNu8ja5BzBR+RDv
HQgIhrNpRf2WL+7XqNDFrrOECtpE8C0TswzGXH+uEy5wQ5+cQw8wGyPXIRgb6GxVmF2UsgB6PqXR
YxPnQTKGz44Jl8fko+vmxde26J5tC4pu3J3rd/VIV3wJsXduDQ8pB4PUR6TMaKMStCGmpt0ueq0H
Wg4etuZyWlXZRd7SiQhqKjB1DjDDeJukOrh9eCnhBe8JczjlYekFTUYwsV1+LOb2DDEcpPJcIOom
6oA3FBaRcYEq/lWr5ddxQunpECBSNtohVOkbYqmd6qtur9x6q2r+FebpI3CzyyW6KFKSgHpYqipb
m+zPMaZMnFv6Jm3dY58w2bY7GfnKaU+LggDlZrw9BTlYKcFq08LznIQmoVOmeLN0LtGMQ+6TNOI/
5gAfCuMyaYGhk0VL2hkfuz2d2wsd2DGZWA3S6WyszjktNkLKvk6unUZuQm/8aFh8cwykmzGEokEm
3N4qOgyo3sfIDUu/Lpoz6PCbtYkh04RAELCT4EuKYJbWGSXOh3bkOlErPQEW0NzUiXfJhhDVmdPc
9aAyyb6zDVRUxb6v4FtiKNw6xsgIARHsRhVFtEtCPjrlsgpzWwK/hma9dJfDNqbvxIeQbLXSWruH
9uha8Wmc06+xYSe7aJTXs5Huq2WvPIysct9i2zSmS6llD3FOyrUmROEjG9xzwUGKCteJbeNnS44g
vqLP0gFDZsI70EI95s1qPlUVJLTJHGH01vrQXvDxAeQ0IZTv5KPB2HaC0iYVHPiDFeHYrHDFdFkQ
Squ+LZ22mH29xDS4hV1raB/joap0H32/ak9opEYY1ck4yAFQ36DNtzPvTqnbiRaIkCt1tLhjEkgv
O1Ujuq2JBciGRKf94nFzayttpxFkGpSZNu4SUQWiyPogHKqnUBrwOyUZ6MMcGdvcTD9YbXk/Cmwu
yhJfm7T9KBLWugWNlxbCsfNs7xi74hOLj5tpJd3FK/MuXul39F0A8DOIePbKxiNBZaKcsDfN9PUa
ujL0BnN97+jNe28mDiS+bFpDwEcUwdS55wEQnweQjwm7tylB9BneDNNXXLKVprup6s/UFlymGIEy
8H5q5fx1vf4GcLjcLymK65kLpgAK2Kx0QC9eQJzCOqGvGQMnLF/bsSD1FaagvdIFcZJciia/M7Nh
i+R38MEujgfOXcI7kZXBbfNLG1phP/CJXvmF6p1kuDINFXBDTLBIvMEd1iv30DOyl6wBUBZfZ3XG
CTBvxsk62q2yNp4czpqC0VTCUyzs9LVeAYuRMfsjxMUq0s+2N+9ySIzCvHZwGWkEercrpXEA15iB
pOzAN3Zu9wHgHbMPwI6y3U+Oe4+KzKfvPc/gH5OaffPKg7QAQy4rIRKu8ws/4Id4Dc5y6QW38cqT
5FR4ESthslgAy1VAJ6eVPqneOZTFcjWuZMoGRGU96Oi8stuRMPhsZVgOTLsLoJY5cMtkhVyutMt/
L/S/XuiZ+f7fF3q/ynvFpoIFMwCD4+v//s+vASY6X/XtQm8a8JBZdwHAYN0l1izS3y/0Jjxk4nZd
Lu9skFc6xrcLvbe6HPkn7IyQBPRV1vTtQi9/8UBpMBxg9fyrWeMfXOgZU/8wYuZC77LxlgL9NT+C
ZMP848CXXVSUaTier7Oldufj4lR4nBiCduG1ycgKh5WWaibCRUxXWh/fz6sNK0PIEJSrNctALIkn
v8m2vdeJQNlUdH2k7ZSrravH3wV6maAoHF/Lav0qrJgOATdY/m4Lwx+Wrj6x1TBWr9axQSqWl6ud
LPEcFWS9EWI0xGw2rrazeDWgxQ7mutWSRn7fxwGPWoJXzVlNa8D2y2HZJw2WjmG1tWX425BEPlb4
3ZRYd+arBc5czXDeaotL8Md5aXvrrIa5HkMFx5R5g3sPC95qq5Orwc4MUXeyG/pq4b3DBQa2QXO3
3fw2Tpjz4Kxvh9Wul4MgnEz8e2WE3Wu19AlVYu6zRpj9tUEprjQJ1JNrrTFMF9aSpFsTf2Avw11f
DRcGvkED/6DCR6gstW0ZxZpQ5P0u56yGn/XWERCJMRxem74xFwtSLQhZm9QP4lrRobi42orkQfbE
JeZ5fSiyaDtV6UPuaQGRobd1q1/EWu+HRRL5rV3cDrylfSFi/F9JW+47nCE76dQnwy4+lyrOsZWE
lyAfLsshKX1Bo+ScQOG0t8ak1+FL2uaRuVVWFZW32tLN9b5AJcfgJdOf0NVgZ0Ty+4WU9d0U0xMk
Zv/FU/GORUcEP41/TvrxjQmp8lM1cecAcNrN8VmUoSTdepp3TRd/HTWHs1POzyg+H7plujUG48Vq
aybOy3OC0d13bGVt3Ui8JuZ0GvVofsljssLRWLk+lyeC1tphY5NYmdrtbejlB7eV2mXvNg9zwq+F
GAo2bCSvGWihsoqXr2LVBsfwFAna8badM+sH+lsjrcQ2MbrHocvjAOqsGeTSPGcRa1ZbS05tSN2q
DXIyCqj+WhV/iWi9wdnPy06OKRN/OOGmpp5RJBwqPjZ4WLnycXNEK6GWbRdh7zcQ/k+jCH3ZaoRg
a09tp5+cGupiSpG3wzjawttxGXHMGz7NNEDtgZ7R9R2QaJQ97HkFq4RGUuGd7KuKQaYW4tOgwksn
Jwcum9OzNPWLel3NOJV3UY45m2nLGkhvBc+5qu4xMY37ZirWtB220KaXfyrBIRIRsQVXctRV9Gzh
ZrpfNLKEtTUYAZnyB1eL7ycyF3C/PjWxICk89o7LBHI1kvUFftsnhygixpv3GuDY2JLXGsLqWHfe
arGci2IlgPJsLs68BLWBW38wo7thqPaZXh2iPtm3aexxCyNjhE+P86IGdYzNtL8LJYw53JS7Yhov
nI6Lzr+l7b20mazI/+/Sdv5U/0VhW7/m98LGbhZ1z6riMH9VR35f2JxVD4XTHrOhuWqwvxU2+QsO
REIiv5Uvys0fhc1YFVauhXZat9ea9w8Km7Uair7bZL4XNuQlwiANkpk105sfC1vbqELYg7lc1zU5
swaoP1gtSCVqYuGNtGE/B3OHKRDZHP1nnQD5xGG7pRMpj605X2+E4B7Il7HnK3tBkG8TQ08p6DCo
cJNK8t0cyht9TawHk2tuG0LseTyvRgs1AeH2kpB7BoSAPQn6kA488zZC5985471jVz1XZeNNc8oL
OgDqwyCiK3cNAMHDG2LCsbezyRSq0fR9YSVHnVMeeaZ8dGvrBgDntc0scdO3JYezNeSPmTPvwylj
nWl7t3ka3UescEr6C8oTIVFRXunB3Im3sYrSq2Xp609lx+swutovWovXp498zQHDqWVkaU8G6OUc
M0YHCxPLeVSfej3KtiYxYJseOVyAMMxPclAZTf6ZD2fQ4bCANE0idkNSK5lS6X5aqGWuHu+wShza
ssQH0RHApOKgFblxNOfqggy05GQwcQhhrnPkkdkUZpC9M8z73ujcN0bi7GbZAg0pB34Lpo3XMmc1
O9J4kM/ibGzFsgtMNttoy7fKsvNVF76oSD6kmrSPCTtdMYdMwnVimsXkYz8r6FHScUPmOKJSIQ5V
HMLcyQr9ASa52riTfYSlOgUiqu8MIz9MQrp+zIiUaYhq/Aol2tEZIScYOubDOiWeCyzndomTmTV4
LkhPy760BqDUoVmLt7aszAOYNoudEaPIHV0jtSLQOkPfDaPuZWDXzALPR1genV6zD5HUR3/UZHas
pY2hBvvSIICiwIhM911l580BG1IV3stRaifDiV8ZyCC0DTPvtIA6IkW5PaKxegCb3m70zjwIDXAA
HLatint7O5DGI4eyYvrSXilVfK0mwtrEMl7o0/BUKzDNzsKywwS5kmBV84ewfhqU1EmTWS77cros
GPX4rUxvl04OflVF+260r8o10jvUHjscNr74/+yd15Lkxrl1X+W8AE7AJ3D5F1C+qqt9T/cNoi2Q
8N49/VkYiuRwKFKh/5o3kqhgeyDzM3uvPcy7mOkZ9GTzIogX7xxtY8mYrbCZFCs3abax0E8p9xZX
RkvDE1x6NXmAf8MOwgr2oV5ZW3jopHJolVzXcdFsZJS/umpyjkLFG9OQusV1z3nq7lpAeR7euA8Z
yIdCmSovVEJuMl39MGT52GNMUkKymmryRF7xx60VTXnuTXYFQ4vKDgSPh3s9ubET86Ut+2OjiQ+2
+0cQuFezZh5R3iGhLqzLyLjgnNfZNlVZd5TCPhpj7dV1jKhKj26Jt4ZkI6cXXdwnytqcnGMp5cbt
ccGwdcJBVyr3smfE0SYpm2+heHpRP5dKexvbXeCBlL6OyIzybKP1jSHwM2pERbF3zIYKqAAg59Ua
5XOdTKs0cs8IzveiTy4yIyiOWUmtD2gsxQiuK5tfXLtvmXHWnu2wZibWI1XiBblQnbph3rulfNOt
UoXFwWopG9xVKeO7NrXe3BppYTc2ICoq8Rgqbe5pWcBLXEQYm6N2nVWchSt3JsC+yfUp+0Uh+I9M
eVnm/vWNe1fkxb/LtVw+6oc7Fxc+YiDEtv+6WH9rJjHRgll0bFz12CAE190Pdy48GtxqQgORyIX9
453LnpmhITmqaJSxP/w3dy6umz/cufSySJNpJFGYkjrCqnpR6f24Hc5LehVGnxf4PQQRLFpdVA92
916T3N2beETV5UlCzI/eUXMfg5biLVieN0Q9b3Dx7sTyJLLJ9mEF8WzykHaKum94aJPl6a2X5xh0
no/7tN0khvYyLI97szz4WVXtGeZ7dFYX9pZ7gNXnhjdFW14ZpA6V108zWqDG2eW8V/Og+IL3rB3s
wit485LlFUzlcKsb7bO7vJykkd2Qw6PBklTuleUFJgKX24J3OgxoYeNvqGdfhuWtB4h22yznAHUH
r4t1zJYTgsyF7bScGWppkuDMKaJynMwcK33eHZ0m+Cjd4Sh10DjL+WMuJ1GYB8SEcTaFuvI8cFih
i9Fea3Z3q4GDbG7qR8nBFsJEWw2lUbERTx9GDj+cZ/wgHIdLXvC0nI8aP0PAgYln7xU2ULPpg0Su
h+VUjZbzNeegDZYTt3ayh4kjGEnbS7acyQmH8+hU2/b7aZ2R9QcQcONwkFeBdUmWk93iiO+Ws36a
3cfYdjcdl8BAjpe63AoN10O+3BM9F4bDxTEsN8jAVSIjiztluV0qN3mslvsmSdpvFhfQYFfImZcr
iasJU3h4ipLwymVN6udcX6DKWk/jQmsCfBcNV5zOVacudx77JxfUXleugSJ85KG4C4Np2yXAobMi
OxAL/V3E9Tma5XG2c1Rr7RP/H1YbBNRm7zjkestmFcXtNSPM9OSO2b19Ql3AQgxmu00N60dGEPmi
a74yjWZS1ORDEA2K9SAEFp2cta5al0VHEmZC5FyvNHdaX29jK3k2J23LSDdccaEfvy8U2wLVe55n
N10c0ec2kEtbsr4Zia4nRrOQF1zHS+YatThzyzhjOqJPxlYPi2NChHLqLvtVt74xk+EQR23sRfV0
hV5hi6zp2BKNgMZXiukdDWz9xMJwATy4mUPLl4tbvVQdEhYdJBE3aulWt81EUONWG9naGeomUSKb
Ki/4SkKY9rgRvKgAPa5W4iDy8bGx67c2oWcui+JGhEDlo+RGKynDCBLwiALyyxHShCF6X6YqHmqr
vdKM1OSHK9eVEOzzx5jkmNFcR4E5MHARsxfjnvZKmfltMW4Me3odbd0HFPXiMAtQ3emBPzRC3VjZ
T1I5YcEhnFLZ58uIYSnM4tR3lWAXZxMY+5y1osPo35zRIrRP+INZ1hOBpWcj1m+Y6YaMAfMRCt4m
OuZMsR2oJInc5A/y2C6xQmO3JA4wTOmoIHFWQ6P0p6zxI+l+IxgeRXUdnXo4Jv5cSVaMmU0geZLv
3Eq9QrL/3qAxU7EuTyMbocRkL1JOZ7OL90NNWGuGWOSoDwN/22XN3O26pn4nLeQSj47fxOa9KkNu
16k+zUSvA5rL12ZCzaQ6Ebq6BSqVqHdWF3xW9kIA6rN9C2rDa0S/00JBHmeFcNBge6PO/TFCEh5L
Ah4c2XuR2Z0HkR/ZiVIOk7hphs4zWH2aEmfX0abUk7p1RXct7f5J1ct9YI4beCtincQp59+YK6vS
Lm4NRn1guGqyVkKEAfEu5QAsZX8V2PN9RdxspbeLBuRQV0wZKtYIIysBPA8b267XBqk4RdH0foMl
nVPYYDvRHtWcMQm0dTQiWAFK9S0NGn3V6t2LIR0UDYyR9poIr5cJUxmGNyR5nlxnwqtPasXGnoeD
CoZPFCS2JGUYr9mhuXsjtLqtG43XRqpscIdc667zZejzJs9Kv7HbdcMoaCMlfJZBaS9TW163wnkY
ZYdl3YIxOmaWu0b/kn5LjGDyw7L/igmkJ9iAvMkcU3Fxilz0gh3R9d2s+zqiQCuc0FeSbR+N46Yi
7D7R9Hll9ckjJ/C6QXJSKwHdjOo+M9t6GivAlFnEyLDLyGQsHa/VoiPeGi8aCQdFSGi2sBEDc9oH
lUsBrQWw+Hd20ySPPZCrxNeUHL7l3A6eA3M/VeVet5bWZMhmfyyiD7M3MKn2DEdxrby683zR6szA
1yJCP9S1zVgzGQqM6ku0fQI1Jjm3khK1Q1zrR4V8KmL9mvTpW/SPjFULE6h2884g2UfXeiCm4dLY
434m1dWrhdahQswfxkl5ZL94j8cvAdBi+GUq2eshlSapbvbM2UFwCVchZZx6gxgKQFoq4p25JLjY
AVlJXsbiMfpFa/+XnullWvHTSMBecgJRsJFHhmT7p5EAYB20MMA3LtpdtvpmbfrryptXJFa+3t82
Z0IF1gUmFHmytoMf7YpNdAAsGZ+j7T8jpV9GSgx6/rrAvU5f3z/rP29LFnT6bwWuCtUFagiK/yWv
bhnq/FbgYu/FmWYats0E9vtK5NcCd8E7gqeCAoNGHh84H/X7UEngmzO/UwFsbCnuf1Pgcsv+6QkC
XaVhLiB1knj5nz28/TTQNppiuLQj7woasqeihwRS9OgC3fBCZRC/s0LOgR4Y90aLeqQ3FFp1MXwh
k9rwZJqk3SpEujjVWiUHfpUJInZkHbzVIVfZmIoatUR+a7ppiPKqCLYDAbBOxkw/KsVbZ8g7u5+f
Itp5lL9tt9JL0+Mtz3bEunLhMerKBHhUQEubOdXv+Fr+0PJaomKOfL0jST52yByD13QmZPWBoAP6
vCT8iBvnDJThRjXHSwRloxAL7pYcIh0CwMZ0kDrHZn896syBWQIAGdQJVM4WCmKoo34mSbviilPN
BQvLUlOLsEO5LUdewip93U2lsTYS0uiTFNGckbmwXM372m1ZYrt+ZxjrDkHBqqotCTiYRZSG+KLN
I4eTcn603I8MwnOtj8vI4iD69lunIqQsWR1QLaH/6Cb013aPn8cap09WsPteExthKIJ1SfQYahkK
Ood8WYc8GbMm7EAuIwpxGaTAABd6lEqP8Kfe0MYfRZEQljP7C54F8ce+C5IbCjDUmJZ96/AbCiTq
JaWoN0OaXtWme2tL9S0ZZ3U1Avhh3aAt+XXDQ6abzzFpEXoJ74SMJYxFndYsVcdRi517JWVBYc/q
I5sM+Hp5DGA5eCjH+gr3BbhFqIYNZAdTiV7GXrkvDfK4ovEW5u0GxOa3TonfU3j0K8viJqzLUKzm
JTFKZ1klpulO7VCSVKZ75s90GnCnVHXsB+YX8pg1doB8NXTzphQYFXVzAQnGOzt2qDRCwWIe/UCd
Fy9GboMsaxZPxvhqdigBeMiZ0YQ5eVTcf1qffgBbfnJrA3GgXmwR8B46e9oVdovFA0eHHhn3Fp1D
KKVCzHB1ralDu0ImP/oMMNDHKFPsK1HnrCaDwo2R2GPc8kuac3jkVsTWzuT2ae1yjasM0VtG9mgD
k/JAumt4pXfF49iAUdwbvHPPGXPRYmKbF4UEKc2t+VBUU3QzDbW7DxLS4wrRjFuzJyVL7QaTXYkW
r6cuYjWolF9MBlsXsHPFuiyIgnhatxlbnIceVRn7oB7xkIuFPDHv8sBgK0e6z6M0Y7jbWnenAtJe
BRP3Y05cujuQpOjEsS9ydzuVpFizXnPoNuv0QD6OWKyeS3yV8Vz0Ft3ozOuWRjzS+dDaeBcQvyK/
xjOHktNxxzunHBFGk+Y2RvOH3o50waHjU7tsVPwJXZJpwGGInMxtJ4JoFqIlElejSch0Kb1ZdZ6k
hWvCQRfVOuTdte1eOsaqRpydjsV1KrsNuqTWm5XmWJTENZI1fjCjPLxKk/EhMYmGnQxtW7nmVRPX
12PVPbiJu6sNM4fRNrw1tvlYFMa3TBW4/YLKi1ODLLBqnhHeEFAWEbxWzMypiBAD+NQjFUGH7CVR
elIHFONAGzyMPMg+WouBGKJevVLWtZF8TXP1UMbisazkOa3NNxQc6M8ygeYC4nxX4DGp8OwY1YBl
smU0CAPoTR3jW0fPT/zxUHnE88DETTxkfT/whoAJtwaH0HLCjexZMWFaufMqTjDUtrxME6+emPk5
I32PW7aHyMt8ruMU0LUD3pxj0LWnxEqBubqCnFD0UytqFpfGAkhmJxwwRxkKnSBpPxXyiTeFW8Wb
tnPlqizx+QauQph5h2qc+K05DF6VKaPRnR+UCc2TNk6oLqv4birH0auHYVc2yMARcCS+CKv3AVYX
sX3Myossf5COTY1fvsuZ7W+IZ/meYe5OyXXQYF3mBSV/jVQEm6lLoE0FDsfGsMefHTBA6UDEcjuU
7burD8w3s5RnjaS7wSIJMlTqQ61qcCVYcdCBLDRjsuAb90XPmlac/6mIvldECwTkryuiU9H8z//L
w8/0s/lzWbR86K9lEexOih6mdIDSfnKFYBhBuYGARCAKAS7CQu3Xssj8X0fnJgaIohrEUfzog0R5
Qkg3RhPUkmhQqJj+i13bUjb/6AkRRHqriwVzQe4hKf+prMb+j9whd+OrLlvPlmDUvTWrpx9+Mde/
fLa/w+NR8PFV2AxC4LEYMGJ0+eNssSJAj7xtUjTaIpapXzgq+T5uPTleYOjJOjYaBCCTrsHnc/BS
lVHspTMpbsjjbpkR3aTS2epWJE+Dqna+yt7J09BKrMhEVT01hJaiZ/uuj86yd3fc0id1Hm6aST9X
c3EkH+tCvvhBjRkoZv2SR69W7kbgG1+BfJpQN7gfsMtAysM7ZofOqDNNuy8sgUyqcttOVqChXCDF
fDzDOiTKHNb2YVDmbBsMoyDcAxxlvIApx24ukN+1uerBOX0MFnilSC2DNw9fiwJgdSvVJLLXUVfB
IuW2owoFSIc6EwPGLnQXBqb2nYfZG86VPTXTuBULKnPkbgCNApTYeZz1inTcSk+3tTLb1lYrhpEi
rtRgx1bodbJ2CtiGWsrFqXTlzOenZZZMBhWy/wol3zqFKX1GpjXydELXaxCjEI7N5NB9xzvw9UA9
MHgB+8CyDwRECAyi+AULoS0H/cKKcGtbHHpmY8/LrvmpFxGDKXATd+Z30IRTJEAnqMSZNTpRj2hC
HRr3oSi4umwSzNf4SExfL8cIoQUGE8gCE2Brq79yuw6NDr/zE7Lo5rWJwuM4IZybRuJw3UruFeBj
a6FxmIZpP9zOfXeIVcyKbqG5t+GE7R67EurMyWWFWeKIHBNAFYXmi0o+MerCUDpnvW9XkuTVFudS
wxIa6OwoD/bcRWvRTgR8tqnm5W6wXCa9vrhhmy2heLvBZKQUjdgfwzLW1o6SnZEwnNFpw+ep5Y1Z
WHtIQRRrdroDKJn4oaFeN+5w12qifwgpRL4KdVw1YOTsYbS/Ctn5FiMqXP3avap0m9BuN8TFJGtX
IRPQYYg4Mvpq7PKjadrPXJI6TgpFFSuA//oD484NB8hKmPPWHNXzBG7CcNsdnHs88gAZ6v5Ntbpz
lSmbdNDWBkCCupvec+aQYfEeqJ3mD3ZqbEcR8k1Y/bNly7d0JnbVbpLmgKSEcnmYT3oGbi/Uz3bZ
+UOXPJf8+ZrWSP3cEeugtzehzihKnZ/HoFmHGZyESq2I7UZSpTW5ukdXHPvaFPnI2q75GW+trsv9
Uc6hTw+F1LtX5TkiSM2LAv2mTfPmDATpGOojDzO+jbQCGZwEFO+AiY4uL5FaIIBxa3/EXOKUxskc
iyeGKV6C0rrTwxss/yfBP/e6eyIG9CZy5SHVmTMHTC0AWaz0KaGnilB5dTWL67BWrxIleSkS7aVM
soNskiOxkAcKiJt5gBqCLr5I07Nlxl6VVtORjOBdCRph5eDyqBKx61yqx5rBHQMkwo6HA7zeaV/N
eX7Ap/SRTQG4jAhm/hTSFVqjkVCWlduADMPbeVKqzd+fvHgI/3y+s3FBpKg6SA757z+evNGkUf/b
KaLXKtEpXVwyr/op8UFlpqc2MwZfAFEKaUL3WTl/amXV3FRVot475Axg0h1vuzo+qWPgJ654Usd2
iwv6i7ThkAQUKPthjHEJmdWmmHmm00BiDiAkbogd/EJVr/vCaXcoq99wm3WejJtHXUSo7rTW8NjC
Q+9kfld5zbiHASPYk+ZbLa63Ou1qSkPSZOJjSrO7TsQHGrnj3KQHbM0nURZsJnSX7fWEkHaSO32M
LA96o2cHKHIjVAwh95LfqM2tOXWaV0b2QY1c3msjVE9BCys+rseHWALdcm1m4vqkX0wJ/bKy7Yl6
Njn35XwVNfEeW+7WIrOcoXi1DxZcPV5rvOgU6gpmQCssT2mIwUPk+kWSg5122Y57rV7xXc7ca82m
iOsLc9hbWGWLD71PfTtXJBND1mR1fS0NRqrZjD6KdfSDOSHoDkfJvlwc5QIGGXlAnXreEHeyGFy2
GKpprLRnhuaIMm2PZKwdGsuz0RQfhStOaoUkPXSVj0Cz51WpVzgk6bVpoQBflstZ1p6ksL/parpR
VepEJPjPU6ZrqPmmZG1G4cWYLY0QPgYCZhk70Prj7rGAWXqka6nPKS7O/d8/qj8DGSgRbJPdqGCX
Ce3N/alEiOd6GGs0kFcBmhQjPtR6t/r7r8Bo6odSh08JVk5jywpd8nu2108LTijiueW4IV2RTSCN
fZGd3Mnyth4AF9QIJu1q48brv/+aEB3/w1ddfu4f1qpdmbSlaSjKWZ3yO0vX0fnwP7gVv4UmtUfk
5rHXOtaTHRh7hkeJ14/YaFKyADxVJ6Qur+dvhSJOsjVVr8kiFkiD9uZEpvAzNX6wWf/7YcLYIzWf
7SAZD1rK0panKS/W3SzytVMqla8ReOyJfJr23SiMtyKHAWrOTJKllO8pz+q6Uu3I5wSe/BZtmNd3
7l1nknPNefgAJE7fZ6EBE6r9wFS341K6b+p6Y8OmW5EjtTPUSFnHKhUKOcbsTedO9eBrkE42WLgH
5XirRzkGYzYZlREi/nGnIw/9V9UM5LOWcl+bUE4H836c4ydTTQ5Wi+6+TijWZGCkXtwCObZB6yZz
zAIGT/EU6L6RqioXTMIpqz71KgBcGWdnJxq3eT2s+2DmCVbXSRuyMzVKkEus0co5dvw6Dc4lPsTQ
EjutYKrthONdZLOVHdkWdy2KKMOAv0dntoUjhQStK17tsDrXanZTlSiD2xHoknboLawKvWXsRE5D
WmraQz5FuzHAKdfX3VVpc0fi7d3XtfnpVCoCXtKxKsvchqV5EsO/EJN/OSX/Tkj9vZz/8zNOR/Hj
0zaYlBjkOSnn+JRfh1fKpjpWj4CG9+CVTw5Xj/euk0V90M75y/CfRvR/HLD++sXRAGrELJJEsLyA
PzzqWkkmeOKYyrn0iSk56V656bC4HZUnsYG7+XBRvNNTv2YL37/yH+nVdFJXB7kJrpbV2n/4bv54
8f3yzRiMji2HoTOSi59grpM6EDGuxdEVfNHSSLHEPtX97u/f7j+eWX/+Gj9BZOY665QogglYVJ9h
Dar55u8//7/9GQTsUuEwOteMn/6a2ciEQ5UVl7dyXbE2ry1qzl9OqH8UO0sp9Nft+wIx8uVn+O8g
Rnzgb827vUCMKJ9/UbUuHfqvOw36eguDB5eVtYRT6bwNvzbvyHkQweoCewaMMuDkv+80dJQ+pgEQ
HzwEvft/mcmxgPJ/uNMoYPhkKHINg/kCoIjFvPLjKycJtUDs3xpnblcGdFZStVhLO9tKFvT8UOr4
FWboWtgMS330I2wHdx3D+JDp4MnoYvGaRDlkQFR3avUSi1TTrgetQTIb91MJ7bzP3UtWtPMhNLpU
7kHB6PeGLhRrrzVqraxcl+VrFhjBIZlsFalDksTanRRuilYmnNPmHQMi8Bu25zy9JVqF3s7Tz6Cv
pF8AnMDFYLLT2KoxGhW3YtV9S25NuzdTvWHiPDNbW4Nq615mkzYYBFikHvXODY51VWEgyKHCr6PR
rby6gkLaqZM8Wu1knoJgLlH2uIH72jX5EvpWBcwqhclhn+RRdx3p1hLG9CKS8J1oxmxNUgE6Btv6
LNvs06aVZLuRVeYHhZ/HvMLTq3DYgymyNm2idC+DzTXW66qU3oDTBXkqdQRWI+dJU3D9u5g93keW
8bvGyPV9pATRSUl0Vj1azc6i6li7lmW1ReZcYBAhtSJLIBtaTskdVNOauayO+ONCu8cWzjUbYCzP
jk7nFlBdakHIoTXvE5MZBuML6DUISBBG4HsNWdsakxN7RdORdUn/WTrup2NGCpGb8w4GyMWIpb2d
Aib5SrNwoIOaEaIJUDCCrJMMM6UsUwWaabzA2JVbLCBXiUEAIBc8eQKpNfq1Jax1TDF5QV2cQG2y
jFtGJflnrJr1Iatk/hT3JoNwWX3kUx//g177l/2ME+avTy1+3f82kIMP+vXEwrMGvs92WZIb4NTJ
wv3txNJR/SMjZLINDfsPJ5ap/i8QbjasrkqU/PdV629bWJcUD2vBH7OyYKbCYfZfjBvB2vx0YtHc
cxbhyeeUYCO8fH8/nlh9OTZWHkbGpRkpaOex3w/0O74WG2w0KMHJBmPh2U5PApuU34Tme204p5YY
BN9SWUvGI7DetoZIwzR9las5HjfQYQ6vuw/+6WqssZ6RS4CcrujeJjd/jiTRAFl6m9AT5lN7YO56
W5UlVX81dSu3BOdZa/oJKA2IcEU8NAnvWEr49W4egoe5iJ8sLP9Y0ufRs8fsYoXGRRvstVsVB0FH
mFizsZ/hmHjk+TheT/lJ9tFad8ovaM633RBahzwMtnhQ3xyJm7aZ2XpljOOYqKyYfyaQIgiMWJI9
1JEELxglj4PWvSRjTxpFEu3Yk+VYtlkvA4tAZdcjwZSlcZVk1SFN0JcPdf1V9ZG2GpWCPVDqICuu
S28IqwvUk/IwZhBTsKyHvsgIFEwifAOuGgZXjY27IEKSBoHMnL8cnSiF3hTvs+SXWwZZdKMHE+G7
Tf0ZIRk5x3ioLVfRQbWV0zbKG+fSyJHDUwz81TqiDmpi3rwEQw80OIa8fazZW9njzrBr0ixMhkw3
asg2CptsyBxRptDJULQZAyppmRnhmkEe/YQBHkyRUt/GUTojCzVXhj1aPAJFscuCQMM4juApNRu5
4WoLNuZgpICCWiirLKjXuRGfoLQd5za+ECm7b6dw9mXmfAVzbK9i4lHWSiMNf+qmeK0FYtomHbt8
NWZnXZkaQ5K6YrgQ21yEHMdbV0cplIV16atSk7c50IltV1rR2tDUeKeqQeD3fWrA6zSUG47YJX2F
n7QawYBIW7U3DlpsbGQDi9KCGk7JOg3pZCIP+J3JgdYjMiqa665T83WkOBNhxeVbkRJLISObtRa7
u0Pp4mzGwywZLC2/IigNLwOGiIc8QqDT0EmSBZEHK33En4/hT7sQSROuonLGLMnvfWXUKNacgZTf
CD5Ihx5SfgDEFaCrcSr3Yabs1DbedFa6DgArrIaMVV7m4jCgCslWjhmD5o0H2ifucc/uY/tm1kht
Hrtbe8iSdYPlEeSLnl4lRd7uKEa+2nx+a7U+2rQlOobUTeuz1KD8GljT07qy9yAY8bcpot86QW7e
6kr3KN2iVXy1Bam2jfSRNDvZle+g0dZiVkjDjFi3N05UbRU53WvKgAoqCpku9+4hxwa6HgaEEm7f
ATdnLF+KGWhNGq5lnisHxcScahgPfRPjNwmjewK9DiLOrwfReIoizo31Egj92BV2/21K0s/Bbk+j
Cckor5leOkM3nLpGoBd06dIlhplVmKgnna8WQcnqexz8pKN52pyewQBpq94VjzPiODrT2Vn0sR8N
lgpAfNm+gG1nue4Jf23mFVFv+HnmYJqTGqK7PsI/gp9/1UuBuY9/PW/0EgYtIc7TxJ9Qq7JLp4R3
6Ri8qEX3zFqaU1Ate5Il66MctNcxsbGNJAYelKYINxo4IA2iVZWY9RoptL4Ss5aR4tWfWQE9UTOC
eFfMa/QNzqrIRL53LIt/s1XjVZeAcCrb4tjF6i7FgYKtJdjEalFdpNuy+0hjXBSj67cjHLWAjYnV
Sz+IdPsZmnpmrXHsENjZvhem2Oed9S0NMiw+GcPXen4bEduuoE3s+KHTTaSjSGQH66e2uIpiThm3
gHlVs3B2lQIRm7ZTKpthQYWxEnykIocbsptOFIykg8j0rXVc2nHjSgvLrWJWMGYimF6sqFONf7Ze
I4earZHdVyPFdQpMct0X075dzLTdYpQ2k5sgCxTuAmhkxnSM2vQmw4erESST4suN7BwKCePbDsdu
Kim3dcw6edAINr2EYDqQPaD8qEzcGly/pBp8BkvsKPcYCaQowhvnWi4SztDOb9UlqvR7SfBPR7cs
J/+6NvI4U+rX/6GsbV//vJFdPvaHEokmjFGg+1vY8K9NHSWSaaIzNH+vg35t6hzws1RULjM61qR/
sPUDrQWJ/R2v9/9h61eXtv73Ic7ifmSvS54YdRIlmW3+NFZwM8EomMnSJe2lTpRDXRXqIR0185BT
jcRebKP4j1FuiVE5OTls0Nhi/DzENg0efBqtjUk7ao+JM9716niaAg1JaQTioxsYy89yPriyfRwy
6OEZxAxpr4wUWWvlNBeEC5iWSdQes2ovZ+CqGZcQoAHWn8Idt7VhfBkOPebwPfMArDvabzLs60Sp
MMiDpI5jB7857zCG8efJhmPTpOa05pjIfLUu702761Zmp+h0qxg+yhkXAp2IGeKfqPPgKUWb3eqM
4MH/+JYc3kgKBMddZT5BdO8V9Cevt+U3uyI5xxY2IDUHJRC3mFLo37CsbR1Rzl6ANjnCib0ymmyn
273F/s/ZNSNwtcnkuKEkeZuKAKTfCAIYG4WVtM9SdaWXmck2SUZ2eCGxYuMSidxz7jhh+RGqiING
Lf9WEraKnYojGz3Jpx3o8xVulVcJuujIcS7wukDd5VaCheNotzqlm28WQYQuCKt2gWV+OwzJUbOq
/tlxyc7k+KsRmxCvRJ8r12Ygig2h0SRHW+O8ZvMLAtvFANOBpzlPqjP6CVb1jVPQagapMnktVf0K
VFRE1VTU60mVyInUBvaIWqRbmtOWmXM/P9LcRX6hpsEqaVKWhXYmNvOQJM9F3etgitkK9FB+8MNo
1XVk63LvaPV4qtwAAu2UFgcdnwdlgGnGp2DIy2CtFLBna/SKK9izwdvoSMXxB0up9rmu3iQgeNcR
G7YHdeIXvw0cDDNK7IZfppN2JMeR6zG0E5Auoj5YQTByiGncaYh5bmp51Br9zDaW3/qATTc8AXV5
VpcEEaXqruqITJEgIF2EIFF61SVxRCzZIyYhJOaSRlKx/MXuQT4JQSUBYCyWIGSX5EuKib3kmcxm
ogGuJONELGknxffgEzDEwviehGIn52JJR6E67B9xYTh7G67IKlpSVBSHPJWGYJVxSVjJypg9JJkr
/xzm39U1Oguevz7Mrz771z9nBi0ztR+O8UVvjLYMWeoCVVkGcL8d49r/4mMjXhLVjWPSDv8+myMQ
hKbYEYyolyDdZaL3q97Y5fOhLkdd4yxiHOu/anSNZWH1x1N8yeplRMgEkC+4OPd+bHRZY5WGFcjp
IvNrY0LiRSc1rMbWfRhnZvDqxLPuInNz5vTWmcw3EgcVTygz+MOITmICQ0i2j3ugHb3Q6xfeqNhv
bpSc0859RLP7AJ7wq+vCDTkfIK9c8ZyWWQnvyqb8ZNSl6tmpWHR6hL26q2Q2rgYVz1PKSmJV2ckj
86t5YxQ2yw0kfzr2eDhR1rckxTc6zW9KgBIHX/JuQC6IDPi6Rj4onWBhSjp3GcLCohhJ1EJqWAw9
nh3Eh5oT47vIe3gOBT/z7MdoPSoHZDSyRa66YOG0bfJIeYJohlsB8avuXqXsUeeFppkL2pAgh4w+
053EyCMrJ3V8A8GkZmpsNuWlScDWhWCn72Yl8yUpD55WNt5Mo7WyYgOmGXSbVYj6FPGE9ZzNLL3t
IRDrUarpQcAX9NEaouektyDvcKnokXqay9Ye8aczoCU0kIPaE7jFubYeccFgNgplbd5hrgkBqnff
5aQjHo75QRuGGZW4AyHTt8hritZp3PZQ6DDWUBISPm/6AcrJVdXLk2ODWGymrZqODBZ6e901bLfi
MIQhjXdGLBnHgaU9mALUdSbMzzK2zqmKaLUn25JzKlrZeCVXUdA9tHn+ItPPOrAOFTmdK8ts9uQA
InUSsWfHOfF8qrKOktICtNOf3SWNN5mMI/fI02Tah6xEAJtZ02vFFfQAGvc2zEws8xQR5YBWctyO
cRzspBUY1NfBDqIM6ojKOKJFpLdSSrGflGnkxHcelb7GnFYpm8HVgfL1zmqRGjn/x96Z9caNbNn6
v/Q7C5wHoLuBm3OmlMpUarDkF0LWwHkKzvz1/YVddkmyyr4F3Av0Q52Hc45RJVPJJCNi773Wt/x+
O3lWMlOLEiNUkC88KVHtqnIdRXRTVGc65rq/Mlrg4QpLshDt7ZSmn1JLfwH7RnJ0XN2pboEGKLkZ
nfA+yJCuhjBFh8bdJPl0V4scw14RbvwhduYpLdx8aHYZdJi5Hk93HXVJrlUPzRgtCc458+KII3x5
D1m2WfgGs7dEhRCWCkn6FTdolbtZ2Zo1v1pylsD5LKWst3HuK69q6G3Ye1E6pynEH2b4n7RRGdZs
afOsbT8DkzzpabFyiE40TKzmperxjk36eex2Lf8vxw/WXehGsErypyTJZm2HcKCW8MtI0i5Tk03I
GjFvWQtXRVHhIbDh2vXd1NbD3Lf1B5oeORS1hCZsbTLk5fjXdeO1PeH4HApIMIZwrvM8OGPMeD+5
4T71hktDV9aoLKCQVt4TeOQNAdc8Rk7FqDnjAfSv03galn6sP1skB/FCadc8xndOg6ZF8wHrRvZl
7RlP3jQK2r2kPPtwebNaM6V1AB2Un6M4temvu41AO58M6XFMvFOSsK6ETBC2fscIFphdv8pt78vg
Nw9JWh19jfBbn6SVRd0Tr5nR4FiK2Dor3do8Toa7hmUXouOWYtoy1yCoIq+lq0Y7rjg3puCLhv6W
HOmRZhCSXNyAF2COY0bJcIbH1M1XHgpewLkTNV2YLERS0mhqwKOWDbJ1IMXIP6QM2Dfx6qELbtAH
R+iEQ/TCQgqHoahubZTEJHKeodZFY47GGAa1OrOk7HgMgkUcZi3uVXPx75b/dcuXjpu/3/JPUfcM
oPjp+efiTf7g9+JNM//ACG/iiVf/tMp/3/Sl0JZtnZ3W43Jf/UffazeTxjc9b9eGKMP07bWa1vjD
ZEYMsx17mU4f6x+RazyqyjebPvM4W6p22fQx83Mqebvph7qs24hz2ouiqkrnXOFsHuL0NNU6Uxee
GSfwFnUjAYTm0xCLpIlDG0fNQZITWRBS1PTQFhUc5GxQtpaVG/s2UcZFr9f5GY96doWTpT+0eKHP
86gpHhn39Ts965MrU+vFmVnEXj5vBueZLA0AKWQSrdBTSQ1G1RSfsQOxMikdenTRY1X20nWia2RU
pbn1pets7UUxool6xY5aaI7gd/NRA2zpenAX7Wox6LGOQSbO5qzhyTHLWv9ajz2a3KWShlcqjumg
XqeOVk2Mt0J2NJoeLqRQzckDnQu2ateycLGdo0ykG1qMD4iTu0shCAQGDINodoG9qVMvbLvECWpF
VXyjxJMl99DEceBzUn/Q7zZGEpi6sfqctK2xNbsMLjPjkAVyv5kox53blAwVcgu+dic866wrDfGA
7M/W6aGP0qkCDGumVB2F5hjlhkEoIlKvMaSOItLPPE1aDWpc75BBFU782MRpuCsR6Ux7K66arft1
VImWRFuNwoKGOg95MPt95qVjrqz/XRG+FQG/XBH2z/lT8Rh9FLugv1oR6NlAUeA50r+RMPhH35cE
IuiRgNBLYbhFmSBFZX8uCUy8MCtyPPcM+8/3/kcd4P7hoBpRafH8wyLAst9JYoBqWHLO5cpAI8Zu
2rv1wEmbwM30QDloCpPuJiLl2pye/Z6+PC4UvPqY9pHFrsRXG78aleLkSW+/7nRwCUnVwfMffLX/
e9poLNpaE5/8r3gAS3EbQgn8bKbro7nmmSxmte5O60DyZmpCD9cM4QTD5B7qdBMNy65UvBWTrrsc
zsdjUKVEj+hDuSpCJ0XQ2zDvDjp71hT8u4ZTmXR9dfGZQRkguYBz+BR21q7PnV0c07DoDbG1QgZY
dausW51whEFXZ12F1z/1ch2wXIc2etyPQQEfkGExkdTdhZuT4J2JOFh6gAwgAI9Em+AmRuqFoKpA
5mxgllm6AbZr3RflckKhimOqPpK1R0rQ2KT3nLfHK037FDH8mdUKgTZVEC6YbV7GU5MzUNPokEDO
ImEcg2D5WEcAhF3EYWaTNjO3s/ql4w4IQSH47nKkDDPSxYdtMtbqsrYqQ8r9RT9zB7XgniE552tR
DmbF6M6iDYZx3Jg3gHArCaVM8GZfTm7srHPoSJdDpx6KMgw3XgKn0ke9M1J6TdFKURY5cCAjT2lm
xWAEhc++MOk4zJYDnKpF7ToywDsMJ0yP9FWuyNAo1x3JEOqSBzvf5qLr1lldRDvfVtx9ZPY0mBvP
Bz/FD+d7rWr9S60N79PQAiGY2w+BQCba16lO6IR3n2hNsPSb8kX1sgy2VXCe+iFTnXg8pAhx5+GY
vYSTtUCfh50+MznaUuDOTeFiLMdlyrZhb0UHSgL0kDbv4vGK7jxfU5atzZD/8oQ71wYLL6A59ron
pzY9vwAcAAx7out1c99ZpbIbMWZqhZEaR8uqGX4KhHtqPRtwzOl1goouTptzxm/qouVBO3RFb69E
ZVVntlkQ1V4U60KgGkRh3K6NkBz0DgeGOmhzjuT1rh8AN6ddALLK9F1SRLKVknlP0BvP7Ti7LNr2
hriofV06zJl1pbwgdmPc0sGPUcNPG8Xq5UHRSq/V2PeXrvvcKMNZlKLENZ3zMSy8JfCWdTWMSxui
MZ/54I75uZVln6dOOSPY+zwLoYJHreXvc7esFwzRjFUbBlfhOARbYOlbEXebpOJLckNnV/ZyhsEA
bqYn7kPQ9ryBdnQYuoIpUI7oS2m6DHUJBHQ73VIzQyIWDxk1V49MfV64LzYd0RbAnZicVZmAmWLc
gxZfPZWkT4ZlDGbKPCNfZd5rlERhw2GgH9IbzhoH3Wxv2GyZNzLztg8+aqYdEYgvZaWdrKndOi3l
d5Yt7YaZnRoOZCYkAD+6h9A21gx0l5SwJQdp91gn+ckt9CcP+yLOYgk8HU+mwpgvq8o9KcgrJTHn
Jd8xSmKgzahrkEzPO7DvzCqzx2kcr3v5PGpJvGWQfJyK4ZC5KH7iAM5NsWFwDc2Oy6eWekkUAQTm
ca4jrs/9dqG4VNuTsp7aZOOgXqUZB2VhWCmWFKWTqGW7Mlmm3Cith2/RWVLfH3JYKvRIcb02OmKA
NjjqEGqjLtgMwPeyQjmnwKKYiB4qzixjMswrXhHd1Oe+0JAYkDrQUIOnz4XfnobG4YlUsbgy8O1J
K6nQntNkJNUH1LWYmz6gadO9qht7ZdKNtoLhZA6erL/0BXztegZHfJ2hmEGyxBPI/ImD0cr1spcR
ASAr3Gqs0nlNtoTtQlwl/XJraONmmMSdqjVw4t0rjkx3hCCfApzfbYbspnyuVJWWz6DNHCNaRXaJ
D5CAAvLuSPaZB0Z4aYhwX3TGiQDMF00hYEWolD7kOajqRvG6jVsrKzVMr2IA1A3dCcFv6vjA9myr
XPoKvDW1XfEqXtSeu4JNv4O1wQWrJRk1A72gekF+Yz4zTf2RxJ87/iqTHBgG77XJNDOGHuWE/XzM
+4c6r+e5q5wR5bOdgPQWFP2zTiTEhbFJhCVNKrI0CIWxnbXewNJu888NoZ8jzQiUeMsS8dK8aMQm
hx6oDugrCOPETNDd9UL9VIj4VCjaWmJRIr/l3nnLgCG101g8nc6aY/tlXqRnJQaATmmv0sjZuIN/
4MC3zc1sh+F3D1DDneVttMrAkZS+SjJAPyt79zIW3rmhDfeljbFDoPKFVXLjC0pnUR/y2jq1Q6DO
XK2+auHTdiVqDjFJ2kZ6nlrBLqVkh8Mc7IVcqKaCwXNzpgtrXZaw4WCDxHTx6l4eevIzv8xv5AFX
04szRQd+Dg7f/xKMUXpVo+GaT3qzE8iip57OH6oPRYmfGETcxE3mbHXEbHjbm3uI9zPdTBZxEeDx
157sjAl3U90lItwSRXVgvY2WqkjWGnAua5IKaFi1eJG1+9Cqy5VnJNcZQOdZNTAtMbRjnLjxMvHK
WU7PcYXTcOMnNugXJVtGeH47DH4Olu+5NuqLJMU0EebHIbDXsT/shnx8KhVEEQDoG2ERpQJON/Mh
5MSdA48lWIpQIYKUE0LStHMM8cECmOymU9ynrqN/FKnroHNWkTos8wLtYlbHAw6KaTVk+Rm+4jPR
WNeFxbBeNKSA1xVCPQzgYa/sct3kWU95Twlz0optqjT7Senva1E+4vLA38KswU+HfWcSPQAYzPnW
4P9byfbbihFdMidEutC0qlFXedDG31aMeMqFaKNcOajZJoJPVCQnqEyzV5X08VvX+bUD820v+vtF
bI0JpsnRVn8nuiLGQ7WhbyiHwf0i+nXf3g/FS2AsMhBuv77SRwde9N8/rvSu6134xahNPlfS3YvQ
lPILurnTtrBv4/ZzBMD715f78O7xNsmGgGR7vPtguluA4E6L4Ngpn5v2rAoe8/Tx15f46BNxWuaw
zGUo799dwrcdsBBjGR4RY8X9uh3HZQqEPwvWEewdvflNxvIHn8jUmHohW5eUwPcdhI5IHn1Um+gY
AcOKjApA+LpMfvOZ3sqGvz4Pby7yTjZc+0pj2T4XiQVyMnFOCf+tifVPHus3V5Af85UXgJY1jXDQ
+0dR7m3sS0lx7TvRby7yztEj3503F3n31ZQJ6Nouq6PjoBgz7F9edDQhwTEKAURi1we9rX9zxY++
HeJxmENZNj6i94r8hNz2KEfldHSqy0oNIJBvHf/l1w/cR9cgRxAKs8FzgLDg7a3zic2xAZ/H0OzC
ZUaORA4gNb359UU+unUG8nTJwTGAQL+7CKwtx4miIeb7uc/t85BKMWYx8PyruD0ziSfp/ctfX1E+
U3/Nw749c6+v+O7LQp6GMVIb46M6YJmpP9HB+81ioL29c5aKlV5zkG/AtKY3iG/i7Z2rCxO15KBl
x/hcbJstm+cetfTSugxP1jxfRit3rqx+/aneXvLnT/XukiFRBQPY2fjY2TihSELUPRaFYvPrq3x8
7yAHquyclm29+7bsSbOdBrvXEYzYXNfOXLf5zb2Td//9t2Nq8mkDuU3YhdSkvHpfy1qPtLFW4qND
6Tu6OqfNz5FJzk0c/+azfHTHXl/JeHslKuJCaI4dHzXrOXQvLf+qmn6zvH18CcvWEdHwJjnvHrUI
Po1rTkFyzPODhQVpYL6kt/ZvtrqPXiEeth9XeffVJ6ILkZVylSh5TMmTMmCemCsraedJc1SSdWr9
5jv66WMx6sZSYqqosKGdme+OCrrnO2XmFOmx6daVwIGwrKbTP3zQ3l2CXtrrxyDvAm5oWKVHEv5m
mhKQAGf95rb99Cx/vQSeFWAEmpSpv71EPAyZklJpHev0UZm2EGZ+c4GfHmUu4NLU5z2h8UZz/+0F
WDqdXpPB1Jzzstaah/FWwmly7/nrvfpXZyelDH8/p5HOqV1BzRvlH0xq+NHvkxpdZt7iGGAS4uI7
lKvxj76sRuitTQHrAMAwcUj96MsaZOjSGtYhpWgqwBDpH/iuz3CAyGEt/PqXoeD4Z/oMR64zf614
qOwwxHsc59g2CCBA8ff2MeG8l9F4G8VhpLHFpFdvNYIu89yNYbmH+SEy7T1TjvDCtsSamYR1WTHZ
nE2BejJ885SI9rlQsUgNQ7ilJXIWOtqqA/KV6Ppc6aZdmmuI8+CM6mg/OhO5GYQCNR3TmdFmF8y3
Vn7gnNehsipG5RLv6Y0z5p8sXDauX+HXcalHXADz+TZpi0WoKEjoQ9R6bngrxh6ZqgrfOL1oCerq
PPVigKuGkX04t+kBW0Kb91FwY1XwhvhEy1T0X9D87X0vWTXC+Ewe2rprml3u24BjvbPOrC78MLzw
YLh6kzkPwvKipStiFHheB/2TY1qbUNMuvHGcKUlxiLUYU6K2xCa8qOppEaod2OX6GIbtPujHeVe4
ayTmSyO1LwTEhcR7qYWnL7O4b4kZbXeT5z749Bki2/xE3NtWqb1FZ9WnMJjWCuQtYAQzuxRXYz3C
Xx+iQ4BVN3F6jCL2jYWmbxrrU+Y2X3J9uECJdcGw6byzsw1tq10mxk1b0agIyhcnLi8sTV9OvmSK
micnhNHr0gpqHEiqZtrvkxawrTbilPWTB6MwT15JFGpETEvaOmism/NAzxZT0G0FzYHaUU6xB65A
9W/NbLwhQ2Zp5wjwyY8FGwUqK/TVau5k1R74qYyuq4bLdGz9RRHZD07niXVZDWu3BFEaDOUnXcfx
RdDvF0I9gQMIgRFvWY9ej++tdkW8YaAXbnFDi/hgTtMAE9a0c2PN6Ro6vUYIXTfUW7JM1XVRgcRR
3PKU4B7Y5fTn5nUFSU1LNWM/WBN5oQTwzcCcQPFnHocKYopPuqYzBKQBazUAM3PEMcxTaFpF2jQn
z3Kak+hCb6t0qmXjqvG8dXpzQ/6bBYV1vIrMsVowUh+gkNrJamopsIuyQtQX1DcuETjLxG6lQFy/
jFwwNFP80pOFg4ZEv1Z0/xEaDJwW8zDp1soUyQU85R4LWicji56Bbu9daM8KE8p4L9qGkcJotvOq
RB1h2Gj6s+JSL7JbphfE1XWEpfmWTXphKFsbpfklCBgIqEJyZ+uqXTAVIUQdkowzxGTVczKgqs/m
XUcbCuvOc1B6n/NRv2Freeb3B7dTqPV8HGGcgAHGSpHhIrdybOIkfRCmWmqbMhULwhsPXZjtsOLf
msP40jrqLvbcnVmEESGm7TIKwtto0pdellYX+O6qFfSNkBVHsfdF6l8RsM1Ji2CFpS41pa1JRjNb
2F3P4HNRV4RXFhLtJ7WoQHbyVYw81VfSdSz1qt7U3U9SwZoiZY1U50uItHUw0bgKqXadHHtjSP2r
E6bkU6CI1St95Za4aipDX/uIZhupnmWZApeIKD9oa3ps0d0YIKfyFPMxktpbm2Ot1zZflFYsaqnO
HXx1USHXJYa6m480BCcdz78pJb1S22s2qEQn5L5hD1tQjamaB6kFHnz/Dtt+Cx7ed3i+jBVhLQjh
vJ5XVKqJi4LXkplVza9HGrGKFqmT6uPWQrSbRD2TcYTJ0WTzu3U79CKHIYsElpgWLIyx7UMVJUh3
m6vqrpFq51SB3BSBKZy1SKGTUL3qkUZbeXitjQ4DK0TTOQ153C0kDNsIqklS1hg0JTciNFF9ZCQC
pw5JU1dhmOQr0eMaISLKN5l1QQhQqJq2ZhOtSLA0saO5ylqdIGow1IpIVMyK1dDqaPhGvK81dkxt
SC+jAkzJv2eRrxNilW35788i/ycto5xj208hfvzU92OIhuKT1CJbFu20vlTOAT+OIQyBOSDyH9oI
HtXC62OIRyKDQXNOikNsR//rGMIJBYmH41jQhj0TqcI/0YlqX4+jb88hGApkLKAr4Wicb96eQwJO
q3FsuOlB0ar7ICL+bmrTL9pobVMNdn+MYbkWLRI2xG40OSfI+t5YXfQurDJfvgyZtP22wBOF0+or
qDcrtTCu+qjTl66DnbALxnO18Re2UqATJQUtcnESpVp6HlqMFDqFHLKkfshkhFKrmU8oR+p5qWRg
Va3hbHC7J/zN1VwCyhYqrFd77JAVjgDAYZQCD8uwA+sueH+n9dq5yQRk3hT5uMoLoN0jDW+mx2ct
4z14482dMTTArOn4Fqq9o34rF9VAuzfoanRlAdEEoeyMO95x8rRPIDyQSLo0bsNQ6aEhEmUf2zFQ
zKBEyJEFPsMItvVmNTqFP6sqJsJ6P9xOYbBnfz8jZf4s5DOBFWWNyHT91EfJAgRctkxyfe9r+rU/
ps0KpGOGKAxOblNzjCoT0v6QFm8yY4zmvlt+ci2hzG0GlYQtWXjXgytmRuVntepvx8nszxppnTAI
Kk815ocx1dnAeQH41zormeiZqEZnJqiiWWvAxQp9lyAc/daocPS1UX9AtWovk6SdFro1BcvJY9AQ
CE9ZK0V7MpTwycKfse5ZXLU2gUllPzTDQ0mEqVnaD/VoFOtW4IZEUboUDF2LW08L8yvERGXyHAXT
Uz+Ep8nAnu+QI05mgwhd9wFD24XP871VwdVthkYvDrrwvYNJ6303ev7c9NolTkd70wiWTzUkMjg0
vfHCiCcMaFGR9dS4zqc+ByJFjM3eGIrnaur0DZHGHtIfiHXTt9ru35rLoIr9+3VO1lwr8ZA/RvXj
R8QKfvj7cocaBsELwBBsRDblF2vaj+XOwMLkoG+3UcLhLqIw/i6QcwgmpRJD9fTjp/6qunjwv1ZL
FGOkwv0j3OTb4l9am9BDmjalufxLTfVdZ8YC2OPGvpgOU/Opcv1Zi1zr1Y35YNTxU/XP3wrrzLGR
+8g4HfkbvGpkEUZll0NpaPjLFaQFKytFJGIxJ/pNG+vtJ5GNv7fXkc2aV9eh+CnJS7O0g4VcWxPn
vfP06w+C3+B1gfrzFd71lwKtIqWVGMeDPjgcVG8c74V8LI49SAi7JTsduLP7kgyK6Niw+GnRcxyu
AqbYxWWTkyKHeBnNhEXsJAPYwLxs4yvCCpicZb+5FdIz8aqU/vk3fddxMUjaYI4l74Wx9KXcvfzU
csQpNPPQc072fSI9xxcH2zglFoF6f55+/nbYICN1f/oFGP9YtsrXQjX3rpaHvaQ1ZF2MB0gTaKw0
T6TnCYeCZj6WZlXOPZL82m3sujuBa8xq+5MG+hdoN9nrnapM+LWo/fUSeeKqCdRd7zWtWKfZnZ4Z
u95XWaZ1JdZuBiOL10bixe7MR36Vx/FS2GJbUuHoXbVCX7FAdr4OpwMWtWVG2q7Ucrb2tBaDd8z0
I/bzld/e1ZgtAhBagbs3GKIKJDwdZnmdaHpCoPACpLOR+PCEqWVZVaDMg9mE7DEiE7zV2nNHzZZk
1I7VXR1nOC8wWfT5mdaYl3G8j4ds3eV6cZNZ6azE6LQsSF817YVJKy+WTnwrCsyFGVXuQnUxwhdJ
et8oTFyzCR6o5QOBDMzzXz/MX7t6b045b198893r0kcejuuhng7q2tj42+m8+WSs3a041DPtvNnA
b1m6C28+roz5Dn7IqlgM98qWZsVaXdOHWcXfqMV//8h88MS8XiZkd+jV62sCeHUy+cgWyRYiAluY
IBxqxSD+1x/8oyfz9XXeLXhulE1pGHIdJZ+l18NTJaVBcwJobf9bCfC3n0iTD/lft/jbW/j6JXjX
u/X4l4XhRfohNObxMRnIgSO3ctbXS0A5wQF57a8/2kcrIEwqvEeux2j0/Qgps7PBcWDHHXpgXvj8
O+X46wt8tAC+vsC7e6fmkUNDWtcP0BFbrCS9Mq+H343Gf3eRd6usN3j2xLxDP3jd2VTtGvsag+Kv
P8dHW9Lrz/FueRzZqwWnZP1AKYILHe+XfYK4LJsmXy/0//p0tI8eRVEXL81/yr/5sQA8Qgei+e+3
f6y//Tl4LhYPzcObP6BYiho0RM9iPD3XbcqPfntM5b/5f/sP/yzarlEh/dd/PDwxNyWIuxHRY8P2
8r6go8j69fGowfmdPoiHj3/0x+EIXyA8LzlCozWN4+zV4YhzE+klzCUskzz317Wg7DszjOUMZDoM
2mQj+/vhyP4DAJihezZ1pQS0/SP3gPnuFf7ak+Z4pkJ7oyalz83v93pVcrRAS1NhcRB3BSj+ZpBW
Ptk6GbA6wfXQtr2frIASbPMsR09Pa/A+85xd1jHb9Jp1kRYXTluB2lUOk+IvVTqU8zR2inP0THRt
I3E7quad65UQ5Wt6ua4C/WBMrm3hk3bbAAtNAlbDInYuhwCfDTolKUBNQUIWC9fq1aU2qBcEpnYL
2sTdOkTFCm7XzWl9NNibUVVNsQD4G4wLzaWS8QsER6pVbFoQIQsFmvJAHxwGJsY5uPQWJGXqwa5T
b0DCLhxSG3q9qekomgn1FkWbJaxHm885LyHazPAhZ6u2w/JGN4yTRR4/ehHdytFHU9VmCGfSMdxO
uelv0zIGCpINsCdI4qUkTs8sS+nP/Qi3Esx/UtFFfEPtnMyUtNFYKuNDgUXNiiGs9JO5auz2WkSV
PU+T6sZ2ggOqyB4uZA9nGG+iUfmyi0Xcda6ksHZMFYEaguZZUrV7VNNoHsYiXaEKXYM+21m5fpvF
HS++PBH17MVTr20cgyy9MYmeOlq0QT5dTDqqyBax0Azx610q06PaQgaTludt6GLjV3UWc2aMysSk
oEg4T9VFbGBriolk0m1yrezLxEcxZ/TIP3WqycrM3FWvFI+VDs6VTi9GtH5pVsq6UDMCYaODlrZn
hkHeY2bWZ1XHM+O39bGKbOTSCbdG7TBomx6y8jyY13G7ripjj9Ga7Rk2x7zq4gKuWb5ISoWsb4W9
p6j3Eyw6vj2CF1vXPum2vvfKtFiKsRvmZoayWE+o+41iimap2bBJJaoDPdRf1pyMBsJkV12c7wPT
/zxW6DBTxUXabtgLq1FvzQpYnYHEUkvjxVg19sKNgsug1861QbbqB/rI3pNAeILEqeYe1vY2qGjS
M8Y5b9r6EBV1pVwWhZNOz+OQohqlVeol5W3iB2RNkr5Wy+Zz3iblLm68+yJRT40lntwSLkEFjGkK
VkFuL8q633mNshKqDik6vIiKYjfE9QVSwmOXJwnDkbBdp37bb23feplspUVq2hvmOmp9B6N63k1X
uj3tg0rUxK8gVQ/gzqOut7muuaa9vO6dqV4ihtz0k3EU1n2taEjcWu8m97QZgdFnQpc04sai+Qkg
qJyOxJnRoadXOlrtJYsd/dRmoSPbxsyJRMGv/KNRN+fInYBQuc1Z0UYnR3Pm/hhcTSTYzGzRIqgh
02Omw0fn63LytRdoBj6FNFoZib1OgyjYVKki7QchCYxjas2UlicnLxkx5BqyuowRrDsod46ZvxRC
fcpcndilIr2dYA9aWmLMhqo0FxYcBXr0gLEZ1XxxW8U/J+p7Hw14h0dVPZIBycvgVNoBxNOzMTnD
Err/c1uTxETP6mT0Y7k18u6zVmSrylTvxsjZExS08qDlLnAlEE9t1uZ6aINP+eC1TBfyVemOtJWL
hVqKoxelZ6odr6aaSs6q/IsY++MispMNXSxvh0HgxmV8w5W7ueGZ15pq6evQInlnqrRyWQ7xsKwU
fT/wGhydwjtZY70ZUpM4mLTLZg5kBF2aKCLQZoh6mwWfNSLTpDYRLFUPYYUXtxkxORMGutRchHne
Y4TVFLb6KeGesA9oSJ/zdNak7hHEFYJcsoH8LkG66EP96aYeCGEXr8OqYqIWpyQUNAQq89e5Lq5F
S2pMrQCYDmhAu426M1PR8iVf6Lix9OE0wCPXshJUfBFpi9aFbjQAx0X+GGyHAvupQigN5mEwmPM2
dT6r9RRtWY6RWNIhD1DUKmF1pUf+mqOUYHZot/itZYpSUD8mOhGfSo3Xw3ImeubVPqhp5TP2Qgw7
nGOMi+eKUa1bMFNWUl70BZqqUusPQTOc1LFYKr4xrizbOSsqb0P4c38dTmO76lv9OfEY4dSOc5mF
DjE8KS6s/y8HqvVzcfGQPddvD1D/m89TUt/zq3bTIxYCzmAf9Zrk6eyhbv7rPxTkQtiraIXTRHcY
1ctuzo9ek/YHccam9f2f8FPfe03YqwzbVMk34X90OkJ/HafcP1RNjvdpupPfxmHsn7TWsX+9qYhk
t4mqU/52zPhN1rd3B28j7nICh4b+MKQusymIDCuSCeNlCWclc4YG53lCaT9YZnffx9lZKcEstuo6
0EJhRLEc1gtfAlwCSXJx6cBnY+7Ic4lyxmHpwZLgF6ZiUMKqGl8IJpmScR4DMHsP5B1rU2dUq3Lo
qgsOj8uYMWAT9sueymbFqWXHu7wzhfaSDONtzwDRMZNDxUDR0fSNF5EE58UZfE85dYxTFv1JTiKh
BdTzwCMsjSi+59gxb3pb+Zx0yjMBvsjp/TGbDz3mfCKrn6qMsWWiKhcNxsuFJiehPesfWDL7yyin
pIgctXkqtQOdnKG2Y3EbyqEqw1W7ENgvvs5b5eQ1EOs22AfRFj/LqartPcyg54lUrjE/op/oFwbj
25x0s2mIP2WVASLQfwxz67qT8141fhkD6TBnEOzKU5LbTirMuZrM9wZ3hZwbt2mYroYmHTjmGdVC
MF7OgsZaYNQyN7WcPRtpKIjeYx49FeY0z+SMuvZjb6k0kvrIADsJcfBnirFuCVg7WVqqY1rluBiP
pJlpkdUtrAL7j5BzcRJHu3niauVuUsQJKg8YVTlHb+VAXdWihTAY7JltbG1aHwDlbQ4eMtjr9ZR9
imuLIJgUcwu3r5vmg2ETsDlE/RLI/EvthZsh7A5hI5I5CWyELjVfA5gEWvqnLC0cZeFpxD1Hpuav
rNrWDo4aDfN6YoIS6CMblNkX+2zSoxu3d28F/j2muN7nBNgiA4gSZ5sZ6wulbMVKH91rL++3RoZj
gNSUdTpp6UZo2o3SAkpscbIvB580667Pg1NmZtXMqfX8UOdoN1TuJSD2/RCOxTVPgDMvTaeYx1U6
HPORBEC37ctrZrxfanSxZ06idwAmwudSgwQ7MexZRp6GAKPwm5nKapwplka2VtNuBPEyG13Y6VVl
Vyk2Lie/TvSxgZIehQhiyuvCJcG7scH8yjYw557NYJNM1/oKjCujLRi/j4ceixsbhCBWFJbQ0op0
pi225q7GiAyeZlQfBr+cV2F/izSgxGCnAk8kmWURMKqgZjKVraJ4/eck7nu6FJW/iNwmXw9lkTwm
hlVv0raHXFW5u6QPQdBNBB6KhuJmIeglY3Mhqrk3NP88DAx373YjzEzHA9lAKxaeCG9mBogJx9Cw
aCScSXHBNNVaQlSJRDf9ux99HfNav9yPrltK++efS3v5U9/3Itz/iCKZPxo6Zl9LIgO+70VyAoye
jOCHrzRudpUfe5H9B+MItghV9vMl9uevvcj6w3E9je1JWjM0SWH73uU4fuu60SD52+Yc9KF3exEi
N09jwELjwdRI9ZJ9qFcNx8AnDCfPivaClEcSPaL2MyquEAYoxjGVQJBRpJ8sjfwUqGT7SLj9wsJ7
AxGtO2L63DoejrDa0gnC7KoFxBTmmvF+dKYeak90parJU6cSa6oU3f+wdyZNcSxp1v4rZb0PWczD
otusI2eGBAQSoE0YklDM8xy//nuc4V5AKajbyWfNoqlFWRXCI9PD/R3Pew5gHalHP65Xj/OJ1rAn
m/4srYuTbJAv+8n8ptb6lYOEE/OHjr707rjapGmZQHMJxxYaDiooEQsVOTcsoq8k99+KMf/SBaBo
86YuoCMxIcZpNtmQXTaOdOllkCSa1ommhcddHBwxQfytzu1UkBKdVpqBzqVvwwFCk4L0wVypan7Q
Kvk1hFvjQo+0iWXHGEWdfg1R2ZdRLZi7afqlrk+kLWL4Se/hiaUp+7NkBnluJ+ZR3SQXfTbFKDcA
8I7tz1D7/CTpOyV74tqXuD3Zj5qF1/dbu+iuIEH54TX5tVdSTsyzHzSpHPh6K3/R0uJc11Z6Cvpn
HQa1q0f+NwCq3aJI7GLeI3rq9kX+o1ecY6gYmnk6ApEuVG2CSS51lmHZMbSnWEdNHTMT7B1lfjKf
mORejnm/lKv+wHecta8an8ep+4Xi5C2F5wst9FfAr65SfwIeY/EheUmOzPRT31tgvOUIRRrEuM7M
rj4OnOFXEjn5nIFiknZPRq6ImivgmEvdNz7ryH2RAMcXuq/+aiG7Q2ld/Dn6Sktda69SaF/rHJlq
unLLtkFfBda6aGWayXUOI8WSvsdWDQwZfA38l6UCL5OsS645xUvZgicZqP2qbAJ0rxm3cNuCt0bk
0s9UwwSrJChFJ3tphnWNjlFxGHqwEk8pM1pVBIYO+a/PKKCt+sxYtqVeIiDt0dyOKe3IzYCw9FRH
aElz4gyLAq89cYjHmneYqoW/6KvpPEfBym0ze+l73dKT2/PJ1g7CnvzRUpPMrUtojf2EPKlr4x9N
PlzZMGO4lll8l5UcYs4cBsV+IKeWwzXkEdIsl4K1DEXUXLLibCYzAYqAETw5FOZrWXLWxGijq3X2
bRqVR/bAIG4BKd0CvduN6Y/jXG27DIErGLBK48ATyTenEfyA1nyvW6eYyRUkVfpEIo6Cg3qoZzEy
V8TP/iZRnUCbx3F/qdrgxxeVVAfhV7bBa07UhgG5hRka2tKEqie7gGO0yQlqiklzaWjVAZp3qXUK
k3xonjIUGpxq5eBfM2a9qBOOkCvo27cFdI3UgCCm6QdXRgM7QHPoPChliaDRGM7kREJ8tQyJCaxO
M9zWTmDXs8263IBb8+CBDmELgL5US1CUHOHX6hMKJeZQwtGvqVdxLyPTlWQFgQOcGMp8MK0fst+i
SxybY5VOTI7kjlDQ1I0SeRnV8i/kxkrqa9XrfG8eaJMaEHekpvctNsJAP5bViulD6Ira4v/St3uW
eOGn/py+nYAU8He4S/FXT9wlDKgqzheowHNwNqqUuChDNUjtQEaJIvlj6qahVwn1P4Uh20aG/TmP
DqACASxgWYPJNfWfuEtlh7AFnhx/DR8NRXnFftHMKk1lDHvO43EFlGWhTUnsgH1B90EaSvkws+qO
sq3QhdCj4ACs7jUt4GlWwNSiCcoWqTew6maQpN2i1GS0rYuyWAxRGPkz1Qzyr9gUQIywhsACkwlC
GOmOG6YXNDFAT8PbppU9YmvBIGPUaDRkQw6DwxAtgxbjumgS1MdmaNp2S4SZGZsfLfIBB4XI+k4r
koItLMiRkJAcIGeXEBiivAFkywi9zg1QnIQneHRNIUIpaZGzhLIAjb8Rrww5+0HSKicF2pW1IR9P
U3+maNNRgLYlQyZHlNA2CpqXQ+hNM8OkUTApCGLmNRkerj04KnRzJRfSaQR71ufCsw8bIahpCmlN
36mVo6zOEWaU+ngxmlHkVgWm0Crbk6GpT6R4gFnA12V31JnczPN+EfiWSapj0iOehdpY/Yq15jxM
5HPZVFJj1iVNdiqV8XSs6fGShGjpF2ZwhZL6zEK6wqu9lOHZBGaPPPgF93U0UwvLX6i57YIXg3dP
S88l0+ipyVEwtkrm4emWrbJSSHlCkTLQBnE9YKxzVcmCk87vIaYroCIneF82EN5DPm6AfGdEWh6h
KndQvShUBeUJ6ViZtGVnKjCmt4X+pYZZFjIwyChgCFuijUvlGS0nNDsrdyqs4tqAp5ksUXJClAVU
v57VYxWtnlzFh8jw6SiuiPOedGmFChkiZzDFOCY4Bfomz+NANLJ6OaYZvlXlgHJE0qs3qGrZs35E
lsT9v3ThPl1gV/9s/65pc+1IFvibR+tH4YqAnwqT4hCL6wbd/8dkQTBAQw1KxchickzYsb+sH2q9
qhgpgiMUWn9Df9IHBBOqMEVi0wq3+UfUtF4kB68nC887xncwKeY/qY9xWpj4c/gQT5OFBk26DO3b
4aRoCPsL8mTLqy4aFYmfSKTQk5LlF5D1JUQNaXpei1RbkhWwQMxeYyeZfndERl7q2hbpIBlzlQ6z
0Yqon5vdrBGpfEBO74jkPhdpfiwSfgc2j1maUuJyWi+/0KkLVKJA0FAp6MIgP0n9kslQUUZQfFoC
LcxKCx9qhHlNtSEVZYck0dpV5Ggr5hs2yNBQOqBEMYhihSnKFokoYOBzvkmy2a8dahuZKHKUotwR
iMJHI0ogktDCUdiCk1CBwWyQG2dd5rlx4vcq/CgpEKa+gKgr8TWMRCaqB751ldcFQRD0MZA0pEdt
iaiDI133hoIeLDhYB9LmmREUB3KrL2LLh1fH7w7iSjpkWuUru3mc5x7MYE0OE5EJIDSLg29Gp98M
JkI4eZ9f+qj1QvaVwDXh967nh+eNDkuBlkgwaGc0UEyfCtTUlWvJTG81H4afITMPzIq+WzNlUGIb
EWrikuEvAw88RmZM17zoaOaYxXkueVs9Gb/bE1q8XgJZWqH99Mb6VKqz7gh6ZAD9DTWzsre32gRH
yORNWyPnlTbFMC/H/jROte+qVl3C5/xD8opKSM4fxMlwAgMqBHAFnCuKYNqRenVjUNFFd3eo573v
IBTBQKma6pCmmEf5kNLQsTTPNZTguvCnM3RcDqMSOg5pmJjdvVPA9GgMmDZiBycabEvadwrFxrix
SIIWzCgc0umdkMlTKn+eGEBrAsu4lep4Cbpex8KOS/OO79SB45Ts9wDYFnKZjFZAJ6QcIeTImErX
ReSuCm0Jww5XowEtVMlEFH0f9XNlGJDH2BW9KT+msVno7hiEIwMhdCrhwEPWEs1kM57Y5LD2NtJY
I3FlQJjTc8FnMidV84vPSZbRfA71zWAzwYDkq3yRBR4DR7qOLmA2uJUR9S5AgnSuej31Lhl+qdG7
HUd1Dc01coSGcVE13jc1y8A/x9oMme0tvFDJpqc6y1xPC4lvYm4gqNFPrAYA8MBQzIwSmLkcKv28
i5Gd9RrjSA4ZknfoN81kyTiokjY8UMb8sNQTZVPmIW+pIdzQrmrFO5F6f9nTB0P0JFw1oBAhaEqr
FdKd4KjR17XL5HuQGLCDF1x1rklRWIPgafoGO+bBYPXFJpYse56EinICNbdgMZeCzxDu+geZDucO
nArbroT0nMBmoY6Q4iaUs0mJwKN7xXAGVR69RfpWB+U44cZV1VvLZaMvbEawV6PvOXNZKutNUWaH
fiBDt+O32kFt+tNBGSnSSs9LeZGXxZkpOdVyiscDSfavCinVTtWIMijWL95Ioe6gflMcSBQA/MH3
FmZUXJfwAf2qM5q1Adf4zIqi2wnaLyi9Ha2p/s9/3ucPYtjxz/4TtDFwGvem+r4bUMMfPzpSSmuM
VaBfD2aGRsuL4QrGJtBRIJFAU0EgeB7TCOOTQpLgUFpzbApzTx0pdJwmYtt3inYyfJz/SG3qt/4P
Yg2C/0+3VByzqeHmn7pRLaBbiOyAvg1g56q3w3D9ZFt2xHI7ADuORXrCnCrcI45hWC/SlNar9cYz
hnbbTsaCnuYv8KbbxKPzUDW/GmiiqqgK56lOO0ORsg2XcV2VEZy0BdUYyYTKrNdWmYX3ruWLqA2W
el38lJC1h0cAYRiq3nUTMxESJCdKpxjxkdY1pXbiUxKESzxE5ZdNxKnR54HLe5yQapCNzRDUHmN2
8rGmpYE5h1rUmut6mPxEMh7if/z0QocrEHi0L11FNPGBPug/2gAl8UaxfKa4gvJQceAR9BX7xCos
CQRQdeVUvragKcj4m673p9HQK66m5s1SqRhYG6vssKvCb8y/HhkwcTpOOh71Ps4wyfI19nGi8V1e
eEay0qYQlVaGPaYpIxAgfFf04VcaSyfNIFAm6TQtkQWc+0VzboFwlWQ6/CXdD1laU3g4aAoZXod2
PBtixLmnAXjzVM2VBntkWTee0vVuY0VrFJDnbRzeNKQgtIl1Gmb2OgHmI8FIZAD5RGf8Gsa5A6e1
1mlpHOlZacwrtTtOKO6ZqONWRbk2oYdyc935GoUTkmBxclp5IEbrKThsQvmaWUdQxlJ0oEv6BZLx
satOUAhqk34eajB3BPWArowdbsaEYVwjgvbNi8jPyhDKLzP+1uoODcFqxrug1Zc13ZIJvwNovWbw
JV7qcA32gbHFL1/XzXQSh/rnIAXP3XopYobdcdBXm3zsNz5Nt6Cj6pk6/Trp+qNATc5NIBEuzKWX
NCa+onKFyHC7zCvzwJ6MpTRU30yqS0QVzkrS6muqWXN1TAe4l6ef0MALzMkMivG5Fg9HBYreblv6
hCUjWDTmXVRXh7TON61v3IIlmfW173mRO9RISElty7Epf415tLZhuta14hsTKteSJJ/X1lgi4x4x
t4qzM5LvU+ydxQj+uMHoH8WRIJ2CPIxWnEWn35kx7BnAwA65s5ym3x0lZaS5CJgEnSzj2B7q7CAM
zYlWmEJvzzyPHP2qLWqkuVXwYgzAcHui/lxWokOpLWxKwwgHGSV5uaQYnwcbmsZ2bJPDzpdjdzC1
euEkVDlVHQGNvja3fqOai9AwvxL9+3On9GBQcigOB7QOUCMqwFPM06pDvz4dJeqdCIqH26EKzaMS
9d85U6ZkqnHhzyoJOFCU5MFcDwBtJK1EWD7RrcwaL/6c001HA7KVD5GgpDA/qi6e/bBhprPQixrR
pIG4SRPpqVrWawK2aOGH7ZGp+J1bxwWy6ZOx8oYJAN6gKi7azcUib8qcMakwObGYBYI6T6rPwKNB
TOkVP4xp/Fp52o0Vl2vsG2KTSkodG6LKMZGOPEaCxeAwDJemgQRkkqfnudFKglDeSy5b6P76Dk0m
VTVRTUc0TU1mVaTPIblq53mRHVqlhUFk9EqxhD4TKlRk2NQAxgO/9NaJVi6iLpoVU3OURBJwmuBY
TuRLiqLMjwoAvpessiGmvOMZEMqjN2N7JhB3+Pw8PbS+Fz1DpqggMPCll316EStpv+xCbaXRlJtp
9PMg5J1iZkrD6niy462mFmvy7jOlNOuZEFYbIJADg0d7WYEYTfHaha+B5U/G7ospFRepms7IAdpk
zvRdsECiJnWwOe1BL5v5t0xvJOyv9At8l4yKHEUYHkfPsDD1E6CGFazCsdWtuyjoVvDHjStMf3Dp
lTxBbZOLLNVgo8d7HrSUGA5AcdE6N4AaQmK9gXeV5n5uXRhlzqyxHsFNlqp1Sb/Bo1sclxemN17Y
ZA9Xk5eFhPF5vTRaX3Gtflg2IzOohdxlq3wsETLkD2HfNNqrKqTqISRKphk4M6BRetCsdQa53bin
EmGn1XxM82vStE3WM7hsjYu2zk/k0TqIy/GLDHCiC4E4wG/6pU3UC7stncNhHLpNLkXVPPcStIBa
4uVClq9FajvXBr28as1CmRc5heE44KBb1KtdMD1X6uA0555qDEswX84samkrvO6ed5VaTCHx5IhZ
Tai/n7t/Al7qlX6UbZs4mtOM3Rhmf9ZX9fL1x7wc1Lkr6ZgKWBe6jBrX/mUQ0Fii3RFk2zRJjmtT
/YJVOrUJtzGXcFWPYhZuTNYdXLuJHa9rNaCWp7q2mh1iqY6YuCDQjs8QdvhsEhhrQTtrHaZLfO82
b01mibkC+mRvTdm/ef2j79whknRL0SmCMCH7fIeMtM3DxomzbU9l0h/hPEUpPX9j9sOhzPy85AXz
MdxFAinEHnHQnz+lBkQ5pnHbbQuf9hqzjhuN0SBX9kr8BgR+gkfySgIcegZF1Hx05E1v92Jmk1aj
p8lnU5RCAjm1Z0xDOecZXqnNuy31DvAapOUzA7kH18j9bSiFB4MHuqxXuTdmyijm6BiTgIHcxE0y
QzUhXE20+71aMRdBEsaIw2s/pEpdUqgVam+lSd3TgVa11FCeBP+CKyK0CcwNdcnbULduBoueCdy8
7mAlxyOYQNeyRoQTlT46pqKXutMANId5pBBdzQiEauh/9VolvSh7A/+hAH1MCzgLzaJZm4gadTku
ThGQ6MiKF4WsnqA9Rr9oYlBH0ZIjT75pUdUyrA128dqWaDRZAIfHSL9OIO9cZJQ/3MKk8CnJqBkR
egxcs7nlQxoySOm6auDgTZXhgNmmmxg9sR9ANVeyyUy/lQTHas6skVaXy1BDaQTlj88pfUFATYqr
mNNwWFr1G5M3kEXsOA9cSFEGFRwsoi3xNCynhp1n/K7ZgnO60YBpzqeiS7YmKaOLPf0GQBAMuuh3
mQN9zYRChpYcsysT4o8xpOx+fdyA/uwn9djI7StNz4JlnRrlsm1lfcOkRQuaBJWNzu7shZzrKIDh
1Oe9EpZzGBCIRzBEcpqjomqU535KyqkENYShPdwHDZwuWVEuzXRijMK8odxHkVvJEfVK1S+mSsua
Mv1ca5S5CYp4VsGJC8DWvIpsE3i++tO0GFIpesyAk6zNbLjwnOjIoklcMpZNkYQTUrjtqJ4bXXcc
R8F5GRqfUwvk2dhc2TGoTuJGeWGWLbFg2S3qFpiSbUBHoUXoYjKePVdM6UbiTMwKR7tWNOlKCUAF
lA3DXgGssd0kDdRqcnifq5VM9wM5OQruNOyCbq7H0BbYdn9oVRFb0jGABXydXuOF1hdbxx42Naz8
Wi//KOmFZJa5MEY+Zwu8u4tP8mA4sjJz2ef6PLDCaBZSLVSd8Azsd7wZ7WmR11AjJ948LQhoctMn
L+EydpJz1pfNr9CSmNkeBRqPSljTgvKvAybEm5mimEcmOFE4D3lLCiPauj9RriFCjdvgSFK8Raz0
lznVOV8KT41Ad/0gX6qxdJjixYPeX9sK7OBFvSzp6TgbXZ8rCl4z8fplg3vPqrSYt1JJuzmWVuiY
Hk7wbVpOWEC24Yv2AUZ3UpVlRJXJ6O1TOjRrOGIP/b48glSWqLdJpJOkEKN3iXWg+/1hoUblzMgp
jWkFg4c9YrBB0R9LNVlCYoJiShd5ayGk1J+axsKKe+KYbToszXGZw6JidZeFLEFcIR/DMlQB09KP
oqCv3c7zUJJTO2tWU76EKNfLVn03zQvihnU+MiExmta66ohCrJz+iOV1CxSIlTdc2xs39W6q7wlo
RQ2cMXKKuN2a+H2ACPAuzwYwzV5/ElfHNKHuCy5/hMmIYatnzRE8xRPLIEA8Ty2DGiBQn6VYhjy/
Vayf3fC5c8BTXIH/e8PxCZ/z8kmmbugqc9AW7EXCMz75Zn3d0BxDNG47KaO/KMKhnoWeemHUfr4J
cqYhEV8+LAoaQbkiK8d2aRuuGeVg1SJqsD3rzmpF+gXM9WzINNuF+ekrynsnuWydJ4RvZD2zplbP
B78e5lnjL9Mm/JZF+qUUJMVnv407KHCDZpUa7aGBeCqBxWJUZKAunrfKGs26ZGD7vJhAZmvGQas1
G1QWDyd/3BiFcwITwGGF27YkpIpUiqCt5EqBPRsK5TIFPRMm3qYvUFdN6OY1RnozySPl3t6/Lgen
ulR9r1motea/savP6y22DnOg83RTRVvjyabGpp6FlWcPW3v4FkzfR/sNrty31n/hOGQpIUb24xEd
svMiQmJJ+/LGsXj9VJgvzh8jjbEcq/64NdRToJku2yQH4z0q4Y+H/Hlz53GXIBUhJFUEDdrzXRqs
ug9qnW+BOCySuE2fEpN8QaH5jbehPj/jdJGAwUFTouBqUXAnMn3+oDEKs96fCnVLGPMDpza/SJbe
XFp0bji7dDP3cmPOuqPvn6F1+DosbpLF+J0bXa+1zeu7qoo628vL9uRa333QJ+fC6UKncBha2sK0
MZdn8mI4b1fpGZpwC9FDXyor9nnJCJaL1PiCenW30LfZj9c/hWjq/fYpnp5OYXyefIoEQmlbrdj3
q2GjLuhqLZ1Tyz2pYeyary6N2RFc9StnGyyHdXZurC+8OdJsa+yeO63QsAAK7oKXnktH7Tpb1Sdw
ktNmm3+F02OLhOnK2Dib/LBfV1/S5fnrH/0FGuLxyPxtrV5E0JJah0mBTsHWcHMXEvfbYllcKPNy
Fs1B1MzDRbZMD/LV6Y+jRbsxZiTs0QHo8YNo689wPgugCD+92dfXP9XdVP3L1/pkQ1+2skN4jCrL
5FMFG8cNZtM6XXkXGcBXSJxc0/Xcaja6iI9uy7X6jULa4vXni+P7++P/vkcvrA2mhq5OMQ5becoX
Vt8fog6+7Vo5f8MpCavy2nNeWB07tLWumxLEcn2ESfsf8rDuQc9ri1JuKEUtX/9Wu23cX9/qZTIp
pRh/o4zaLQJLZH6fC/9svwe8yPmQy01MMyWBio1DNaIO6Fjz15/wxouxxEV8ctGktLAza+Si5cW2
TuNloSJjZ7/xVt7apxfGrVaSOuqsqNkO4q1MycwZotl+3+PFAWvzqW6h8Bq3PSOLoblF9HLGTNvr
D3njdFkvrJLp+dJIcQ5vMJgw7mSLOGlA0rYza6zhG1e3HTCV1x+58/2IAWiFPosMouv5+4GZVfOK
sGm3evqripaxBgzZXL3+jJ2v58kzXlyaBKCRVAb6sEVXkPr9WZq+UVV46wEvTOIUp4MW5WW3lTHa
FKNjLXljm+7842sX/8U5DsAeoIrKOSY3cGkfHyDbckyKAEPFLFj4J8jUH76+awKK/qqtEd/6ydVB
ZEFDjSTAR11RGM6wqozLuWAubpSjadO5p2Dc+IVrLNIZ2Nkzyf3cLIRXP70uTzVQ1W7gRouxcdfZ
LFi99fF2OnJUSv4KXV6enLDqZcXj0iknwpGDSF8l+iZTZm680ueXmXsAbuzwl/yd5Kz6Mh7C1veG
9RL4m1d36MV776TaDEpnJJaYd3Mg2JMLIsQ5TOafna15xNzP/Fpdem5GxXYJ1ebqbcrvtz6C9QLC
JSEJqWd90WxRhnSHOZXN6KexBFt22N4O62KRHlkrqLt++dfabFjFJyhF3r5xTsQjXjma1otzEnca
o9oZRxNszbJ0GS4VUd0mnl10m2GzgZvSnbZN6l4iaT1Pl8XKOm3dat4ugg0Kst+SNyzlXWL22+f5
+7obL7bElhx6QxkmpVzoK3OFDsqwnJbTEQLe7g8EfJYA9TfFmqLe0TCzvizgz+EVNat4eR7ORZDw
EBy8NxXG/4fJzYePuJMK4y8UmPjtaU477yL/jS/j3/pHj/Cy3Qv9I24Ncb6fgQHuPtgdu8er6yQ3
sIC0P2Hv0CxIm03HtEE13v1g1pI8g6zw7tcMisqCutlhhhzSLH7Iq3jik5360168/jV/Jx/5fZ1X
v8JLmhHl/oPdp3J/be0/2gr1k0VFU8gq3H1TgYh4thWK8UkQ+BtQ3H/orVD33woHHPmdmsDDVrDi
s61QNShXLGAZglHlQ54Hnbe339XQZWbPII8RdPd3P1y255ugftKYW2P2jPDyQ26CgnPZbxM0E8pU
C6SMDqL/7ufFJgAjIpF0wI581JMgWmN7bgJTiAqIJoDD93vwm5EElMy4hcIufNSTwEfecxPMTwDC
NIEuvb8Ov9kE+ZNsavAtCe6jD3kd9P1PAptggYiDS/MPJ0EFVYckNeC5D7oJD8ZqH0dpf4JxFNUu
9Q+O8o7I1OG62Pcb/vGiBfneWO23CWgvCQHi+4PgcOifeweZcIKJ4Xtqy48bOAlMxN6WAfV2Czjo
g6N8GTgxs8F8Kq5UMGR/TMvwHucBoITJvfjTJhBeIjmkYyA/5CYI17b3SbA+2Qzjq1QZ7m8F2/r8
UkDVh+WwPuxB0PY/CLAZgJVB1ZARTfGz4zbAbwzq2rl3pB81ZBC9nj0Ngw3HItLpOqQJf9oKBrXI
t9QHI/ohbwYDZftHTxZhMppJBmSUdz9Ywuc3A0ImQWLJjOEH3QRR8dzzPBgQnKsm2k0ESOJnRwhp
klsTR3/UEFLwluy5CWRUKGRhHB4uxctNIKNCFpUpbdEG/ZDe8uGD7RM9CcoXofWI1vafToJmqwpl
+g+7Cfvn1jrXQfRxNAJF8cMFe2YT7k4C1pGhmg96ErT9fcQdRS+zdUwV3f3sChmQRUDH96M6Sn3/
TaDepqlg6iEvvvt5eRJEBA05Etflo6aVAoa1p2G0P5FE8J5llnp2D/j2/MICRvhRj8BvGiD/k0I8
uoVofNgPhXgO1fNNENPtMqijhzv38ZJq/f5s7uMWqCxwyoH1PURJL30jlQVZh7FefnjWx9uEhzLo
Ppugf4KGlrHHx5LrS2MAy4sIFLkQ96nmh70U+5uEu5yZERABNH92G+CMQ2D9nsnmzmJ+UAep3Icv
+xwH4xOoDlF7vu86/RY0i0FeqDBwIPe56//ynXhK32Hg0/8HboF3/bRBCXOHaToQ+uyMFEUDQqHq
wpjyve/8oCfh4e3scxJIDEyhhAfFyd3PjsoCQxlAoz9slPAb+9U/95MaZVVcBGxVu0MlLAMkV9Tf
P2yrWsQ3e4dK4sqjX/GHzAE/CTGXzUDbh80c9k+kbfqzzCJSTLg/Cb9lDsonokn+g/UUPx/VTz5k
d/tYBshQgaQDTXiwgS+DR4ykZUP+RlHhg5rHh7ezzybA5CSYnyCNeBEsgGGhha0iW3fvQz7qQfiN
2+OfW0ddJAnw3uIuH73h87gJb+nYGkx/Dw3MD3ocBExtTxsJ46GNCCyzsfc/rPh8K4A+wR8McOE+
Rvlfjpuwhy8xTQ8Vj33uBN+RS8HJ/xO8C7J/So3EDB/VMDygCfbbBJr29GTkh67Uy2QCbyloYLg1
H9ZbvkexUWDG4b97SK1fBo/ETRRkZfo1/75J+DeuzF+QyFkAS80dYjK8rZ8IkL35Dx6BhL8v8OTC
3GUaz/6lUCe7X/v+Won//V/PxcruYIxPfvsIa7x70sPfP3zF3x/+7GGP3+vx/1yHt9VN9SMY734x
PnxQoTTyn//x3wn/9fPm5XW/77/+/Wl+V1b7yx6+vvorutp34m+7Zdv+vcXTm5959fKTk41gW/f+
5G7bNLeP62x+/ud/3BNeCfjW3mvPbpKbjldSP671ZH0uwv7r5yg0//ZK2Rju7TssnjUVInl53ex6
BIZ770fMb5N/bfNq5/5T1dt7/UXyr3lecXge13qy/4Tte6+/rG7rbNfiGPS9F18lt1n2uM6TD46h
3HvtdZt+z5OfzeNSfy+vAMTfe/lNWtxW4U3yuNST5d/jym7QEdmx9Hvc2MPbaseei3La3ptyGGb+
DkMgwLJ7r310E++wYSLreoel6/p21568xwU9yut//TfU48ntrp15jyt6fPMTA/y4D08O4ntc0eOb
Kty1Ne9xRcXaRb7Luoux2r1f6/Ft9jP/Ee6yXgJN/A7rVz9ufz4u9Pe+i9mR/RfP+eyP6zxZ+z2u
6XG+c0/e45aydHNb3Y47Pvl73NTtTbHjoAvg7d4bvr3tbn6PHQ2YPN9h8VfVB/aNHU+Tmx+3O2JH
AfXZe1tOkzbdFdwJ2pO9F/8cEjrW4c8dhl2UKfZe//zmDc2+fbceVth/ubdIp+xw1oJZ9R2+gXhA
ld1UP3caMsGK8C4PmYe3/q4v8R63VuzSElqkH2H9Y9cz3uP6imcc5Ddlu8tbCezpu+zSURvW/zr5
HtbFru/xHv5WfI/jm+Z21/rvcZ9Z/00e43e4FW9Ij7/TE6p2enyxf7tIMYuy/8sOkPPc4WrE8Nv+
i1PD2BWwQez8HovXcTjm7eNSTzbmXe5yntzsih4EbGT/jSEwSXft+rvc3+YGWvvkpq0fP+mTrXmX
qyvKLDv8sECx7b01F7fBza6tEVPl+y9OjB82O4I24z288KtKhftagouWAlGa7YggBJZ27535ygrt
rrtqvMddfUWUZd99uW6/77hIxtu3dFdZ9q+x9N+LtY/j5rv+7HktWvyLH8ntTfVf/w8AAP//</cx:binary>
              </cx:geoCache>
            </cx:geography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8</xdr:row>
      <xdr:rowOff>114300</xdr:rowOff>
    </xdr:from>
    <xdr:to>
      <xdr:col>9</xdr:col>
      <xdr:colOff>482600</xdr:colOff>
      <xdr:row>25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EC6B66-BC70-1F9A-FB68-85DDE7BF9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8</xdr:row>
      <xdr:rowOff>95250</xdr:rowOff>
    </xdr:from>
    <xdr:to>
      <xdr:col>4</xdr:col>
      <xdr:colOff>1841500</xdr:colOff>
      <xdr:row>34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3E65C1-81A7-F352-8A77-AC1436AB0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76200</xdr:rowOff>
    </xdr:from>
    <xdr:to>
      <xdr:col>11</xdr:col>
      <xdr:colOff>12700</xdr:colOff>
      <xdr:row>23</xdr:row>
      <xdr:rowOff>76200</xdr:rowOff>
    </xdr:to>
    <xdr:graphicFrame macro="">
      <xdr:nvGraphicFramePr>
        <xdr:cNvPr id="86" name="Chart 1">
          <a:extLst>
            <a:ext uri="{FF2B5EF4-FFF2-40B4-BE49-F238E27FC236}">
              <a16:creationId xmlns:a16="http://schemas.microsoft.com/office/drawing/2014/main" id="{EA5A56B9-92C9-62FB-DB23-905E98B7A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460636</xdr:colOff>
      <xdr:row>0</xdr:row>
      <xdr:rowOff>0</xdr:rowOff>
    </xdr:from>
    <xdr:to>
      <xdr:col>15</xdr:col>
      <xdr:colOff>259178</xdr:colOff>
      <xdr:row>21</xdr:row>
      <xdr:rowOff>63510</xdr:rowOff>
    </xdr:to>
    <xdr:graphicFrame macro="">
      <xdr:nvGraphicFramePr>
        <xdr:cNvPr id="205" name="Chart 2">
          <a:extLst>
            <a:ext uri="{FF2B5EF4-FFF2-40B4-BE49-F238E27FC236}">
              <a16:creationId xmlns:a16="http://schemas.microsoft.com/office/drawing/2014/main" id="{5D3F1F4C-79F0-E797-B842-19131543F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515544</xdr:colOff>
      <xdr:row>22</xdr:row>
      <xdr:rowOff>150890</xdr:rowOff>
    </xdr:from>
    <xdr:to>
      <xdr:col>11</xdr:col>
      <xdr:colOff>477821</xdr:colOff>
      <xdr:row>33</xdr:row>
      <xdr:rowOff>100593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044CFC-2F13-BA93-0908-A831A4EC3B23}"/>
            </a:ext>
          </a:extLst>
        </xdr:cNvPr>
        <xdr:cNvSpPr txBox="1"/>
      </xdr:nvSpPr>
      <xdr:spPr>
        <a:xfrm>
          <a:off x="4903960" y="4577029"/>
          <a:ext cx="5960198" cy="21627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Brand Insights - </a:t>
          </a:r>
        </a:p>
        <a:p>
          <a:r>
            <a:rPr lang="en-GB" sz="1100" b="0"/>
            <a:t>1.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Staples = clear volume leader, more resilient pre-shock, but just as exposed during the drop.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Office Depot tracks Staples closely but a notch lower each week.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OfficeMax shows earlier and steeper erosion—potentially weaker footprint or more closures.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Niche players (Paper Source, Papyrus, Rapid Refill, Cartridge World) remain small; their declines are proportionally similar.</a:t>
          </a: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11</xdr:col>
      <xdr:colOff>12700</xdr:colOff>
      <xdr:row>28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44A9DEC-CD3B-D971-250C-5AA7AA908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254487</xdr:colOff>
      <xdr:row>0</xdr:row>
      <xdr:rowOff>109905</xdr:rowOff>
    </xdr:from>
    <xdr:to>
      <xdr:col>14</xdr:col>
      <xdr:colOff>402980</xdr:colOff>
      <xdr:row>25</xdr:row>
      <xdr:rowOff>29309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4C027-F3FE-50F8-F630-EA95FB9BC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12700</xdr:colOff>
      <xdr:row>2</xdr:row>
      <xdr:rowOff>54707</xdr:rowOff>
    </xdr:from>
    <xdr:to>
      <xdr:col>32</xdr:col>
      <xdr:colOff>575896</xdr:colOff>
      <xdr:row>86</xdr:row>
      <xdr:rowOff>160703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27EBA0-7AF4-9B3B-411A-93CE8B94D5DD}"/>
            </a:ext>
          </a:extLst>
        </xdr:cNvPr>
        <xdr:cNvSpPr txBox="1"/>
      </xdr:nvSpPr>
      <xdr:spPr>
        <a:xfrm>
          <a:off x="22616258" y="469899"/>
          <a:ext cx="5618773" cy="175440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Query</a:t>
          </a:r>
        </a:p>
        <a:p>
          <a:endParaRPr lang="en-GB" sz="1100" b="1"/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DROP TABLE `group7-fa25-mgmt58200-final`.safegraph.Wekly_visit_Step_2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TABLE `group7-fa25-mgmt58200-final`.safegraph.Wekly_visit_Step_2 AS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parsed AS (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SELECT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v.postal_code,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v.date_range_start,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v.date_range_end,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b.brand_name,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ARRAY(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SELECT SAFE_CAST(x AS INT64)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FROM UNNEST(SPLIT(REGEXP_REPLACE(v.visits_by_day, r'[\[\]\s]', ''), ',')) AS x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) AS visits_array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FROM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`group7-fa25-mgmt58200-final`.safegraph.visits AS v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INNER JOIN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`group7-fa25-mgmt58200-final`.safegraph.brands AS b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ON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v.safegraph_brand_ids = b.safegraph_brand_id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WHERE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b.naics_code = 453210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),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expanded AS (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SELECT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postal_code,                -- ✅ keep postal_code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brand_name,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date_range_start,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date_range_end,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TIMESTAMP_ADD(date_range_start, INTERVAL pos DAY) AS visit_date,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value AS visits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FROM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parsed,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UNNEST(visits_array) AS value WITH OFFSET AS pos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),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weekly_agg AS (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SELECT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postal_code,                -- ✅ include postal_code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brand_name,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DATE_TRUNC(DATE(visit_date), WEEK(MONDAY)) AS week_start,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SUM(visits) AS weekly_visits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FROM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expanded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WHERE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visit_date &gt;= TIMESTAMP('2020-01-01 05:00:00 UTC')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GROUP BY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postal_code, brand_name, week_start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),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ranked_weeks AS (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SELECT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postal_code,                -- ✅ include postal_code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brand_name,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week_start,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CONCAT(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'W-',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LPAD(CAST(ROW_NUMBER() OVER (PARTITION BY brand_name ORDER BY week_start) AS STRING), 2, '0')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) AS week_number_padded,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ROW_NUMBER() OVER (PARTITION BY brand_name ORDER BY week_start) AS week_sequence_num,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weekly_visits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FROM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weekly_agg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postal_code,                   -- ✅ now appears in output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brand_name,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week_start,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week_number_padded AS week_number,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weekly_visits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ranked_weeks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brand_name,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week_sequence_num;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DROP TABLE if exists `group7-fa25-mgmt58200-final`.safegraph.Wekly_visit_U_R_indicator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TABLE `group7-fa25-mgmt58200-final`.safegraph.Wekly_visit_U_R_indicator AS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b.urban_class,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a.postal_code,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brand_name,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sum(weekly_visits) as weekly_visits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`group7-fa25-mgmt58200-final`.safegraph.Wekly_visit_Step_2 as a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left join group7-fa25-mgmt58200-final.safegraph.county_classification as b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on a.postal_code=b.postal_code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--where brand_name = 'Rapid Refill'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1,2,3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1,3</a:t>
          </a:r>
        </a:p>
        <a:p>
          <a:endParaRPr lang="en-GB" sz="1100" b="1"/>
        </a:p>
        <a:p>
          <a:endParaRPr lang="en-GB" sz="1100" b="1"/>
        </a:p>
      </xdr:txBody>
    </xdr:sp>
    <xdr:clientData/>
  </xdr:twoCellAnchor>
  <xdr:twoCellAnchor>
    <xdr:from>
      <xdr:col>4</xdr:col>
      <xdr:colOff>238369</xdr:colOff>
      <xdr:row>25</xdr:row>
      <xdr:rowOff>170961</xdr:rowOff>
    </xdr:from>
    <xdr:to>
      <xdr:col>14</xdr:col>
      <xdr:colOff>415192</xdr:colOff>
      <xdr:row>44</xdr:row>
      <xdr:rowOff>195384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1A5515-4FD8-A342-9001-25343740E331}"/>
            </a:ext>
          </a:extLst>
        </xdr:cNvPr>
        <xdr:cNvSpPr txBox="1"/>
      </xdr:nvSpPr>
      <xdr:spPr>
        <a:xfrm>
          <a:off x="3462215" y="5360865"/>
          <a:ext cx="9445381" cy="396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 u="none"/>
            <a:t>Question - </a:t>
          </a:r>
          <a:r>
            <a:rPr lang="en-IN" sz="1100" b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Did suburban counties experience a stronger rise in visits and dwell time at office supply stores than urban</a:t>
          </a:r>
          <a:r>
            <a:rPr lang="en-IN" sz="11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centers during the first wave of remote work?</a:t>
          </a:r>
        </a:p>
        <a:p>
          <a:endParaRPr lang="en-GB" sz="1100" b="1"/>
        </a:p>
        <a:p>
          <a:r>
            <a:rPr lang="en-GB" sz="1100" b="1"/>
            <a:t>1.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Suburban visits dominate across all major brands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— Staples (705K), Office Depot (608K), and OfficeMax (313K) all record the highest visits from suburban areas.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Urban areas trail slightly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despite higher population density, suggesting that suburban consumers were more actively purchasing home-office essentials when remote work began.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Rural areas show steady but smaller visit counts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reflecting fewer store locations and smaller populations.</a:t>
          </a:r>
        </a:p>
        <a:p>
          <a:endParaRPr lang="en-GB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0</xdr:row>
      <xdr:rowOff>57150</xdr:rowOff>
    </xdr:from>
    <xdr:to>
      <xdr:col>11</xdr:col>
      <xdr:colOff>762000</xdr:colOff>
      <xdr:row>20</xdr:row>
      <xdr:rowOff>139700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1" name="Chart 4">
              <a:extLst>
                <a:ext uri="{FF2B5EF4-FFF2-40B4-BE49-F238E27FC236}">
                  <a16:creationId xmlns:a16="http://schemas.microsoft.com/office/drawing/2014/main" id="{5AC4FD8C-D582-E54F-1191-7F2F240E1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250" y="57150"/>
              <a:ext cx="8070850" cy="4146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241300</xdr:colOff>
      <xdr:row>3</xdr:row>
      <xdr:rowOff>6350</xdr:rowOff>
    </xdr:from>
    <xdr:to>
      <xdr:col>17</xdr:col>
      <xdr:colOff>736600</xdr:colOff>
      <xdr:row>23</xdr:row>
      <xdr:rowOff>139700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73" name="Chart 8">
              <a:extLst>
                <a:ext uri="{FF2B5EF4-FFF2-40B4-BE49-F238E27FC236}">
                  <a16:creationId xmlns:a16="http://schemas.microsoft.com/office/drawing/2014/main" id="{14CFF03D-A9A8-B957-1489-29DB220ED6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2900" y="615950"/>
              <a:ext cx="8013700" cy="4197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190500</xdr:colOff>
      <xdr:row>2</xdr:row>
      <xdr:rowOff>158750</xdr:rowOff>
    </xdr:from>
    <xdr:to>
      <xdr:col>24</xdr:col>
      <xdr:colOff>622300</xdr:colOff>
      <xdr:row>23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0">
              <a:extLst>
                <a:ext uri="{FF2B5EF4-FFF2-40B4-BE49-F238E27FC236}">
                  <a16:creationId xmlns:a16="http://schemas.microsoft.com/office/drawing/2014/main" id="{DD457C43-EB2A-FEFC-98AB-A24A9BD0CC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26000" y="565150"/>
              <a:ext cx="7353300" cy="4210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53561</xdr:colOff>
      <xdr:row>16</xdr:row>
      <xdr:rowOff>38100</xdr:rowOff>
    </xdr:from>
    <xdr:to>
      <xdr:col>21</xdr:col>
      <xdr:colOff>609600</xdr:colOff>
      <xdr:row>19</xdr:row>
      <xdr:rowOff>0</xdr:rowOff>
    </xdr:to>
    <xdr:sp macro="" textlink="">
      <xdr:nvSpPr>
        <xdr:cNvPr id="11" name="Oval 1">
          <a:extLst>
            <a:ext uri="{FF2B5EF4-FFF2-40B4-BE49-F238E27FC236}">
              <a16:creationId xmlns:a16="http://schemas.microsoft.com/office/drawing/2014/main" id="{3382EE64-878A-C4E6-7D40-4DAAD2BDD97E}"/>
            </a:ext>
          </a:extLst>
        </xdr:cNvPr>
        <xdr:cNvSpPr/>
      </xdr:nvSpPr>
      <xdr:spPr>
        <a:xfrm>
          <a:off x="21160409" y="3351143"/>
          <a:ext cx="556039" cy="58309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182217</xdr:colOff>
      <xdr:row>18</xdr:row>
      <xdr:rowOff>176696</xdr:rowOff>
    </xdr:from>
    <xdr:to>
      <xdr:col>21</xdr:col>
      <xdr:colOff>154057</xdr:colOff>
      <xdr:row>19</xdr:row>
      <xdr:rowOff>205962</xdr:rowOff>
    </xdr:to>
    <xdr:sp macro="" textlink="">
      <xdr:nvSpPr>
        <xdr:cNvPr id="32" name="TextBox 2">
          <a:extLst>
            <a:ext uri="{FF2B5EF4-FFF2-40B4-BE49-F238E27FC236}">
              <a16:creationId xmlns:a16="http://schemas.microsoft.com/office/drawing/2014/main" id="{C82C470A-4BD7-CE5A-CE13-F46CF2E96849}"/>
            </a:ext>
          </a:extLst>
        </xdr:cNvPr>
        <xdr:cNvSpPr txBox="1"/>
      </xdr:nvSpPr>
      <xdr:spPr>
        <a:xfrm>
          <a:off x="19894826" y="3903870"/>
          <a:ext cx="1366079" cy="23633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Los Angeles County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iva Mondal" refreshedDate="45941.464546990741" createdVersion="8" refreshedVersion="8" minRefreshableVersion="3" recordCount="126" xr:uid="{F5CF4C32-5983-2141-8252-481D0C3347CF}">
  <cacheSource type="worksheet">
    <worksheetSource ref="B1:E127" sheet="Q1 Weekly Visits"/>
  </cacheSource>
  <cacheFields count="4">
    <cacheField name="brand_name" numFmtId="0">
      <sharedItems count="7">
        <s v="Cartridge World"/>
        <s v="Office Depot"/>
        <s v="OfficeMax"/>
        <s v="Paper Source"/>
        <s v="Papyrus"/>
        <s v="Rapid Refill"/>
        <s v="Staples"/>
      </sharedItems>
    </cacheField>
    <cacheField name="week_start" numFmtId="14">
      <sharedItems containsSemiMixedTypes="0" containsNonDate="0" containsDate="1" containsString="0" minDate="2019-12-30T00:00:00" maxDate="2020-04-28T00:00:00"/>
    </cacheField>
    <cacheField name="week_number" numFmtId="0">
      <sharedItems count="18">
        <s v="W-01"/>
        <s v="W-02"/>
        <s v="W-03"/>
        <s v="W-04"/>
        <s v="W-05"/>
        <s v="W-06"/>
        <s v="W-07"/>
        <s v="W-08"/>
        <s v="W-09"/>
        <s v="W-10"/>
        <s v="W-11"/>
        <s v="W-12"/>
        <s v="W-13"/>
        <s v="W-14"/>
        <s v="W-15"/>
        <s v="W-16"/>
        <s v="W-17"/>
        <s v="W-18"/>
      </sharedItems>
    </cacheField>
    <cacheField name="weekly_visits" numFmtId="0">
      <sharedItems containsSemiMixedTypes="0" containsString="0" containsNumber="1" containsInteger="1" minValue="19" maxValue="1452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iva Mondal" refreshedDate="45941.808791203701" createdVersion="8" refreshedVersion="8" minRefreshableVersion="3" recordCount="20" xr:uid="{B7F50DDA-6342-664A-BB29-E4F4CCC8178C}">
  <cacheSource type="worksheet">
    <worksheetSource name="Table1"/>
  </cacheSource>
  <cacheFields count="4">
    <cacheField name="urban_class" numFmtId="0">
      <sharedItems count="3">
        <s v="Rural"/>
        <s v="Suburban"/>
        <s v="Urban"/>
      </sharedItems>
    </cacheField>
    <cacheField name="brand_name" numFmtId="0">
      <sharedItems count="7">
        <s v="Cartridge World"/>
        <s v="Office Depot"/>
        <s v="OfficeMax"/>
        <s v="Paper Source"/>
        <s v="Papyrus"/>
        <s v="Rapid Refill"/>
        <s v="Staples"/>
      </sharedItems>
    </cacheField>
    <cacheField name="total_visits" numFmtId="0">
      <sharedItems containsSemiMixedTypes="0" containsString="0" containsNumber="1" containsInteger="1" minValue="329" maxValue="705025"/>
    </cacheField>
    <cacheField name="avg_median_dwell_time" numFmtId="0">
      <sharedItems containsSemiMixedTypes="0" containsString="0" containsNumber="1" minValue="15.847644394639699" maxValue="50.681818181818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iva Mondal" refreshedDate="45941.820171412037" createdVersion="8" refreshedVersion="8" minRefreshableVersion="3" recordCount="2781" xr:uid="{95756876-6201-4D4F-9277-76CC113815FC}">
  <cacheSource type="worksheet">
    <worksheetSource ref="A1:F2782" sheet="Q2 Heatmap"/>
  </cacheSource>
  <cacheFields count="6">
    <cacheField name="state" numFmtId="0">
      <sharedItems count="52">
        <s v="VA"/>
        <s v="AK"/>
        <s v="AL"/>
        <s v="AR"/>
        <s v="AZ"/>
        <s v="CA"/>
        <s v="CO"/>
        <s v="CT"/>
        <s v="DC"/>
        <s v="DE"/>
        <s v="FL"/>
        <s v="GA"/>
        <s v="HI"/>
        <s v="IA"/>
        <s v="ID"/>
        <s v="IL"/>
        <s v="IN"/>
        <s v="KS"/>
        <s v="KY"/>
        <s v="LA"/>
        <s v="MA"/>
        <s v="MD"/>
        <s v="ME"/>
        <s v="MI"/>
        <s v="MN"/>
        <s v="MO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PR"/>
        <s v="RI"/>
        <s v="SC"/>
        <s v="SD"/>
        <s v="TN"/>
        <s v="TX"/>
        <s v="UT"/>
        <s v="VT"/>
        <s v="WA"/>
        <s v="WI"/>
        <s v="WV"/>
        <s v="WY"/>
      </sharedItems>
    </cacheField>
    <cacheField name="county" numFmtId="0">
      <sharedItems count="681">
        <s v="VA"/>
        <s v="Anchorage Municipality"/>
        <s v="Juneau City and Borough"/>
        <s v="Fairbanks North Star Borough"/>
        <s v="Madison County"/>
        <s v="Mobile County"/>
        <s v="Houston County"/>
        <s v="Cullman County"/>
        <s v="Tuscaloosa County"/>
        <s v="Calhoun County"/>
        <s v="Elmore County"/>
        <s v="Baldwin County"/>
        <s v="Morgan County"/>
        <s v="Lauderdale County"/>
        <s v="Marshall County"/>
        <s v="Coffee County"/>
        <s v="Montgomery County"/>
        <s v="Jefferson County"/>
        <s v="Lee County"/>
        <s v="Shelby County"/>
        <s v="Etowah County"/>
        <s v="Limestone County"/>
        <s v="Saline County"/>
        <s v="Washington County"/>
        <s v="Pope County"/>
        <s v="Benton County"/>
        <s v="Garland County"/>
        <s v="Sebastian County"/>
        <s v="Craighead County"/>
        <s v="Union County"/>
        <s v="Pulaski County"/>
        <s v="Faulkner County"/>
        <s v="Mohave County"/>
        <s v="Yavapai County"/>
        <s v="Maricopa County"/>
        <s v="Pinal County"/>
        <s v="Coconino County"/>
        <s v="Cochise County"/>
        <s v="Pima County"/>
        <s v="Yuma County"/>
        <s v="Santa Cruz County"/>
        <s v="Monterey County"/>
        <s v="San Luis Obispo County"/>
        <s v="San Bernardino County"/>
        <s v="Butte County"/>
        <s v="Tulare County"/>
        <s v="El Dorado County"/>
        <s v="Placer County"/>
        <s v="Sonoma County"/>
        <s v="Imperial County"/>
        <s v="Shasta County"/>
        <s v="Orange County"/>
        <s v="Sacramento County"/>
        <s v="Contra Costa County"/>
        <s v="Santa Clara County"/>
        <s v="Ventura County"/>
        <s v="San Francisco County"/>
        <s v="Nevada County"/>
        <s v="Kings County"/>
        <s v="Solano County"/>
        <s v="San Joaquin County"/>
        <s v="Yolo County"/>
        <s v="Amador County"/>
        <s v="Marin County"/>
        <s v="Madera County"/>
        <s v="San Diego County"/>
        <s v="Los Angeles County"/>
        <s v="Riverside County"/>
        <s v="Alameda County"/>
        <s v="Fresno County"/>
        <s v="Mendocino County"/>
        <s v="Stanislaus County"/>
        <s v="San Mateo County"/>
        <s v="Santa Barbara County"/>
        <s v="Kern County"/>
        <s v="Sutter County"/>
        <s v="Merced County"/>
        <s v="Napa County"/>
        <s v="Tuolumne County"/>
        <s v="Fremont County"/>
        <s v="Weld County"/>
        <s v="Larimer County"/>
        <s v="Douglas County"/>
        <s v="Denver County"/>
        <s v="El Paso County"/>
        <s v="Arapahoe County"/>
        <s v="Montrose County"/>
        <s v="Boulder County"/>
        <s v="La Plata County"/>
        <s v="Mesa County"/>
        <s v="Adams County"/>
        <s v="Garfield County"/>
        <s v="Pueblo County"/>
        <s v="Summit County"/>
        <s v="Middlesex County"/>
        <s v="Windham County"/>
        <s v="Tolland County"/>
        <s v="Hartford County"/>
        <s v="Litchfield County"/>
        <s v="Fairfield County"/>
        <s v="New Haven County"/>
        <s v="New London County"/>
        <s v="District of Columbia"/>
        <s v="Sussex County"/>
        <s v="New Castle County"/>
        <s v="Kent County"/>
        <s v="Sarasota County"/>
        <s v="Indian River County"/>
        <s v="Lake County"/>
        <s v="Charlotte County"/>
        <s v="Polk County"/>
        <s v="Escambia County"/>
        <s v="Monroe County"/>
        <s v="Osceola County"/>
        <s v="Citrus County"/>
        <s v="Nassau County"/>
        <s v="Flagler County"/>
        <s v="Hernando County"/>
        <s v="Putnam County"/>
        <s v="Miami-Dade County"/>
        <s v="Pinellas County"/>
        <s v="Hillsborough County"/>
        <s v="St. Lucie County"/>
        <s v="Santa Rosa County"/>
        <s v="Collier County"/>
        <s v="Duval County"/>
        <s v="Bay County"/>
        <s v="Martin County"/>
        <s v="Columbia County"/>
        <s v="Manatee County"/>
        <s v="Palm Beach County"/>
        <s v="Alachua County"/>
        <s v="Broward County"/>
        <s v="Pasco County"/>
        <s v="Seminole County"/>
        <s v="Brevard County"/>
        <s v="Okaloosa County"/>
        <s v="Highlands County"/>
        <s v="Leon County"/>
        <s v="Marion County"/>
        <s v="Volusia County"/>
        <s v="Clay County"/>
        <s v="St. Johns County"/>
        <s v="Tift County"/>
        <s v="Chatham County"/>
        <s v="DeKalb County"/>
        <s v="Muscogee County"/>
        <s v="Henry County"/>
        <s v="Whitfield County"/>
        <s v="Floyd County"/>
        <s v="Paulding County"/>
        <s v="Troup County"/>
        <s v="Bartow County"/>
        <s v="Coweta County"/>
        <s v="Dougherty County"/>
        <s v="Clarke County"/>
        <s v="Cherokee County"/>
        <s v="Barrow County"/>
        <s v="Cobb County"/>
        <s v="Gordon County"/>
        <s v="Fulton County"/>
        <s v="Hall County"/>
        <s v="Bibb County"/>
        <s v="Fayette County"/>
        <s v="Thomas County"/>
        <s v="Lowndes County"/>
        <s v="Spalding County"/>
        <s v="Rockdale County"/>
        <s v="Laurens County"/>
        <s v="Bulloch County"/>
        <s v="Gwinnett County"/>
        <s v="Ware County"/>
        <s v="Clayton County"/>
        <s v="Forsyth County"/>
        <s v="Carroll County"/>
        <s v="Catoosa County"/>
        <s v="Glynn County"/>
        <s v="Richmond County"/>
        <s v="Honolulu County"/>
        <s v="Hawaii County"/>
        <s v="Maui County"/>
        <s v="Cerro Gordo County"/>
        <s v="Webster County"/>
        <s v="Story County"/>
        <s v="Dubuque County"/>
        <s v="Johnson County"/>
        <s v="Black Hawk County"/>
        <s v="Linn County"/>
        <s v="Woodbury County"/>
        <s v="Dallas County"/>
        <s v="Des Moines County"/>
        <s v="Pottawattamie County"/>
        <s v="Scott County"/>
        <s v="Nez Perce County"/>
        <s v="Bonner County"/>
        <s v="Bannock County"/>
        <s v="Latah County"/>
        <s v="Ada County"/>
        <s v="Bonneville County"/>
        <s v="Canyon County"/>
        <s v="Twin Falls County"/>
        <s v="Kootenai County"/>
        <s v="Kane County"/>
        <s v="DuPage County"/>
        <s v="Rock Island County"/>
        <s v="Tazewell County"/>
        <s v="Will County"/>
        <s v="Peoria County"/>
        <s v="Macon County"/>
        <s v="Whiteside County"/>
        <s v="Cook County"/>
        <s v="Winnebago County"/>
        <s v="McLean County"/>
        <s v="Sangamon County"/>
        <s v="Jackson County"/>
        <s v="McHenry County"/>
        <s v="Kendall County"/>
        <s v="St. Clair County"/>
        <s v="Champaign County"/>
        <s v="LaSalle County"/>
        <s v="Kankakee County"/>
        <s v="Delaware County"/>
        <s v="St. Joseph County"/>
        <s v="Kosciusko County"/>
        <s v="Hamilton County"/>
        <s v="Tippecanoe County"/>
        <s v="Howard County"/>
        <s v="Bartholomew County"/>
        <s v="Vigo County"/>
        <s v="Allen County"/>
        <s v="Elkhart County"/>
        <s v="LaPorte County"/>
        <s v="Porter County"/>
        <s v="Hendricks County"/>
        <s v="Vanderburgh County"/>
        <s v="Knox County"/>
        <s v="Clark County"/>
        <s v="Shawnee County"/>
        <s v="Lyon County"/>
        <s v="Pottawatomie County"/>
        <s v="Sedgwick County"/>
        <s v="Finney County"/>
        <s v="Laurel County"/>
        <s v="Calloway County"/>
        <s v="Boone County"/>
        <s v="Pike County"/>
        <s v="Hardin County"/>
        <s v="Daviess County"/>
        <s v="Kenton County"/>
        <s v="Campbell County"/>
        <s v="Christian County"/>
        <s v="Boyd County"/>
        <s v="Warren County"/>
        <s v="McCracken County"/>
        <s v="Franklin County"/>
        <s v="Rapides Parish"/>
        <s v="Jefferson Parish"/>
        <s v="East Baton Rouge Parish"/>
        <s v="Caddo Parish"/>
        <s v="Orleans Parish"/>
        <s v="Lincoln Parish"/>
        <s v="Bossier Parish"/>
        <s v="Tangipahoa Parish"/>
        <s v="St. Tammany Parish"/>
        <s v="Lafourche Parish"/>
        <s v="St. John the Baptist Parish"/>
        <s v="Ascension Parish"/>
        <s v="Lafayette Parish"/>
        <s v="Ouachita Parish"/>
        <s v="Iberia Parish"/>
        <s v="Terrebonne Parish"/>
        <s v="Calcasieu Parish"/>
        <s v="Livingston Parish"/>
        <s v="Suffolk County"/>
        <s v="Hampshire County"/>
        <s v="Hampden County"/>
        <s v="Bristol County"/>
        <s v="Norfolk County"/>
        <s v="Berkshire County"/>
        <s v="Plymouth County"/>
        <s v="Barnstable County"/>
        <s v="Essex County"/>
        <s v="Worcester County"/>
        <s v="Prince George County"/>
        <s v="Cecil County"/>
        <s v="Charles County"/>
        <s v="Baltimore city"/>
        <s v="Harford County"/>
        <s v="Baltimore County"/>
        <s v="Anne Arundel County"/>
        <s v="Frederick County"/>
        <s v="Talbot County"/>
        <s v="Wicomico County"/>
        <s v="Calvert County"/>
        <s v="Allegany County"/>
        <s v="St. Mary County"/>
        <s v="York County"/>
        <s v="Cumberland County"/>
        <s v="Androscoggin County"/>
        <s v="Kennebec County"/>
        <s v="Penobscot County"/>
        <s v="Oakland County"/>
        <s v="Lapeer County"/>
        <s v="Washtenaw County"/>
        <s v="Ottawa County"/>
        <s v="Kalamazoo County"/>
        <s v="Muskegon County"/>
        <s v="Genesee County"/>
        <s v="Midland County"/>
        <s v="Livingston County"/>
        <s v="Berrien County"/>
        <s v="Hillsdale County"/>
        <s v="Ingham County"/>
        <s v="Emmet County"/>
        <s v="Macomb County"/>
        <s v="Eaton County"/>
        <s v="Wayne County"/>
        <s v="Grand Traverse County"/>
        <s v="Saginaw County"/>
        <s v="Lenawee County"/>
        <s v="Isabella County"/>
        <s v="Hennepin County"/>
        <s v="Sherburne County"/>
        <s v="Ramsey County"/>
        <s v="Crow Wing County"/>
        <s v="Beltrami County"/>
        <s v="Blue Earth County"/>
        <s v="Anoka County"/>
        <s v="Kandiyohi County"/>
        <s v="Dakota County"/>
        <s v="Wright County"/>
        <s v="Carver County"/>
        <s v="Stearns County"/>
        <s v="St. Louis County"/>
        <s v="Olmsted County"/>
        <s v="Pettis County"/>
        <s v="Phelps County"/>
        <s v="Cole County"/>
        <s v="St. Louis city"/>
        <s v="Jasper County"/>
        <s v="St. Francois County"/>
        <s v="St. Charles County"/>
        <s v="Greene County"/>
        <s v="Butler County"/>
        <s v="Platte County"/>
        <s v="Buchanan County"/>
        <s v="Cape Girardeau County"/>
        <s v="Cass County"/>
        <s v="DeSoto County"/>
        <s v="Lafayette County"/>
        <s v="Hinds County"/>
        <s v="Rankin County"/>
        <s v="Jones County"/>
        <s v="Harrison County"/>
        <s v="Lamar County"/>
        <s v="Yellowstone County"/>
        <s v="Cascade County"/>
        <s v="Silver Bow County"/>
        <s v="Gallatin County"/>
        <s v="Lewis and Clark County"/>
        <s v="Missoula County"/>
        <s v="Flathead County"/>
        <s v="Rutherford County"/>
        <s v="Henderson County"/>
        <s v="Iredell County"/>
        <s v="Catawba County"/>
        <s v="Gaston County"/>
        <s v="Wilson County"/>
        <s v="Haywood County"/>
        <s v="Rowan County"/>
        <s v="Randolph County"/>
        <s v="Onslow County"/>
        <s v="Moore County"/>
        <s v="Wake County"/>
        <s v="New Hanover County"/>
        <s v="Pitt County"/>
        <s v="Buncombe County"/>
        <s v="Beaufort County"/>
        <s v="Pasquotank County"/>
        <s v="Burke County"/>
        <s v="Carteret County"/>
        <s v="Craven County"/>
        <s v="Mecklenburg County"/>
        <s v="Durham County"/>
        <s v="Nash County"/>
        <s v="Guilford County"/>
        <s v="Alamance County"/>
        <s v="Cleveland County"/>
        <s v="Surry County"/>
        <s v="Brunswick County"/>
        <s v="Dare County"/>
        <s v="Watauga County"/>
        <s v="Grand Forks County"/>
        <s v="Burleigh County"/>
        <s v="Ward County"/>
        <s v="Dodge County"/>
        <s v="Scotts Bluff County"/>
        <s v="Sarpy County"/>
        <s v="Lancaster County"/>
        <s v="Buffalo County"/>
        <s v="Strafford County"/>
        <s v="Rockingham County"/>
        <s v="Merrimack County"/>
        <s v="Cheshire County"/>
        <s v="Belknap County"/>
        <s v="Grafton County"/>
        <s v="Monmouth County"/>
        <s v="Somerset County"/>
        <s v="Hudson County"/>
        <s v="Gloucester County"/>
        <s v="Camden County"/>
        <s v="Burlington County"/>
        <s v="Mercer County"/>
        <s v="Bergen County"/>
        <s v="Passaic County"/>
        <s v="Ocean County"/>
        <s v="Morris County"/>
        <s v="Atlantic County"/>
        <s v="Hunterdon County"/>
        <s v="Cape May County"/>
        <s v="Otero County"/>
        <s v="Lea County"/>
        <s v="Chaves County"/>
        <s v="Do√±a Ana County"/>
        <s v="Santa Fe County"/>
        <s v="San Juan County"/>
        <s v="Curry County"/>
        <s v="Bernalillo County"/>
        <s v="Elko County"/>
        <s v="Carson City"/>
        <s v="Washoe County"/>
        <s v="New York County"/>
        <s v="Chemung County"/>
        <s v="Rockland County"/>
        <s v="Ontario County"/>
        <s v="Broome County"/>
        <s v="Onondaga County"/>
        <s v="Chautauqua County"/>
        <s v="Schenectady County"/>
        <s v="Ulster County"/>
        <s v="Otsego County"/>
        <s v="Bronx County"/>
        <s v="Saratoga County"/>
        <s v="Westchester County"/>
        <s v="Erie County"/>
        <s v="Albany County"/>
        <s v="Oneida County"/>
        <s v="Rensselaer County"/>
        <s v="Cayuga County"/>
        <s v="Queens County"/>
        <s v="Dutchess County"/>
        <s v="Tompkins County"/>
        <s v="Clinton County"/>
        <s v="Niagara County"/>
        <s v="Cattaraugus County"/>
        <s v="Clermont County"/>
        <s v="Licking County"/>
        <s v="Cuyahoga County"/>
        <s v="Stark County"/>
        <s v="Ross County"/>
        <s v="Ashtabula County"/>
        <s v="Sandusky County"/>
        <s v="Portage County"/>
        <s v="Lorain County"/>
        <s v="Medina County"/>
        <s v="Richland County"/>
        <s v="Lucas County"/>
        <s v="Belmont County"/>
        <s v="Tuscarawas County"/>
        <s v="Defiance County"/>
        <s v="Miami County"/>
        <s v="Trumbull County"/>
        <s v="Muskingum County"/>
        <s v="Mahoning County"/>
        <s v="Wood County"/>
        <s v="Tulsa County"/>
        <s v="Kay County"/>
        <s v="Canadian County"/>
        <s v="Pontotoc County"/>
        <s v="Comanche County"/>
        <s v="Payne County"/>
        <s v="Oklahoma County"/>
        <s v="Muskogee County"/>
        <s v="Carter County"/>
        <s v="Yamhill County"/>
        <s v="Multnomah County"/>
        <s v="Klamath County"/>
        <s v="Clatsop County"/>
        <s v="Josephine County"/>
        <s v="Deschutes County"/>
        <s v="Lane County"/>
        <s v="Clackamas County"/>
        <s v="Coos County"/>
        <s v="Wasco County"/>
        <s v="Malheur County"/>
        <s v="Luzerne County"/>
        <s v="Bucks County"/>
        <s v="Dauphin County"/>
        <s v="Lackawanna County"/>
        <s v="Beaver County"/>
        <s v="Allegheny County"/>
        <s v="Lehigh County"/>
        <s v="Westmoreland County"/>
        <s v="Cambria County"/>
        <s v="Northampton County"/>
        <s v="Lebanon County"/>
        <s v="Blair County"/>
        <s v="Philadelphia County"/>
        <s v="Berks County"/>
        <s v="Chester County"/>
        <s v="Indiana County"/>
        <s v="Centre County"/>
        <s v="Lycoming County"/>
        <s v="Guaynabo Municipio"/>
        <s v="Caguas Municipio"/>
        <s v="Carolina Municipio"/>
        <s v="Ponce Municipio"/>
        <s v="Hormigueros Municipio"/>
        <s v="Bayam√≥n Municipio"/>
        <s v="San Juan Municipio"/>
        <s v="Manat√≠ Municipio"/>
        <s v="Providence County"/>
        <s v="Newport County"/>
        <s v="Horry County"/>
        <s v="Berkeley County"/>
        <s v="Anderson County"/>
        <s v="Pickens County"/>
        <s v="Aiken County"/>
        <s v="Florence County"/>
        <s v="Sumter County"/>
        <s v="Orangeburg County"/>
        <s v="Charleston County"/>
        <s v="Greenville County"/>
        <s v="Greenwood County"/>
        <s v="Spartanburg County"/>
        <s v="Oconee County"/>
        <s v="Lexington County"/>
        <s v="Pennington County"/>
        <s v="Brown County"/>
        <s v="Lincoln County"/>
        <s v="Minnehaha County"/>
        <s v="McMinn County"/>
        <s v="Dickson County"/>
        <s v="Williamson County"/>
        <s v="Sumner County"/>
        <s v="Davidson County"/>
        <s v="Hamblen County"/>
        <s v="Blount County"/>
        <s v="Maury County"/>
        <s v="Sevier County"/>
        <s v="Sullivan County"/>
        <s v="Bradley County"/>
        <s v="Cameron County"/>
        <s v="Hunt County"/>
        <s v="Lubbock County"/>
        <s v="Navarro County"/>
        <s v="Tarrant County"/>
        <s v="Potter County"/>
        <s v="Burnet County"/>
        <s v="Wichita County"/>
        <s v="Titus County"/>
        <s v="Parker County"/>
        <s v="Erath County"/>
        <s v="Hidalgo County"/>
        <s v="Guadalupe County"/>
        <s v="Travis County"/>
        <s v="Brazoria County"/>
        <s v="Bastrop County"/>
        <s v="Harris County"/>
        <s v="Gregg County"/>
        <s v="McLennan County"/>
        <s v="Collin County"/>
        <s v="Fort Bend County"/>
        <s v="Nueces County"/>
        <s v="Brazos County"/>
        <s v="Denton County"/>
        <s v="Kerr County"/>
        <s v="Nacogdoches County"/>
        <s v="Galveston County"/>
        <s v="Ellis County"/>
        <s v="Randall County"/>
        <s v="Angelina County"/>
        <s v="Walker County"/>
        <s v="Hood County"/>
        <s v="Ector County"/>
        <s v="Bexar County"/>
        <s v="Bell County"/>
        <s v="Comal County"/>
        <s v="Rockwall County"/>
        <s v="Smith County"/>
        <s v="Taylor County"/>
        <s v="Webb County"/>
        <s v="Bowie County"/>
        <s v="Tom Green County"/>
        <s v="Hays County"/>
        <s v="Victoria County"/>
        <s v="Grayson County"/>
        <s v="Salt Lake County"/>
        <s v="Cache County"/>
        <s v="Utah County"/>
        <s v="Weber County"/>
        <s v="Davis County"/>
        <s v="Fairfax city"/>
        <s v="Stafford County"/>
        <s v="Suffolk city"/>
        <s v="Norfolk city"/>
        <s v="Staunton city"/>
        <s v="Henrico County"/>
        <s v="Martinsville city"/>
        <s v="Loudoun County"/>
        <s v="Alexandria city"/>
        <s v="Manassas city"/>
        <s v="Newport News city"/>
        <s v="Falls Church city"/>
        <s v="Bristol city"/>
        <s v="Fauquier County"/>
        <s v="James City County"/>
        <s v="Fairfax County"/>
        <s v="Colonial Heights city"/>
        <s v="Albemarle County"/>
        <s v="Arlington County"/>
        <s v="Richmond city"/>
        <s v="Lynchburg city"/>
        <s v="Chesterfield County"/>
        <s v="Hanover County"/>
        <s v="Danville city"/>
        <s v="Roanoke city"/>
        <s v="Winchester city"/>
        <s v="Harrisonburg city"/>
        <s v="Virginia Beach city"/>
        <s v="Prince William County"/>
        <s v="Norton city"/>
        <s v="Fredericksburg city"/>
        <s v="Charlottesville city"/>
        <s v="Chesapeake city"/>
        <s v="Williamsburg city"/>
        <s v="St. Croix Island"/>
        <s v="Hampton city"/>
        <s v="Chittenden County"/>
        <s v="Bennington County"/>
        <s v="Rutland County"/>
        <s v="King County"/>
        <s v="Pierce County"/>
        <s v="Snohomish County"/>
        <s v="Kitsap County"/>
        <s v="Walla Walla County"/>
        <s v="Cowlitz County"/>
        <s v="Grant County"/>
        <s v="Chelan County"/>
        <s v="Yakima County"/>
        <s v="Lewis County"/>
        <s v="Thurston County"/>
        <s v="Skagit County"/>
        <s v="Spokane County"/>
        <s v="Whatcom County"/>
        <s v="Island County"/>
        <s v="Grays Harbor County"/>
        <s v="Clallam County"/>
        <s v="Eau Claire County"/>
        <s v="Outagamie County"/>
        <s v="Dane County"/>
        <s v="Rock County"/>
        <s v="Waukesha County"/>
        <s v="Calumet County"/>
        <s v="Milwaukee County"/>
        <s v="Manitowoc County"/>
        <s v="Ozaukee County"/>
        <s v="Kenosha County"/>
        <s v="Barron County"/>
        <s v="Fond du Lac County"/>
        <s v="Racine County"/>
        <s v="La Crosse County"/>
        <s v="Marathon County"/>
        <s v="Sheboygan County"/>
        <s v="Monongalia County"/>
        <s v="Kanawha County"/>
        <s v="Cabell County"/>
        <s v="Raleigh County"/>
        <s v="Natrona County"/>
        <s v="Teton County"/>
        <s v="Sweetwater County"/>
      </sharedItems>
    </cacheField>
    <cacheField name="urban_class" numFmtId="0">
      <sharedItems/>
    </cacheField>
    <cacheField name="postal_code" numFmtId="0">
      <sharedItems containsSemiMixedTypes="0" containsString="0" containsNumber="1" containsInteger="1" minValue="659" maxValue="99801"/>
    </cacheField>
    <cacheField name="brand_name" numFmtId="0">
      <sharedItems count="7">
        <s v="OfficeMax"/>
        <s v="Office Depot"/>
        <s v="Staples"/>
        <s v="Cartridge World"/>
        <s v="Paper Source"/>
        <s v="Papyrus"/>
        <s v="Rapid Refill"/>
      </sharedItems>
    </cacheField>
    <cacheField name="weekly_visits" numFmtId="0">
      <sharedItems containsSemiMixedTypes="0" containsString="0" containsNumber="1" containsInteger="1" minValue="9" maxValue="545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iva Mondal" refreshedDate="45942.128693171297" createdVersion="8" refreshedVersion="8" minRefreshableVersion="3" recordCount="126" xr:uid="{38EC719E-D6DF-3647-A1C9-5B9003C212E7}">
  <cacheSource type="worksheet">
    <worksheetSource name="Table2"/>
  </cacheSource>
  <cacheFields count="5">
    <cacheField name="Row" numFmtId="0">
      <sharedItems containsSemiMixedTypes="0" containsString="0" containsNumber="1" containsInteger="1" minValue="1" maxValue="126"/>
    </cacheField>
    <cacheField name="brand_name" numFmtId="0">
      <sharedItems count="7">
        <s v="Cartridge World"/>
        <s v="Office Depot"/>
        <s v="OfficeMax"/>
        <s v="Paper Source"/>
        <s v="Papyrus"/>
        <s v="Rapid Refill"/>
        <s v="Staples"/>
      </sharedItems>
    </cacheField>
    <cacheField name="week_start" numFmtId="14">
      <sharedItems containsSemiMixedTypes="0" containsNonDate="0" containsDate="1" containsString="0" minDate="2019-12-30T00:00:00" maxDate="2020-04-28T00:00:00"/>
    </cacheField>
    <cacheField name="week_number" numFmtId="0">
      <sharedItems count="18">
        <s v="W-01"/>
        <s v="W-02"/>
        <s v="W-03"/>
        <s v="W-04"/>
        <s v="W-05"/>
        <s v="W-06"/>
        <s v="W-07"/>
        <s v="W-08"/>
        <s v="W-09"/>
        <s v="W-10"/>
        <s v="W-11"/>
        <s v="W-12"/>
        <s v="W-13"/>
        <s v="W-14"/>
        <s v="W-15"/>
        <s v="W-16"/>
        <s v="W-17"/>
        <s v="W-18"/>
      </sharedItems>
    </cacheField>
    <cacheField name="weekly_visits" numFmtId="0">
      <sharedItems containsSemiMixedTypes="0" containsString="0" containsNumber="1" containsInteger="1" minValue="19" maxValue="1452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x v="0"/>
    <d v="2019-12-30T00:00:00"/>
    <x v="0"/>
    <n v="10045"/>
  </r>
  <r>
    <x v="0"/>
    <d v="2020-01-06T00:00:00"/>
    <x v="1"/>
    <n v="15829"/>
  </r>
  <r>
    <x v="0"/>
    <d v="2020-01-13T00:00:00"/>
    <x v="2"/>
    <n v="16923"/>
  </r>
  <r>
    <x v="0"/>
    <d v="2020-01-20T00:00:00"/>
    <x v="3"/>
    <n v="16715"/>
  </r>
  <r>
    <x v="0"/>
    <d v="2020-01-27T00:00:00"/>
    <x v="4"/>
    <n v="17319"/>
  </r>
  <r>
    <x v="0"/>
    <d v="2020-02-03T00:00:00"/>
    <x v="5"/>
    <n v="16348"/>
  </r>
  <r>
    <x v="0"/>
    <d v="2020-02-10T00:00:00"/>
    <x v="6"/>
    <n v="17267"/>
  </r>
  <r>
    <x v="0"/>
    <d v="2020-02-17T00:00:00"/>
    <x v="7"/>
    <n v="15339"/>
  </r>
  <r>
    <x v="0"/>
    <d v="2020-02-24T00:00:00"/>
    <x v="8"/>
    <n v="14285"/>
  </r>
  <r>
    <x v="0"/>
    <d v="2020-03-02T00:00:00"/>
    <x v="9"/>
    <n v="18981"/>
  </r>
  <r>
    <x v="0"/>
    <d v="2020-03-09T00:00:00"/>
    <x v="10"/>
    <n v="14159"/>
  </r>
  <r>
    <x v="0"/>
    <d v="2020-03-16T00:00:00"/>
    <x v="11"/>
    <n v="9376"/>
  </r>
  <r>
    <x v="0"/>
    <d v="2020-03-23T00:00:00"/>
    <x v="12"/>
    <n v="6902"/>
  </r>
  <r>
    <x v="0"/>
    <d v="2020-03-30T00:00:00"/>
    <x v="13"/>
    <n v="6307"/>
  </r>
  <r>
    <x v="0"/>
    <d v="2020-04-06T00:00:00"/>
    <x v="14"/>
    <n v="5381"/>
  </r>
  <r>
    <x v="0"/>
    <d v="2020-04-13T00:00:00"/>
    <x v="15"/>
    <n v="5727"/>
  </r>
  <r>
    <x v="0"/>
    <d v="2020-04-20T00:00:00"/>
    <x v="16"/>
    <n v="6507"/>
  </r>
  <r>
    <x v="0"/>
    <d v="2020-04-27T00:00:00"/>
    <x v="17"/>
    <n v="4137"/>
  </r>
  <r>
    <x v="1"/>
    <d v="2019-12-30T00:00:00"/>
    <x v="0"/>
    <n v="88525"/>
  </r>
  <r>
    <x v="1"/>
    <d v="2020-01-06T00:00:00"/>
    <x v="1"/>
    <n v="137625"/>
  </r>
  <r>
    <x v="1"/>
    <d v="2020-01-13T00:00:00"/>
    <x v="2"/>
    <n v="127302"/>
  </r>
  <r>
    <x v="1"/>
    <d v="2020-01-20T00:00:00"/>
    <x v="3"/>
    <n v="122799"/>
  </r>
  <r>
    <x v="1"/>
    <d v="2020-01-27T00:00:00"/>
    <x v="4"/>
    <n v="120393"/>
  </r>
  <r>
    <x v="1"/>
    <d v="2020-02-03T00:00:00"/>
    <x v="5"/>
    <n v="108226"/>
  </r>
  <r>
    <x v="1"/>
    <d v="2020-02-10T00:00:00"/>
    <x v="6"/>
    <n v="107635"/>
  </r>
  <r>
    <x v="1"/>
    <d v="2020-02-17T00:00:00"/>
    <x v="7"/>
    <n v="106101"/>
  </r>
  <r>
    <x v="1"/>
    <d v="2020-02-24T00:00:00"/>
    <x v="8"/>
    <n v="111638"/>
  </r>
  <r>
    <x v="1"/>
    <d v="2020-03-02T00:00:00"/>
    <x v="9"/>
    <n v="106349"/>
  </r>
  <r>
    <x v="1"/>
    <d v="2020-03-09T00:00:00"/>
    <x v="10"/>
    <n v="104167"/>
  </r>
  <r>
    <x v="1"/>
    <d v="2020-03-16T00:00:00"/>
    <x v="11"/>
    <n v="74510"/>
  </r>
  <r>
    <x v="1"/>
    <d v="2020-03-23T00:00:00"/>
    <x v="12"/>
    <n v="54469"/>
  </r>
  <r>
    <x v="1"/>
    <d v="2020-03-30T00:00:00"/>
    <x v="13"/>
    <n v="54841"/>
  </r>
  <r>
    <x v="1"/>
    <d v="2020-04-06T00:00:00"/>
    <x v="14"/>
    <n v="47126"/>
  </r>
  <r>
    <x v="1"/>
    <d v="2020-04-13T00:00:00"/>
    <x v="15"/>
    <n v="53865"/>
  </r>
  <r>
    <x v="1"/>
    <d v="2020-04-20T00:00:00"/>
    <x v="16"/>
    <n v="57328"/>
  </r>
  <r>
    <x v="1"/>
    <d v="2020-04-27T00:00:00"/>
    <x v="17"/>
    <n v="35374"/>
  </r>
  <r>
    <x v="2"/>
    <d v="2019-12-30T00:00:00"/>
    <x v="0"/>
    <n v="45223"/>
  </r>
  <r>
    <x v="2"/>
    <d v="2020-01-06T00:00:00"/>
    <x v="1"/>
    <n v="64867"/>
  </r>
  <r>
    <x v="2"/>
    <d v="2020-01-13T00:00:00"/>
    <x v="2"/>
    <n v="60438"/>
  </r>
  <r>
    <x v="2"/>
    <d v="2020-01-20T00:00:00"/>
    <x v="3"/>
    <n v="59669"/>
  </r>
  <r>
    <x v="2"/>
    <d v="2020-01-27T00:00:00"/>
    <x v="4"/>
    <n v="58903"/>
  </r>
  <r>
    <x v="2"/>
    <d v="2020-02-03T00:00:00"/>
    <x v="5"/>
    <n v="52893"/>
  </r>
  <r>
    <x v="2"/>
    <d v="2020-02-10T00:00:00"/>
    <x v="6"/>
    <n v="52919"/>
  </r>
  <r>
    <x v="2"/>
    <d v="2020-02-17T00:00:00"/>
    <x v="7"/>
    <n v="52508"/>
  </r>
  <r>
    <x v="2"/>
    <d v="2020-02-24T00:00:00"/>
    <x v="8"/>
    <n v="55379"/>
  </r>
  <r>
    <x v="2"/>
    <d v="2020-03-02T00:00:00"/>
    <x v="9"/>
    <n v="59389"/>
  </r>
  <r>
    <x v="2"/>
    <d v="2020-03-09T00:00:00"/>
    <x v="10"/>
    <n v="52653"/>
  </r>
  <r>
    <x v="2"/>
    <d v="2020-03-16T00:00:00"/>
    <x v="11"/>
    <n v="36008"/>
  </r>
  <r>
    <x v="2"/>
    <d v="2020-03-23T00:00:00"/>
    <x v="12"/>
    <n v="25589"/>
  </r>
  <r>
    <x v="2"/>
    <d v="2020-03-30T00:00:00"/>
    <x v="13"/>
    <n v="26915"/>
  </r>
  <r>
    <x v="2"/>
    <d v="2020-04-06T00:00:00"/>
    <x v="14"/>
    <n v="22614"/>
  </r>
  <r>
    <x v="2"/>
    <d v="2020-04-13T00:00:00"/>
    <x v="15"/>
    <n v="25876"/>
  </r>
  <r>
    <x v="2"/>
    <d v="2020-04-20T00:00:00"/>
    <x v="16"/>
    <n v="27311"/>
  </r>
  <r>
    <x v="2"/>
    <d v="2020-04-27T00:00:00"/>
    <x v="17"/>
    <n v="16599"/>
  </r>
  <r>
    <x v="3"/>
    <d v="2019-12-30T00:00:00"/>
    <x v="0"/>
    <n v="10386"/>
  </r>
  <r>
    <x v="3"/>
    <d v="2020-01-06T00:00:00"/>
    <x v="1"/>
    <n v="12489"/>
  </r>
  <r>
    <x v="3"/>
    <d v="2020-01-13T00:00:00"/>
    <x v="2"/>
    <n v="11264"/>
  </r>
  <r>
    <x v="3"/>
    <d v="2020-01-20T00:00:00"/>
    <x v="3"/>
    <n v="10938"/>
  </r>
  <r>
    <x v="3"/>
    <d v="2020-01-27T00:00:00"/>
    <x v="4"/>
    <n v="10243"/>
  </r>
  <r>
    <x v="3"/>
    <d v="2020-02-03T00:00:00"/>
    <x v="5"/>
    <n v="10244"/>
  </r>
  <r>
    <x v="3"/>
    <d v="2020-02-10T00:00:00"/>
    <x v="6"/>
    <n v="11349"/>
  </r>
  <r>
    <x v="3"/>
    <d v="2020-02-17T00:00:00"/>
    <x v="7"/>
    <n v="10546"/>
  </r>
  <r>
    <x v="3"/>
    <d v="2020-02-24T00:00:00"/>
    <x v="8"/>
    <n v="10260"/>
  </r>
  <r>
    <x v="3"/>
    <d v="2020-03-02T00:00:00"/>
    <x v="9"/>
    <n v="9872"/>
  </r>
  <r>
    <x v="3"/>
    <d v="2020-03-09T00:00:00"/>
    <x v="10"/>
    <n v="8069"/>
  </r>
  <r>
    <x v="3"/>
    <d v="2020-03-16T00:00:00"/>
    <x v="11"/>
    <n v="2044"/>
  </r>
  <r>
    <x v="3"/>
    <d v="2020-03-23T00:00:00"/>
    <x v="12"/>
    <n v="1307"/>
  </r>
  <r>
    <x v="3"/>
    <d v="2020-03-30T00:00:00"/>
    <x v="13"/>
    <n v="1216"/>
  </r>
  <r>
    <x v="3"/>
    <d v="2020-04-06T00:00:00"/>
    <x v="14"/>
    <n v="1175"/>
  </r>
  <r>
    <x v="3"/>
    <d v="2020-04-13T00:00:00"/>
    <x v="15"/>
    <n v="1140"/>
  </r>
  <r>
    <x v="3"/>
    <d v="2020-04-20T00:00:00"/>
    <x v="16"/>
    <n v="1218"/>
  </r>
  <r>
    <x v="3"/>
    <d v="2020-04-27T00:00:00"/>
    <x v="17"/>
    <n v="739"/>
  </r>
  <r>
    <x v="4"/>
    <d v="2019-12-30T00:00:00"/>
    <x v="0"/>
    <n v="9145"/>
  </r>
  <r>
    <x v="4"/>
    <d v="2020-01-06T00:00:00"/>
    <x v="1"/>
    <n v="14187"/>
  </r>
  <r>
    <x v="4"/>
    <d v="2020-01-13T00:00:00"/>
    <x v="2"/>
    <n v="15126"/>
  </r>
  <r>
    <x v="4"/>
    <d v="2020-01-20T00:00:00"/>
    <x v="3"/>
    <n v="11680"/>
  </r>
  <r>
    <x v="4"/>
    <d v="2020-01-27T00:00:00"/>
    <x v="4"/>
    <n v="10608"/>
  </r>
  <r>
    <x v="4"/>
    <d v="2020-02-03T00:00:00"/>
    <x v="5"/>
    <n v="10223"/>
  </r>
  <r>
    <x v="4"/>
    <d v="2020-02-10T00:00:00"/>
    <x v="6"/>
    <n v="10789"/>
  </r>
  <r>
    <x v="4"/>
    <d v="2020-02-17T00:00:00"/>
    <x v="7"/>
    <n v="10423"/>
  </r>
  <r>
    <x v="4"/>
    <d v="2020-02-24T00:00:00"/>
    <x v="8"/>
    <n v="9703"/>
  </r>
  <r>
    <x v="4"/>
    <d v="2020-03-02T00:00:00"/>
    <x v="9"/>
    <n v="10471"/>
  </r>
  <r>
    <x v="4"/>
    <d v="2020-03-09T00:00:00"/>
    <x v="10"/>
    <n v="8029"/>
  </r>
  <r>
    <x v="4"/>
    <d v="2020-03-16T00:00:00"/>
    <x v="11"/>
    <n v="2655"/>
  </r>
  <r>
    <x v="4"/>
    <d v="2020-03-23T00:00:00"/>
    <x v="12"/>
    <n v="1397"/>
  </r>
  <r>
    <x v="4"/>
    <d v="2020-03-30T00:00:00"/>
    <x v="13"/>
    <n v="1338"/>
  </r>
  <r>
    <x v="4"/>
    <d v="2020-04-06T00:00:00"/>
    <x v="14"/>
    <n v="1185"/>
  </r>
  <r>
    <x v="4"/>
    <d v="2020-04-13T00:00:00"/>
    <x v="15"/>
    <n v="1120"/>
  </r>
  <r>
    <x v="4"/>
    <d v="2020-04-20T00:00:00"/>
    <x v="16"/>
    <n v="1302"/>
  </r>
  <r>
    <x v="4"/>
    <d v="2020-04-27T00:00:00"/>
    <x v="17"/>
    <n v="794"/>
  </r>
  <r>
    <x v="5"/>
    <d v="2019-12-30T00:00:00"/>
    <x v="0"/>
    <n v="159"/>
  </r>
  <r>
    <x v="5"/>
    <d v="2020-01-06T00:00:00"/>
    <x v="1"/>
    <n v="219"/>
  </r>
  <r>
    <x v="5"/>
    <d v="2020-01-13T00:00:00"/>
    <x v="2"/>
    <n v="186"/>
  </r>
  <r>
    <x v="5"/>
    <d v="2020-01-20T00:00:00"/>
    <x v="3"/>
    <n v="193"/>
  </r>
  <r>
    <x v="5"/>
    <d v="2020-01-27T00:00:00"/>
    <x v="4"/>
    <n v="165"/>
  </r>
  <r>
    <x v="5"/>
    <d v="2020-02-03T00:00:00"/>
    <x v="5"/>
    <n v="165"/>
  </r>
  <r>
    <x v="5"/>
    <d v="2020-02-10T00:00:00"/>
    <x v="6"/>
    <n v="179"/>
  </r>
  <r>
    <x v="5"/>
    <d v="2020-02-17T00:00:00"/>
    <x v="7"/>
    <n v="162"/>
  </r>
  <r>
    <x v="5"/>
    <d v="2020-02-24T00:00:00"/>
    <x v="8"/>
    <n v="169"/>
  </r>
  <r>
    <x v="5"/>
    <d v="2020-03-02T00:00:00"/>
    <x v="9"/>
    <n v="162"/>
  </r>
  <r>
    <x v="5"/>
    <d v="2020-03-09T00:00:00"/>
    <x v="10"/>
    <n v="128"/>
  </r>
  <r>
    <x v="5"/>
    <d v="2020-03-16T00:00:00"/>
    <x v="11"/>
    <n v="61"/>
  </r>
  <r>
    <x v="5"/>
    <d v="2020-03-23T00:00:00"/>
    <x v="12"/>
    <n v="28"/>
  </r>
  <r>
    <x v="5"/>
    <d v="2020-03-30T00:00:00"/>
    <x v="13"/>
    <n v="35"/>
  </r>
  <r>
    <x v="5"/>
    <d v="2020-04-06T00:00:00"/>
    <x v="14"/>
    <n v="25"/>
  </r>
  <r>
    <x v="5"/>
    <d v="2020-04-13T00:00:00"/>
    <x v="15"/>
    <n v="43"/>
  </r>
  <r>
    <x v="5"/>
    <d v="2020-04-20T00:00:00"/>
    <x v="16"/>
    <n v="41"/>
  </r>
  <r>
    <x v="5"/>
    <d v="2020-04-27T00:00:00"/>
    <x v="17"/>
    <n v="19"/>
  </r>
  <r>
    <x v="6"/>
    <d v="2019-12-30T00:00:00"/>
    <x v="0"/>
    <n v="98639"/>
  </r>
  <r>
    <x v="6"/>
    <d v="2020-01-06T00:00:00"/>
    <x v="1"/>
    <n v="145277"/>
  </r>
  <r>
    <x v="6"/>
    <d v="2020-01-13T00:00:00"/>
    <x v="2"/>
    <n v="133421"/>
  </r>
  <r>
    <x v="6"/>
    <d v="2020-01-20T00:00:00"/>
    <x v="3"/>
    <n v="133421"/>
  </r>
  <r>
    <x v="6"/>
    <d v="2020-01-27T00:00:00"/>
    <x v="4"/>
    <n v="130879"/>
  </r>
  <r>
    <x v="6"/>
    <d v="2020-02-03T00:00:00"/>
    <x v="5"/>
    <n v="116420"/>
  </r>
  <r>
    <x v="6"/>
    <d v="2020-02-10T00:00:00"/>
    <x v="6"/>
    <n v="113362"/>
  </r>
  <r>
    <x v="6"/>
    <d v="2020-02-17T00:00:00"/>
    <x v="7"/>
    <n v="114201"/>
  </r>
  <r>
    <x v="6"/>
    <d v="2020-02-24T00:00:00"/>
    <x v="8"/>
    <n v="118652"/>
  </r>
  <r>
    <x v="6"/>
    <d v="2020-03-02T00:00:00"/>
    <x v="9"/>
    <n v="123411"/>
  </r>
  <r>
    <x v="6"/>
    <d v="2020-03-09T00:00:00"/>
    <x v="10"/>
    <n v="115674"/>
  </r>
  <r>
    <x v="6"/>
    <d v="2020-03-16T00:00:00"/>
    <x v="11"/>
    <n v="76755"/>
  </r>
  <r>
    <x v="6"/>
    <d v="2020-03-23T00:00:00"/>
    <x v="12"/>
    <n v="50221"/>
  </r>
  <r>
    <x v="6"/>
    <d v="2020-03-30T00:00:00"/>
    <x v="13"/>
    <n v="53861"/>
  </r>
  <r>
    <x v="6"/>
    <d v="2020-04-06T00:00:00"/>
    <x v="14"/>
    <n v="46907"/>
  </r>
  <r>
    <x v="6"/>
    <d v="2020-04-13T00:00:00"/>
    <x v="15"/>
    <n v="52387"/>
  </r>
  <r>
    <x v="6"/>
    <d v="2020-04-20T00:00:00"/>
    <x v="16"/>
    <n v="98370"/>
  </r>
  <r>
    <x v="6"/>
    <d v="2020-04-27T00:00:00"/>
    <x v="17"/>
    <n v="372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45837"/>
    <n v="31.636606708799199"/>
  </r>
  <r>
    <x v="1"/>
    <x v="0"/>
    <n v="61082"/>
    <n v="30.722135543637201"/>
  </r>
  <r>
    <x v="2"/>
    <x v="0"/>
    <n v="111591"/>
    <n v="31.163774912074999"/>
  </r>
  <r>
    <x v="0"/>
    <x v="1"/>
    <n v="421492"/>
    <n v="16.735813057276701"/>
  </r>
  <r>
    <x v="1"/>
    <x v="1"/>
    <n v="607977"/>
    <n v="17.795171433390301"/>
  </r>
  <r>
    <x v="2"/>
    <x v="1"/>
    <n v="593120"/>
    <n v="17.8188866469498"/>
  </r>
  <r>
    <x v="0"/>
    <x v="2"/>
    <n v="236063"/>
    <n v="17.841597796143201"/>
  </r>
  <r>
    <x v="1"/>
    <x v="2"/>
    <n v="313402"/>
    <n v="15.847644394639699"/>
  </r>
  <r>
    <x v="2"/>
    <x v="2"/>
    <n v="253732"/>
    <n v="17.192896078776101"/>
  </r>
  <r>
    <x v="0"/>
    <x v="3"/>
    <n v="38000"/>
    <n v="34.385050117295798"/>
  </r>
  <r>
    <x v="1"/>
    <x v="3"/>
    <n v="58222"/>
    <n v="30.743308468626498"/>
  </r>
  <r>
    <x v="2"/>
    <x v="3"/>
    <n v="28936"/>
    <n v="23.540718562874201"/>
  </r>
  <r>
    <x v="0"/>
    <x v="4"/>
    <n v="68543"/>
    <n v="39.885755955274597"/>
  </r>
  <r>
    <x v="1"/>
    <x v="4"/>
    <n v="30913"/>
    <n v="46.947945628668499"/>
  </r>
  <r>
    <x v="2"/>
    <x v="4"/>
    <n v="30867"/>
    <n v="34.691706730769198"/>
  </r>
  <r>
    <x v="1"/>
    <x v="5"/>
    <n v="329"/>
    <n v="49.404958677685897"/>
  </r>
  <r>
    <x v="2"/>
    <x v="5"/>
    <n v="1810"/>
    <n v="50.681818181818102"/>
  </r>
  <r>
    <x v="0"/>
    <x v="6"/>
    <n v="466615"/>
    <n v="17.659700920245399"/>
  </r>
  <r>
    <x v="1"/>
    <x v="6"/>
    <n v="705025"/>
    <n v="16.647343912383"/>
  </r>
  <r>
    <x v="2"/>
    <x v="6"/>
    <n v="593020"/>
    <n v="16.37882973380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1">
  <r>
    <x v="0"/>
    <x v="0"/>
    <s v="Urban"/>
    <n v="659"/>
    <x v="0"/>
    <n v="1209"/>
  </r>
  <r>
    <x v="1"/>
    <x v="1"/>
    <s v="Urban"/>
    <n v="99503"/>
    <x v="1"/>
    <n v="841"/>
  </r>
  <r>
    <x v="1"/>
    <x v="1"/>
    <s v="Urban"/>
    <n v="99515"/>
    <x v="0"/>
    <n v="830"/>
  </r>
  <r>
    <x v="1"/>
    <x v="1"/>
    <s v="Urban"/>
    <n v="99501"/>
    <x v="1"/>
    <n v="1333"/>
  </r>
  <r>
    <x v="1"/>
    <x v="2"/>
    <s v="Urban"/>
    <n v="99801"/>
    <x v="0"/>
    <n v="735"/>
  </r>
  <r>
    <x v="1"/>
    <x v="3"/>
    <s v="Urban"/>
    <n v="99701"/>
    <x v="0"/>
    <n v="800"/>
  </r>
  <r>
    <x v="2"/>
    <x v="4"/>
    <s v="Rural"/>
    <n v="35801"/>
    <x v="1"/>
    <n v="2837"/>
  </r>
  <r>
    <x v="2"/>
    <x v="5"/>
    <s v="Rural"/>
    <n v="36608"/>
    <x v="1"/>
    <n v="1393"/>
  </r>
  <r>
    <x v="2"/>
    <x v="5"/>
    <s v="Rural"/>
    <n v="36619"/>
    <x v="1"/>
    <n v="1694"/>
  </r>
  <r>
    <x v="2"/>
    <x v="4"/>
    <s v="Rural"/>
    <n v="35801"/>
    <x v="2"/>
    <n v="2339"/>
  </r>
  <r>
    <x v="2"/>
    <x v="4"/>
    <s v="Rural"/>
    <n v="35758"/>
    <x v="2"/>
    <n v="2450"/>
  </r>
  <r>
    <x v="2"/>
    <x v="6"/>
    <s v="Rural"/>
    <n v="36303"/>
    <x v="0"/>
    <n v="2635"/>
  </r>
  <r>
    <x v="2"/>
    <x v="7"/>
    <s v="Rural"/>
    <n v="35055"/>
    <x v="0"/>
    <n v="4464"/>
  </r>
  <r>
    <x v="2"/>
    <x v="8"/>
    <s v="Rural"/>
    <n v="35405"/>
    <x v="1"/>
    <n v="3861"/>
  </r>
  <r>
    <x v="2"/>
    <x v="4"/>
    <s v="Rural"/>
    <n v="35802"/>
    <x v="3"/>
    <n v="2477"/>
  </r>
  <r>
    <x v="2"/>
    <x v="4"/>
    <s v="Rural"/>
    <n v="35802"/>
    <x v="2"/>
    <n v="1384"/>
  </r>
  <r>
    <x v="2"/>
    <x v="9"/>
    <s v="Rural"/>
    <n v="36203"/>
    <x v="0"/>
    <n v="3211"/>
  </r>
  <r>
    <x v="2"/>
    <x v="4"/>
    <s v="Rural"/>
    <n v="35806"/>
    <x v="1"/>
    <n v="5765"/>
  </r>
  <r>
    <x v="2"/>
    <x v="8"/>
    <s v="Rural"/>
    <n v="35476"/>
    <x v="1"/>
    <n v="2598"/>
  </r>
  <r>
    <x v="2"/>
    <x v="10"/>
    <s v="Rural"/>
    <n v="36066"/>
    <x v="1"/>
    <n v="1733"/>
  </r>
  <r>
    <x v="2"/>
    <x v="6"/>
    <s v="Rural"/>
    <n v="36301"/>
    <x v="1"/>
    <n v="2047"/>
  </r>
  <r>
    <x v="2"/>
    <x v="5"/>
    <s v="Rural"/>
    <n v="36604"/>
    <x v="1"/>
    <n v="1415"/>
  </r>
  <r>
    <x v="2"/>
    <x v="5"/>
    <s v="Rural"/>
    <n v="36608"/>
    <x v="0"/>
    <n v="1384"/>
  </r>
  <r>
    <x v="2"/>
    <x v="5"/>
    <s v="Rural"/>
    <n v="36618"/>
    <x v="3"/>
    <n v="635"/>
  </r>
  <r>
    <x v="2"/>
    <x v="11"/>
    <s v="Suburban"/>
    <n v="36526"/>
    <x v="2"/>
    <n v="172"/>
  </r>
  <r>
    <x v="2"/>
    <x v="11"/>
    <s v="Suburban"/>
    <n v="36526"/>
    <x v="1"/>
    <n v="1906"/>
  </r>
  <r>
    <x v="2"/>
    <x v="12"/>
    <s v="Suburban"/>
    <n v="35601"/>
    <x v="1"/>
    <n v="3194"/>
  </r>
  <r>
    <x v="2"/>
    <x v="12"/>
    <s v="Suburban"/>
    <n v="35601"/>
    <x v="2"/>
    <n v="1465"/>
  </r>
  <r>
    <x v="2"/>
    <x v="13"/>
    <s v="Suburban"/>
    <n v="35630"/>
    <x v="1"/>
    <n v="2220"/>
  </r>
  <r>
    <x v="2"/>
    <x v="11"/>
    <s v="Suburban"/>
    <n v="36535"/>
    <x v="1"/>
    <n v="2814"/>
  </r>
  <r>
    <x v="2"/>
    <x v="14"/>
    <s v="Suburban"/>
    <n v="35976"/>
    <x v="2"/>
    <n v="1741"/>
  </r>
  <r>
    <x v="2"/>
    <x v="15"/>
    <s v="Suburban"/>
    <n v="36330"/>
    <x v="1"/>
    <n v="3808"/>
  </r>
  <r>
    <x v="2"/>
    <x v="16"/>
    <s v="Urban"/>
    <n v="36117"/>
    <x v="3"/>
    <n v="1193"/>
  </r>
  <r>
    <x v="2"/>
    <x v="17"/>
    <s v="Urban"/>
    <n v="35210"/>
    <x v="1"/>
    <n v="887"/>
  </r>
  <r>
    <x v="2"/>
    <x v="17"/>
    <s v="Urban"/>
    <n v="35209"/>
    <x v="1"/>
    <n v="1689"/>
  </r>
  <r>
    <x v="2"/>
    <x v="18"/>
    <s v="Urban"/>
    <n v="36801"/>
    <x v="1"/>
    <n v="3008"/>
  </r>
  <r>
    <x v="2"/>
    <x v="19"/>
    <s v="Urban"/>
    <n v="35242"/>
    <x v="2"/>
    <n v="2982"/>
  </r>
  <r>
    <x v="2"/>
    <x v="16"/>
    <s v="Urban"/>
    <n v="36107"/>
    <x v="1"/>
    <n v="1178"/>
  </r>
  <r>
    <x v="2"/>
    <x v="17"/>
    <s v="Urban"/>
    <n v="35243"/>
    <x v="4"/>
    <n v="4603"/>
  </r>
  <r>
    <x v="2"/>
    <x v="19"/>
    <s v="Urban"/>
    <n v="35242"/>
    <x v="0"/>
    <n v="1680"/>
  </r>
  <r>
    <x v="2"/>
    <x v="16"/>
    <s v="Urban"/>
    <n v="36116"/>
    <x v="1"/>
    <n v="3192"/>
  </r>
  <r>
    <x v="2"/>
    <x v="17"/>
    <s v="Urban"/>
    <n v="35244"/>
    <x v="1"/>
    <n v="5304"/>
  </r>
  <r>
    <x v="2"/>
    <x v="17"/>
    <s v="Urban"/>
    <n v="35235"/>
    <x v="2"/>
    <n v="4060"/>
  </r>
  <r>
    <x v="2"/>
    <x v="17"/>
    <s v="Urban"/>
    <n v="35235"/>
    <x v="1"/>
    <n v="620"/>
  </r>
  <r>
    <x v="2"/>
    <x v="17"/>
    <s v="Urban"/>
    <n v="35216"/>
    <x v="3"/>
    <n v="801"/>
  </r>
  <r>
    <x v="2"/>
    <x v="19"/>
    <s v="Urban"/>
    <n v="35124"/>
    <x v="2"/>
    <n v="62"/>
  </r>
  <r>
    <x v="2"/>
    <x v="20"/>
    <s v="Urban"/>
    <n v="35903"/>
    <x v="0"/>
    <n v="1856"/>
  </r>
  <r>
    <x v="2"/>
    <x v="21"/>
    <s v="Urban"/>
    <n v="35611"/>
    <x v="2"/>
    <n v="2411"/>
  </r>
  <r>
    <x v="3"/>
    <x v="22"/>
    <s v="Rural"/>
    <n v="72015"/>
    <x v="1"/>
    <n v="1592"/>
  </r>
  <r>
    <x v="3"/>
    <x v="23"/>
    <s v="Rural"/>
    <n v="72762"/>
    <x v="1"/>
    <n v="1546"/>
  </r>
  <r>
    <x v="3"/>
    <x v="23"/>
    <s v="Rural"/>
    <n v="72703"/>
    <x v="1"/>
    <n v="2035"/>
  </r>
  <r>
    <x v="3"/>
    <x v="24"/>
    <s v="Rural"/>
    <n v="72802"/>
    <x v="2"/>
    <n v="1907"/>
  </r>
  <r>
    <x v="3"/>
    <x v="17"/>
    <s v="Rural"/>
    <n v="71601"/>
    <x v="2"/>
    <n v="1531"/>
  </r>
  <r>
    <x v="3"/>
    <x v="25"/>
    <s v="Rural"/>
    <n v="72756"/>
    <x v="1"/>
    <n v="1027"/>
  </r>
  <r>
    <x v="3"/>
    <x v="25"/>
    <s v="Rural"/>
    <n v="72756"/>
    <x v="2"/>
    <n v="2212"/>
  </r>
  <r>
    <x v="3"/>
    <x v="26"/>
    <s v="Rural"/>
    <n v="71913"/>
    <x v="1"/>
    <n v="4560"/>
  </r>
  <r>
    <x v="3"/>
    <x v="27"/>
    <s v="Suburban"/>
    <n v="72903"/>
    <x v="1"/>
    <n v="2462"/>
  </r>
  <r>
    <x v="3"/>
    <x v="28"/>
    <s v="Suburban"/>
    <n v="72401"/>
    <x v="0"/>
    <n v="4026"/>
  </r>
  <r>
    <x v="3"/>
    <x v="29"/>
    <s v="Suburban"/>
    <n v="71730"/>
    <x v="1"/>
    <n v="4782"/>
  </r>
  <r>
    <x v="3"/>
    <x v="27"/>
    <s v="Suburban"/>
    <n v="72903"/>
    <x v="3"/>
    <n v="646"/>
  </r>
  <r>
    <x v="3"/>
    <x v="30"/>
    <s v="Urban"/>
    <n v="72211"/>
    <x v="3"/>
    <n v="2011"/>
  </r>
  <r>
    <x v="3"/>
    <x v="30"/>
    <s v="Urban"/>
    <n v="72202"/>
    <x v="1"/>
    <n v="278"/>
  </r>
  <r>
    <x v="3"/>
    <x v="30"/>
    <s v="Urban"/>
    <n v="72116"/>
    <x v="1"/>
    <n v="1921"/>
  </r>
  <r>
    <x v="3"/>
    <x v="31"/>
    <s v="Urban"/>
    <n v="72032"/>
    <x v="2"/>
    <n v="954"/>
  </r>
  <r>
    <x v="3"/>
    <x v="31"/>
    <s v="Urban"/>
    <n v="72032"/>
    <x v="1"/>
    <n v="2314"/>
  </r>
  <r>
    <x v="3"/>
    <x v="30"/>
    <s v="Urban"/>
    <n v="72211"/>
    <x v="1"/>
    <n v="1473"/>
  </r>
  <r>
    <x v="3"/>
    <x v="30"/>
    <s v="Urban"/>
    <n v="72211"/>
    <x v="2"/>
    <n v="2285"/>
  </r>
  <r>
    <x v="4"/>
    <x v="32"/>
    <s v="Rural"/>
    <n v="86403"/>
    <x v="2"/>
    <n v="1418"/>
  </r>
  <r>
    <x v="4"/>
    <x v="33"/>
    <s v="Rural"/>
    <n v="86326"/>
    <x v="0"/>
    <n v="828"/>
  </r>
  <r>
    <x v="4"/>
    <x v="33"/>
    <s v="Rural"/>
    <n v="86301"/>
    <x v="2"/>
    <n v="855"/>
  </r>
  <r>
    <x v="4"/>
    <x v="33"/>
    <s v="Rural"/>
    <n v="86301"/>
    <x v="0"/>
    <n v="1178"/>
  </r>
  <r>
    <x v="4"/>
    <x v="33"/>
    <s v="Rural"/>
    <n v="86336"/>
    <x v="2"/>
    <n v="1220"/>
  </r>
  <r>
    <x v="4"/>
    <x v="33"/>
    <s v="Rural"/>
    <n v="86305"/>
    <x v="3"/>
    <n v="57"/>
  </r>
  <r>
    <x v="4"/>
    <x v="32"/>
    <s v="Rural"/>
    <n v="86409"/>
    <x v="2"/>
    <n v="669"/>
  </r>
  <r>
    <x v="4"/>
    <x v="34"/>
    <s v="Suburban"/>
    <n v="85254"/>
    <x v="5"/>
    <n v="1219"/>
  </r>
  <r>
    <x v="4"/>
    <x v="34"/>
    <s v="Suburban"/>
    <n v="85254"/>
    <x v="4"/>
    <n v="1394"/>
  </r>
  <r>
    <x v="4"/>
    <x v="34"/>
    <s v="Suburban"/>
    <n v="85224"/>
    <x v="0"/>
    <n v="1814"/>
  </r>
  <r>
    <x v="4"/>
    <x v="34"/>
    <s v="Suburban"/>
    <n v="85029"/>
    <x v="2"/>
    <n v="1194"/>
  </r>
  <r>
    <x v="4"/>
    <x v="35"/>
    <s v="Suburban"/>
    <n v="85120"/>
    <x v="0"/>
    <n v="2908"/>
  </r>
  <r>
    <x v="4"/>
    <x v="34"/>
    <s v="Suburban"/>
    <n v="85016"/>
    <x v="4"/>
    <n v="210"/>
  </r>
  <r>
    <x v="4"/>
    <x v="34"/>
    <s v="Suburban"/>
    <n v="85012"/>
    <x v="3"/>
    <n v="286"/>
  </r>
  <r>
    <x v="4"/>
    <x v="34"/>
    <s v="Suburban"/>
    <n v="85044"/>
    <x v="0"/>
    <n v="766"/>
  </r>
  <r>
    <x v="4"/>
    <x v="34"/>
    <s v="Suburban"/>
    <n v="85022"/>
    <x v="3"/>
    <n v="117"/>
  </r>
  <r>
    <x v="4"/>
    <x v="34"/>
    <s v="Suburban"/>
    <n v="85085"/>
    <x v="2"/>
    <n v="1131"/>
  </r>
  <r>
    <x v="4"/>
    <x v="34"/>
    <s v="Suburban"/>
    <n v="85142"/>
    <x v="2"/>
    <n v="2989"/>
  </r>
  <r>
    <x v="4"/>
    <x v="36"/>
    <s v="Suburban"/>
    <n v="86001"/>
    <x v="2"/>
    <n v="17"/>
  </r>
  <r>
    <x v="4"/>
    <x v="34"/>
    <s v="Suburban"/>
    <n v="85308"/>
    <x v="0"/>
    <n v="850"/>
  </r>
  <r>
    <x v="4"/>
    <x v="34"/>
    <s v="Suburban"/>
    <n v="85295"/>
    <x v="0"/>
    <n v="2939"/>
  </r>
  <r>
    <x v="4"/>
    <x v="34"/>
    <s v="Suburban"/>
    <n v="85282"/>
    <x v="0"/>
    <n v="636"/>
  </r>
  <r>
    <x v="4"/>
    <x v="34"/>
    <s v="Suburban"/>
    <n v="85016"/>
    <x v="2"/>
    <n v="3508"/>
  </r>
  <r>
    <x v="4"/>
    <x v="34"/>
    <s v="Suburban"/>
    <n v="85018"/>
    <x v="0"/>
    <n v="482"/>
  </r>
  <r>
    <x v="4"/>
    <x v="34"/>
    <s v="Suburban"/>
    <n v="85032"/>
    <x v="0"/>
    <n v="748"/>
  </r>
  <r>
    <x v="4"/>
    <x v="34"/>
    <s v="Suburban"/>
    <n v="85201"/>
    <x v="0"/>
    <n v="1759"/>
  </r>
  <r>
    <x v="4"/>
    <x v="34"/>
    <s v="Suburban"/>
    <n v="85284"/>
    <x v="2"/>
    <n v="1055"/>
  </r>
  <r>
    <x v="4"/>
    <x v="34"/>
    <s v="Suburban"/>
    <n v="85233"/>
    <x v="2"/>
    <n v="1780"/>
  </r>
  <r>
    <x v="4"/>
    <x v="34"/>
    <s v="Suburban"/>
    <n v="85254"/>
    <x v="0"/>
    <n v="561"/>
  </r>
  <r>
    <x v="4"/>
    <x v="34"/>
    <s v="Suburban"/>
    <n v="85286"/>
    <x v="0"/>
    <n v="1530"/>
  </r>
  <r>
    <x v="4"/>
    <x v="34"/>
    <s v="Suburban"/>
    <n v="85374"/>
    <x v="0"/>
    <n v="1353"/>
  </r>
  <r>
    <x v="4"/>
    <x v="34"/>
    <s v="Suburban"/>
    <n v="85266"/>
    <x v="0"/>
    <n v="697"/>
  </r>
  <r>
    <x v="4"/>
    <x v="34"/>
    <s v="Suburban"/>
    <n v="85260"/>
    <x v="2"/>
    <n v="982"/>
  </r>
  <r>
    <x v="4"/>
    <x v="34"/>
    <s v="Suburban"/>
    <n v="85301"/>
    <x v="2"/>
    <n v="1266"/>
  </r>
  <r>
    <x v="4"/>
    <x v="34"/>
    <s v="Suburban"/>
    <n v="85206"/>
    <x v="0"/>
    <n v="2075"/>
  </r>
  <r>
    <x v="4"/>
    <x v="34"/>
    <s v="Suburban"/>
    <n v="85206"/>
    <x v="3"/>
    <n v="1346"/>
  </r>
  <r>
    <x v="4"/>
    <x v="34"/>
    <s v="Suburban"/>
    <n v="85258"/>
    <x v="0"/>
    <n v="1245"/>
  </r>
  <r>
    <x v="4"/>
    <x v="34"/>
    <s v="Suburban"/>
    <n v="85251"/>
    <x v="0"/>
    <n v="2044"/>
  </r>
  <r>
    <x v="4"/>
    <x v="34"/>
    <s v="Suburban"/>
    <n v="85028"/>
    <x v="2"/>
    <n v="1145"/>
  </r>
  <r>
    <x v="4"/>
    <x v="35"/>
    <s v="Suburban"/>
    <n v="85122"/>
    <x v="0"/>
    <n v="1267"/>
  </r>
  <r>
    <x v="4"/>
    <x v="37"/>
    <s v="Suburban"/>
    <n v="85635"/>
    <x v="2"/>
    <n v="2156"/>
  </r>
  <r>
    <x v="4"/>
    <x v="34"/>
    <s v="Suburban"/>
    <n v="85013"/>
    <x v="2"/>
    <n v="1150"/>
  </r>
  <r>
    <x v="4"/>
    <x v="34"/>
    <s v="Suburban"/>
    <n v="85282"/>
    <x v="2"/>
    <n v="3441"/>
  </r>
  <r>
    <x v="4"/>
    <x v="34"/>
    <s v="Suburban"/>
    <n v="85286"/>
    <x v="2"/>
    <n v="1128"/>
  </r>
  <r>
    <x v="4"/>
    <x v="34"/>
    <s v="Suburban"/>
    <n v="85353"/>
    <x v="3"/>
    <n v="617"/>
  </r>
  <r>
    <x v="4"/>
    <x v="34"/>
    <s v="Suburban"/>
    <n v="85382"/>
    <x v="2"/>
    <n v="1923"/>
  </r>
  <r>
    <x v="4"/>
    <x v="34"/>
    <s v="Suburban"/>
    <n v="85381"/>
    <x v="3"/>
    <n v="988"/>
  </r>
  <r>
    <x v="4"/>
    <x v="34"/>
    <s v="Suburban"/>
    <n v="85022"/>
    <x v="0"/>
    <n v="1466"/>
  </r>
  <r>
    <x v="4"/>
    <x v="34"/>
    <s v="Suburban"/>
    <n v="85383"/>
    <x v="0"/>
    <n v="1004"/>
  </r>
  <r>
    <x v="4"/>
    <x v="34"/>
    <s v="Suburban"/>
    <n v="85392"/>
    <x v="0"/>
    <n v="2049"/>
  </r>
  <r>
    <x v="4"/>
    <x v="34"/>
    <s v="Suburban"/>
    <n v="85395"/>
    <x v="2"/>
    <n v="674"/>
  </r>
  <r>
    <x v="4"/>
    <x v="34"/>
    <s v="Suburban"/>
    <n v="85204"/>
    <x v="0"/>
    <n v="1900"/>
  </r>
  <r>
    <x v="4"/>
    <x v="34"/>
    <s v="Suburban"/>
    <n v="85215"/>
    <x v="2"/>
    <n v="1439"/>
  </r>
  <r>
    <x v="4"/>
    <x v="36"/>
    <s v="Suburban"/>
    <n v="86004"/>
    <x v="0"/>
    <n v="912"/>
  </r>
  <r>
    <x v="4"/>
    <x v="34"/>
    <s v="Suburban"/>
    <n v="85248"/>
    <x v="2"/>
    <n v="893"/>
  </r>
  <r>
    <x v="4"/>
    <x v="34"/>
    <s v="Suburban"/>
    <n v="85251"/>
    <x v="2"/>
    <n v="1066"/>
  </r>
  <r>
    <x v="4"/>
    <x v="34"/>
    <s v="Suburban"/>
    <n v="85305"/>
    <x v="0"/>
    <n v="2063"/>
  </r>
  <r>
    <x v="4"/>
    <x v="38"/>
    <s v="Urban"/>
    <n v="85718"/>
    <x v="5"/>
    <n v="434"/>
  </r>
  <r>
    <x v="4"/>
    <x v="38"/>
    <s v="Urban"/>
    <n v="85741"/>
    <x v="1"/>
    <n v="1557"/>
  </r>
  <r>
    <x v="4"/>
    <x v="38"/>
    <s v="Urban"/>
    <n v="85714"/>
    <x v="0"/>
    <n v="1734"/>
  </r>
  <r>
    <x v="4"/>
    <x v="38"/>
    <s v="Urban"/>
    <n v="85737"/>
    <x v="0"/>
    <n v="614"/>
  </r>
  <r>
    <x v="4"/>
    <x v="38"/>
    <s v="Urban"/>
    <n v="85716"/>
    <x v="1"/>
    <n v="1363"/>
  </r>
  <r>
    <x v="4"/>
    <x v="38"/>
    <s v="Urban"/>
    <n v="85711"/>
    <x v="0"/>
    <n v="886"/>
  </r>
  <r>
    <x v="4"/>
    <x v="38"/>
    <s v="Urban"/>
    <n v="85711"/>
    <x v="3"/>
    <n v="351"/>
  </r>
  <r>
    <x v="4"/>
    <x v="38"/>
    <s v="Urban"/>
    <n v="85705"/>
    <x v="0"/>
    <n v="1011"/>
  </r>
  <r>
    <x v="4"/>
    <x v="39"/>
    <s v="Urban"/>
    <n v="85364"/>
    <x v="2"/>
    <n v="1637"/>
  </r>
  <r>
    <x v="4"/>
    <x v="38"/>
    <s v="Urban"/>
    <n v="85748"/>
    <x v="0"/>
    <n v="949"/>
  </r>
  <r>
    <x v="5"/>
    <x v="40"/>
    <s v="Rural"/>
    <n v="95060"/>
    <x v="0"/>
    <n v="677"/>
  </r>
  <r>
    <x v="5"/>
    <x v="41"/>
    <s v="Rural"/>
    <n v="93907"/>
    <x v="0"/>
    <n v="1366"/>
  </r>
  <r>
    <x v="5"/>
    <x v="42"/>
    <s v="Rural"/>
    <n v="93446"/>
    <x v="2"/>
    <n v="660"/>
  </r>
  <r>
    <x v="5"/>
    <x v="43"/>
    <s v="Rural"/>
    <n v="91730"/>
    <x v="1"/>
    <n v="2359"/>
  </r>
  <r>
    <x v="5"/>
    <x v="43"/>
    <s v="Rural"/>
    <n v="92346"/>
    <x v="2"/>
    <n v="1367"/>
  </r>
  <r>
    <x v="5"/>
    <x v="44"/>
    <s v="Rural"/>
    <n v="95928"/>
    <x v="1"/>
    <n v="1414"/>
  </r>
  <r>
    <x v="5"/>
    <x v="43"/>
    <s v="Rural"/>
    <n v="92392"/>
    <x v="0"/>
    <n v="4372"/>
  </r>
  <r>
    <x v="5"/>
    <x v="45"/>
    <s v="Rural"/>
    <n v="93257"/>
    <x v="0"/>
    <n v="5442"/>
  </r>
  <r>
    <x v="5"/>
    <x v="41"/>
    <s v="Rural"/>
    <n v="93955"/>
    <x v="1"/>
    <n v="950"/>
  </r>
  <r>
    <x v="5"/>
    <x v="41"/>
    <s v="Rural"/>
    <n v="93955"/>
    <x v="2"/>
    <n v="3623"/>
  </r>
  <r>
    <x v="5"/>
    <x v="46"/>
    <s v="Rural"/>
    <n v="95667"/>
    <x v="0"/>
    <n v="3157"/>
  </r>
  <r>
    <x v="5"/>
    <x v="46"/>
    <s v="Rural"/>
    <n v="95762"/>
    <x v="3"/>
    <n v="1853"/>
  </r>
  <r>
    <x v="5"/>
    <x v="47"/>
    <s v="Rural"/>
    <n v="95678"/>
    <x v="2"/>
    <n v="3160"/>
  </r>
  <r>
    <x v="5"/>
    <x v="47"/>
    <s v="Rural"/>
    <n v="95603"/>
    <x v="2"/>
    <n v="981"/>
  </r>
  <r>
    <x v="5"/>
    <x v="47"/>
    <s v="Rural"/>
    <n v="95661"/>
    <x v="1"/>
    <n v="2000"/>
  </r>
  <r>
    <x v="5"/>
    <x v="48"/>
    <s v="Rural"/>
    <n v="95492"/>
    <x v="1"/>
    <n v="1119"/>
  </r>
  <r>
    <x v="5"/>
    <x v="48"/>
    <s v="Rural"/>
    <n v="95476"/>
    <x v="2"/>
    <n v="609"/>
  </r>
  <r>
    <x v="5"/>
    <x v="48"/>
    <s v="Rural"/>
    <n v="95403"/>
    <x v="2"/>
    <n v="1112"/>
  </r>
  <r>
    <x v="5"/>
    <x v="48"/>
    <s v="Rural"/>
    <n v="94954"/>
    <x v="2"/>
    <n v="1117"/>
  </r>
  <r>
    <x v="5"/>
    <x v="42"/>
    <s v="Rural"/>
    <n v="93401"/>
    <x v="2"/>
    <n v="913"/>
  </r>
  <r>
    <x v="5"/>
    <x v="43"/>
    <s v="Rural"/>
    <n v="92408"/>
    <x v="2"/>
    <n v="8715"/>
  </r>
  <r>
    <x v="5"/>
    <x v="42"/>
    <s v="Rural"/>
    <n v="93420"/>
    <x v="0"/>
    <n v="5585"/>
  </r>
  <r>
    <x v="5"/>
    <x v="49"/>
    <s v="Rural"/>
    <n v="92243"/>
    <x v="2"/>
    <n v="792"/>
  </r>
  <r>
    <x v="5"/>
    <x v="43"/>
    <s v="Rural"/>
    <n v="92374"/>
    <x v="1"/>
    <n v="4583"/>
  </r>
  <r>
    <x v="5"/>
    <x v="43"/>
    <s v="Rural"/>
    <n v="92408"/>
    <x v="1"/>
    <n v="3315"/>
  </r>
  <r>
    <x v="5"/>
    <x v="45"/>
    <s v="Rural"/>
    <n v="93277"/>
    <x v="1"/>
    <n v="1878"/>
  </r>
  <r>
    <x v="5"/>
    <x v="43"/>
    <s v="Rural"/>
    <n v="92399"/>
    <x v="2"/>
    <n v="1800"/>
  </r>
  <r>
    <x v="5"/>
    <x v="43"/>
    <s v="Rural"/>
    <n v="92392"/>
    <x v="2"/>
    <n v="536"/>
  </r>
  <r>
    <x v="5"/>
    <x v="45"/>
    <s v="Rural"/>
    <n v="93277"/>
    <x v="2"/>
    <n v="1308"/>
  </r>
  <r>
    <x v="5"/>
    <x v="43"/>
    <s v="Rural"/>
    <n v="92308"/>
    <x v="2"/>
    <n v="7942"/>
  </r>
  <r>
    <x v="5"/>
    <x v="43"/>
    <s v="Rural"/>
    <n v="91784"/>
    <x v="1"/>
    <n v="743"/>
  </r>
  <r>
    <x v="5"/>
    <x v="43"/>
    <s v="Rural"/>
    <n v="91761"/>
    <x v="1"/>
    <n v="1331"/>
  </r>
  <r>
    <x v="5"/>
    <x v="43"/>
    <s v="Rural"/>
    <n v="91739"/>
    <x v="1"/>
    <n v="857"/>
  </r>
  <r>
    <x v="5"/>
    <x v="43"/>
    <s v="Rural"/>
    <n v="91710"/>
    <x v="2"/>
    <n v="1541"/>
  </r>
  <r>
    <x v="5"/>
    <x v="40"/>
    <s v="Rural"/>
    <n v="95062"/>
    <x v="2"/>
    <n v="1499"/>
  </r>
  <r>
    <x v="5"/>
    <x v="42"/>
    <s v="Rural"/>
    <n v="93401"/>
    <x v="5"/>
    <n v="374"/>
  </r>
  <r>
    <x v="5"/>
    <x v="43"/>
    <s v="Rural"/>
    <n v="91764"/>
    <x v="2"/>
    <n v="906"/>
  </r>
  <r>
    <x v="5"/>
    <x v="43"/>
    <s v="Rural"/>
    <n v="91786"/>
    <x v="2"/>
    <n v="1472"/>
  </r>
  <r>
    <x v="5"/>
    <x v="43"/>
    <s v="Rural"/>
    <n v="92336"/>
    <x v="0"/>
    <n v="2072"/>
  </r>
  <r>
    <x v="5"/>
    <x v="40"/>
    <s v="Rural"/>
    <n v="95076"/>
    <x v="2"/>
    <n v="325"/>
  </r>
  <r>
    <x v="5"/>
    <x v="50"/>
    <s v="Rural"/>
    <n v="96002"/>
    <x v="1"/>
    <n v="1369"/>
  </r>
  <r>
    <x v="5"/>
    <x v="44"/>
    <s v="Rural"/>
    <n v="95928"/>
    <x v="2"/>
    <n v="781"/>
  </r>
  <r>
    <x v="5"/>
    <x v="47"/>
    <s v="Rural"/>
    <n v="95678"/>
    <x v="4"/>
    <n v="599"/>
  </r>
  <r>
    <x v="5"/>
    <x v="48"/>
    <s v="Rural"/>
    <n v="95407"/>
    <x v="1"/>
    <n v="1095"/>
  </r>
  <r>
    <x v="5"/>
    <x v="48"/>
    <s v="Rural"/>
    <n v="94928"/>
    <x v="1"/>
    <n v="889"/>
  </r>
  <r>
    <x v="5"/>
    <x v="42"/>
    <s v="Rural"/>
    <n v="93422"/>
    <x v="2"/>
    <n v="992"/>
  </r>
  <r>
    <x v="5"/>
    <x v="51"/>
    <s v="Suburban"/>
    <n v="90631"/>
    <x v="2"/>
    <n v="2022"/>
  </r>
  <r>
    <x v="5"/>
    <x v="51"/>
    <s v="Suburban"/>
    <n v="92675"/>
    <x v="2"/>
    <n v="605"/>
  </r>
  <r>
    <x v="5"/>
    <x v="52"/>
    <s v="Suburban"/>
    <n v="95832"/>
    <x v="2"/>
    <n v="1645"/>
  </r>
  <r>
    <x v="5"/>
    <x v="51"/>
    <s v="Suburban"/>
    <n v="92865"/>
    <x v="2"/>
    <n v="1061"/>
  </r>
  <r>
    <x v="5"/>
    <x v="53"/>
    <s v="Suburban"/>
    <n v="94596"/>
    <x v="3"/>
    <n v="36"/>
  </r>
  <r>
    <x v="5"/>
    <x v="54"/>
    <s v="Suburban"/>
    <n v="95119"/>
    <x v="2"/>
    <n v="286"/>
  </r>
  <r>
    <x v="5"/>
    <x v="54"/>
    <s v="Suburban"/>
    <n v="95121"/>
    <x v="1"/>
    <n v="830"/>
  </r>
  <r>
    <x v="5"/>
    <x v="53"/>
    <s v="Suburban"/>
    <n v="94564"/>
    <x v="2"/>
    <n v="1058"/>
  </r>
  <r>
    <x v="5"/>
    <x v="53"/>
    <s v="Suburban"/>
    <n v="94523"/>
    <x v="3"/>
    <n v="1004"/>
  </r>
  <r>
    <x v="5"/>
    <x v="54"/>
    <s v="Suburban"/>
    <n v="95020"/>
    <x v="2"/>
    <n v="1954"/>
  </r>
  <r>
    <x v="5"/>
    <x v="55"/>
    <s v="Suburban"/>
    <n v="91360"/>
    <x v="1"/>
    <n v="1034"/>
  </r>
  <r>
    <x v="5"/>
    <x v="51"/>
    <s v="Suburban"/>
    <n v="92705"/>
    <x v="2"/>
    <n v="1307"/>
  </r>
  <r>
    <x v="5"/>
    <x v="56"/>
    <s v="Suburban"/>
    <n v="94103"/>
    <x v="5"/>
    <n v="70"/>
  </r>
  <r>
    <x v="5"/>
    <x v="56"/>
    <s v="Suburban"/>
    <n v="94105"/>
    <x v="5"/>
    <n v="186"/>
  </r>
  <r>
    <x v="5"/>
    <x v="56"/>
    <s v="Suburban"/>
    <n v="94109"/>
    <x v="2"/>
    <n v="1271"/>
  </r>
  <r>
    <x v="5"/>
    <x v="56"/>
    <s v="Suburban"/>
    <n v="94115"/>
    <x v="4"/>
    <n v="249"/>
  </r>
  <r>
    <x v="5"/>
    <x v="56"/>
    <s v="Suburban"/>
    <n v="94118"/>
    <x v="1"/>
    <n v="171"/>
  </r>
  <r>
    <x v="5"/>
    <x v="57"/>
    <s v="Suburban"/>
    <n v="95945"/>
    <x v="2"/>
    <n v="2132"/>
  </r>
  <r>
    <x v="5"/>
    <x v="54"/>
    <s v="Suburban"/>
    <n v="95128"/>
    <x v="4"/>
    <n v="843"/>
  </r>
  <r>
    <x v="5"/>
    <x v="52"/>
    <s v="Suburban"/>
    <n v="95823"/>
    <x v="1"/>
    <n v="1021"/>
  </r>
  <r>
    <x v="5"/>
    <x v="54"/>
    <s v="Suburban"/>
    <n v="94301"/>
    <x v="4"/>
    <n v="534"/>
  </r>
  <r>
    <x v="5"/>
    <x v="53"/>
    <s v="Suburban"/>
    <n v="94531"/>
    <x v="1"/>
    <n v="1335"/>
  </r>
  <r>
    <x v="5"/>
    <x v="53"/>
    <s v="Suburban"/>
    <n v="94596"/>
    <x v="5"/>
    <n v="1732"/>
  </r>
  <r>
    <x v="5"/>
    <x v="54"/>
    <s v="Suburban"/>
    <n v="95051"/>
    <x v="3"/>
    <n v="520"/>
  </r>
  <r>
    <x v="5"/>
    <x v="54"/>
    <s v="Suburban"/>
    <n v="95110"/>
    <x v="1"/>
    <n v="1188"/>
  </r>
  <r>
    <x v="5"/>
    <x v="54"/>
    <s v="Suburban"/>
    <n v="95110"/>
    <x v="2"/>
    <n v="504"/>
  </r>
  <r>
    <x v="5"/>
    <x v="52"/>
    <s v="Suburban"/>
    <n v="95742"/>
    <x v="2"/>
    <n v="4268"/>
  </r>
  <r>
    <x v="5"/>
    <x v="52"/>
    <s v="Suburban"/>
    <n v="95834"/>
    <x v="2"/>
    <n v="1325"/>
  </r>
  <r>
    <x v="5"/>
    <x v="51"/>
    <s v="Suburban"/>
    <n v="90630"/>
    <x v="2"/>
    <n v="1799"/>
  </r>
  <r>
    <x v="5"/>
    <x v="51"/>
    <s v="Suburban"/>
    <n v="92801"/>
    <x v="2"/>
    <n v="1960"/>
  </r>
  <r>
    <x v="5"/>
    <x v="56"/>
    <s v="Suburban"/>
    <n v="94123"/>
    <x v="5"/>
    <n v="9"/>
  </r>
  <r>
    <x v="5"/>
    <x v="51"/>
    <s v="Suburban"/>
    <n v="92887"/>
    <x v="2"/>
    <n v="6489"/>
  </r>
  <r>
    <x v="5"/>
    <x v="52"/>
    <s v="Suburban"/>
    <n v="95670"/>
    <x v="3"/>
    <n v="306"/>
  </r>
  <r>
    <x v="5"/>
    <x v="52"/>
    <s v="Suburban"/>
    <n v="95630"/>
    <x v="2"/>
    <n v="1512"/>
  </r>
  <r>
    <x v="5"/>
    <x v="52"/>
    <s v="Suburban"/>
    <n v="95630"/>
    <x v="1"/>
    <n v="2282"/>
  </r>
  <r>
    <x v="5"/>
    <x v="54"/>
    <s v="Suburban"/>
    <n v="95035"/>
    <x v="2"/>
    <n v="2496"/>
  </r>
  <r>
    <x v="5"/>
    <x v="54"/>
    <s v="Suburban"/>
    <n v="95032"/>
    <x v="1"/>
    <n v="1198"/>
  </r>
  <r>
    <x v="5"/>
    <x v="54"/>
    <s v="Suburban"/>
    <n v="95014"/>
    <x v="2"/>
    <n v="989"/>
  </r>
  <r>
    <x v="5"/>
    <x v="53"/>
    <s v="Suburban"/>
    <n v="94583"/>
    <x v="2"/>
    <n v="1205"/>
  </r>
  <r>
    <x v="5"/>
    <x v="53"/>
    <s v="Suburban"/>
    <n v="94583"/>
    <x v="1"/>
    <n v="995"/>
  </r>
  <r>
    <x v="5"/>
    <x v="53"/>
    <s v="Suburban"/>
    <n v="94549"/>
    <x v="5"/>
    <n v="2462"/>
  </r>
  <r>
    <x v="5"/>
    <x v="53"/>
    <s v="Suburban"/>
    <n v="94526"/>
    <x v="5"/>
    <n v="128"/>
  </r>
  <r>
    <x v="5"/>
    <x v="53"/>
    <s v="Suburban"/>
    <n v="94523"/>
    <x v="2"/>
    <n v="1388"/>
  </r>
  <r>
    <x v="5"/>
    <x v="54"/>
    <s v="Suburban"/>
    <n v="94040"/>
    <x v="1"/>
    <n v="1163"/>
  </r>
  <r>
    <x v="5"/>
    <x v="58"/>
    <s v="Suburban"/>
    <n v="93230"/>
    <x v="2"/>
    <n v="1515"/>
  </r>
  <r>
    <x v="5"/>
    <x v="59"/>
    <s v="Suburban"/>
    <n v="94534"/>
    <x v="2"/>
    <n v="1307"/>
  </r>
  <r>
    <x v="5"/>
    <x v="59"/>
    <s v="Suburban"/>
    <n v="94591"/>
    <x v="0"/>
    <n v="776"/>
  </r>
  <r>
    <x v="5"/>
    <x v="56"/>
    <s v="Suburban"/>
    <n v="94118"/>
    <x v="5"/>
    <n v="714"/>
  </r>
  <r>
    <x v="5"/>
    <x v="56"/>
    <s v="Suburban"/>
    <n v="94104"/>
    <x v="5"/>
    <n v="390"/>
  </r>
  <r>
    <x v="5"/>
    <x v="56"/>
    <s v="Suburban"/>
    <n v="94103"/>
    <x v="1"/>
    <n v="1664"/>
  </r>
  <r>
    <x v="5"/>
    <x v="55"/>
    <s v="Suburban"/>
    <n v="93065"/>
    <x v="2"/>
    <n v="494"/>
  </r>
  <r>
    <x v="5"/>
    <x v="55"/>
    <s v="Suburban"/>
    <n v="93065"/>
    <x v="1"/>
    <n v="1340"/>
  </r>
  <r>
    <x v="5"/>
    <x v="55"/>
    <s v="Suburban"/>
    <n v="93003"/>
    <x v="1"/>
    <n v="1122"/>
  </r>
  <r>
    <x v="5"/>
    <x v="60"/>
    <s v="Suburban"/>
    <n v="95242"/>
    <x v="2"/>
    <n v="1758"/>
  </r>
  <r>
    <x v="5"/>
    <x v="60"/>
    <s v="Suburban"/>
    <n v="95304"/>
    <x v="2"/>
    <n v="2053"/>
  </r>
  <r>
    <x v="5"/>
    <x v="51"/>
    <s v="Suburban"/>
    <n v="90720"/>
    <x v="1"/>
    <n v="715"/>
  </r>
  <r>
    <x v="5"/>
    <x v="51"/>
    <s v="Suburban"/>
    <n v="92602"/>
    <x v="0"/>
    <n v="1007"/>
  </r>
  <r>
    <x v="5"/>
    <x v="51"/>
    <s v="Suburban"/>
    <n v="92630"/>
    <x v="2"/>
    <n v="1683"/>
  </r>
  <r>
    <x v="5"/>
    <x v="55"/>
    <s v="Suburban"/>
    <n v="91360"/>
    <x v="4"/>
    <n v="815"/>
  </r>
  <r>
    <x v="5"/>
    <x v="51"/>
    <s v="Suburban"/>
    <n v="92660"/>
    <x v="2"/>
    <n v="1059"/>
  </r>
  <r>
    <x v="5"/>
    <x v="55"/>
    <s v="Suburban"/>
    <n v="93010"/>
    <x v="2"/>
    <n v="1346"/>
  </r>
  <r>
    <x v="5"/>
    <x v="56"/>
    <s v="Suburban"/>
    <n v="94103"/>
    <x v="0"/>
    <n v="1718"/>
  </r>
  <r>
    <x v="5"/>
    <x v="51"/>
    <s v="Suburban"/>
    <n v="92673"/>
    <x v="1"/>
    <n v="1851"/>
  </r>
  <r>
    <x v="5"/>
    <x v="51"/>
    <s v="Suburban"/>
    <n v="90740"/>
    <x v="2"/>
    <n v="2673"/>
  </r>
  <r>
    <x v="5"/>
    <x v="51"/>
    <s v="Suburban"/>
    <n v="92618"/>
    <x v="1"/>
    <n v="787"/>
  </r>
  <r>
    <x v="5"/>
    <x v="51"/>
    <s v="Suburban"/>
    <n v="92627"/>
    <x v="2"/>
    <n v="2364"/>
  </r>
  <r>
    <x v="5"/>
    <x v="51"/>
    <s v="Suburban"/>
    <n v="92647"/>
    <x v="2"/>
    <n v="1296"/>
  </r>
  <r>
    <x v="5"/>
    <x v="51"/>
    <s v="Suburban"/>
    <n v="92648"/>
    <x v="2"/>
    <n v="1943"/>
  </r>
  <r>
    <x v="5"/>
    <x v="51"/>
    <s v="Suburban"/>
    <n v="92656"/>
    <x v="2"/>
    <n v="2069"/>
  </r>
  <r>
    <x v="5"/>
    <x v="51"/>
    <s v="Suburban"/>
    <n v="92694"/>
    <x v="2"/>
    <n v="1160"/>
  </r>
  <r>
    <x v="5"/>
    <x v="51"/>
    <s v="Suburban"/>
    <n v="92708"/>
    <x v="1"/>
    <n v="1036"/>
  </r>
  <r>
    <x v="5"/>
    <x v="60"/>
    <s v="Suburban"/>
    <n v="95336"/>
    <x v="2"/>
    <n v="1634"/>
  </r>
  <r>
    <x v="5"/>
    <x v="61"/>
    <s v="Suburban"/>
    <n v="95618"/>
    <x v="0"/>
    <n v="1576"/>
  </r>
  <r>
    <x v="5"/>
    <x v="62"/>
    <s v="Suburban"/>
    <n v="95642"/>
    <x v="2"/>
    <n v="417"/>
  </r>
  <r>
    <x v="5"/>
    <x v="51"/>
    <s v="Suburban"/>
    <n v="92704"/>
    <x v="2"/>
    <n v="1311"/>
  </r>
  <r>
    <x v="5"/>
    <x v="56"/>
    <s v="Suburban"/>
    <n v="94111"/>
    <x v="5"/>
    <n v="1267"/>
  </r>
  <r>
    <x v="5"/>
    <x v="51"/>
    <s v="Suburban"/>
    <n v="92843"/>
    <x v="1"/>
    <n v="1117"/>
  </r>
  <r>
    <x v="5"/>
    <x v="56"/>
    <s v="Suburban"/>
    <n v="94115"/>
    <x v="5"/>
    <n v="733"/>
  </r>
  <r>
    <x v="5"/>
    <x v="51"/>
    <s v="Suburban"/>
    <n v="92843"/>
    <x v="2"/>
    <n v="1092"/>
  </r>
  <r>
    <x v="5"/>
    <x v="52"/>
    <s v="Suburban"/>
    <n v="95841"/>
    <x v="1"/>
    <n v="2234"/>
  </r>
  <r>
    <x v="5"/>
    <x v="56"/>
    <s v="Suburban"/>
    <n v="94123"/>
    <x v="4"/>
    <n v="505"/>
  </r>
  <r>
    <x v="5"/>
    <x v="53"/>
    <s v="Suburban"/>
    <n v="94597"/>
    <x v="0"/>
    <n v="1868"/>
  </r>
  <r>
    <x v="5"/>
    <x v="63"/>
    <s v="Suburban"/>
    <n v="94901"/>
    <x v="1"/>
    <n v="533"/>
  </r>
  <r>
    <x v="5"/>
    <x v="63"/>
    <s v="Suburban"/>
    <n v="94901"/>
    <x v="2"/>
    <n v="1067"/>
  </r>
  <r>
    <x v="5"/>
    <x v="63"/>
    <s v="Suburban"/>
    <n v="94925"/>
    <x v="4"/>
    <n v="363"/>
  </r>
  <r>
    <x v="5"/>
    <x v="56"/>
    <s v="Suburban"/>
    <n v="94108"/>
    <x v="4"/>
    <n v="91"/>
  </r>
  <r>
    <x v="5"/>
    <x v="64"/>
    <s v="Suburban"/>
    <n v="93637"/>
    <x v="1"/>
    <n v="788"/>
  </r>
  <r>
    <x v="5"/>
    <x v="55"/>
    <s v="Suburban"/>
    <n v="93036"/>
    <x v="2"/>
    <n v="2618"/>
  </r>
  <r>
    <x v="5"/>
    <x v="63"/>
    <s v="Suburban"/>
    <n v="94945"/>
    <x v="2"/>
    <n v="2445"/>
  </r>
  <r>
    <x v="5"/>
    <x v="60"/>
    <s v="Suburban"/>
    <n v="95207"/>
    <x v="1"/>
    <n v="875"/>
  </r>
  <r>
    <x v="5"/>
    <x v="52"/>
    <s v="Suburban"/>
    <n v="95819"/>
    <x v="1"/>
    <n v="800"/>
  </r>
  <r>
    <x v="5"/>
    <x v="52"/>
    <s v="Suburban"/>
    <n v="95825"/>
    <x v="0"/>
    <n v="1585"/>
  </r>
  <r>
    <x v="5"/>
    <x v="52"/>
    <s v="Suburban"/>
    <n v="95624"/>
    <x v="2"/>
    <n v="1264"/>
  </r>
  <r>
    <x v="5"/>
    <x v="52"/>
    <s v="Suburban"/>
    <n v="95610"/>
    <x v="2"/>
    <n v="1087"/>
  </r>
  <r>
    <x v="5"/>
    <x v="59"/>
    <s v="Suburban"/>
    <n v="95687"/>
    <x v="2"/>
    <n v="1595"/>
  </r>
  <r>
    <x v="5"/>
    <x v="60"/>
    <s v="Suburban"/>
    <n v="95207"/>
    <x v="0"/>
    <n v="1932"/>
  </r>
  <r>
    <x v="5"/>
    <x v="51"/>
    <s v="Suburban"/>
    <n v="92832"/>
    <x v="1"/>
    <n v="2380"/>
  </r>
  <r>
    <x v="5"/>
    <x v="51"/>
    <s v="Suburban"/>
    <n v="92831"/>
    <x v="1"/>
    <n v="3525"/>
  </r>
  <r>
    <x v="5"/>
    <x v="51"/>
    <s v="Suburban"/>
    <n v="92691"/>
    <x v="0"/>
    <n v="968"/>
  </r>
  <r>
    <x v="5"/>
    <x v="54"/>
    <s v="Suburban"/>
    <n v="95118"/>
    <x v="0"/>
    <n v="1656"/>
  </r>
  <r>
    <x v="5"/>
    <x v="51"/>
    <s v="Suburban"/>
    <n v="92688"/>
    <x v="2"/>
    <n v="988"/>
  </r>
  <r>
    <x v="5"/>
    <x v="54"/>
    <s v="Suburban"/>
    <n v="95008"/>
    <x v="2"/>
    <n v="2230"/>
  </r>
  <r>
    <x v="5"/>
    <x v="53"/>
    <s v="Suburban"/>
    <n v="94596"/>
    <x v="4"/>
    <n v="773"/>
  </r>
  <r>
    <x v="5"/>
    <x v="53"/>
    <s v="Suburban"/>
    <n v="94583"/>
    <x v="4"/>
    <n v="1747"/>
  </r>
  <r>
    <x v="5"/>
    <x v="53"/>
    <s v="Suburban"/>
    <n v="94521"/>
    <x v="2"/>
    <n v="1313"/>
  </r>
  <r>
    <x v="5"/>
    <x v="51"/>
    <s v="Suburban"/>
    <n v="92821"/>
    <x v="2"/>
    <n v="2205"/>
  </r>
  <r>
    <x v="5"/>
    <x v="51"/>
    <s v="Suburban"/>
    <n v="92606"/>
    <x v="2"/>
    <n v="1457"/>
  </r>
  <r>
    <x v="5"/>
    <x v="51"/>
    <s v="Suburban"/>
    <n v="92612"/>
    <x v="1"/>
    <n v="814"/>
  </r>
  <r>
    <x v="5"/>
    <x v="51"/>
    <s v="Suburban"/>
    <n v="92626"/>
    <x v="4"/>
    <n v="1516"/>
  </r>
  <r>
    <x v="5"/>
    <x v="51"/>
    <s v="Suburban"/>
    <n v="92647"/>
    <x v="4"/>
    <n v="1861"/>
  </r>
  <r>
    <x v="5"/>
    <x v="54"/>
    <s v="Suburban"/>
    <n v="95037"/>
    <x v="2"/>
    <n v="1371"/>
  </r>
  <r>
    <x v="5"/>
    <x v="65"/>
    <s v="Urban"/>
    <n v="92110"/>
    <x v="1"/>
    <n v="345"/>
  </r>
  <r>
    <x v="5"/>
    <x v="66"/>
    <s v="Urban"/>
    <n v="90048"/>
    <x v="3"/>
    <n v="424"/>
  </r>
  <r>
    <x v="5"/>
    <x v="67"/>
    <s v="Urban"/>
    <n v="92591"/>
    <x v="1"/>
    <n v="1947"/>
  </r>
  <r>
    <x v="5"/>
    <x v="66"/>
    <s v="Urban"/>
    <n v="90230"/>
    <x v="1"/>
    <n v="3003"/>
  </r>
  <r>
    <x v="5"/>
    <x v="66"/>
    <s v="Urban"/>
    <n v="90241"/>
    <x v="0"/>
    <n v="1647"/>
  </r>
  <r>
    <x v="5"/>
    <x v="66"/>
    <s v="Urban"/>
    <n v="90024"/>
    <x v="4"/>
    <n v="440"/>
  </r>
  <r>
    <x v="5"/>
    <x v="66"/>
    <s v="Urban"/>
    <n v="90035"/>
    <x v="1"/>
    <n v="374"/>
  </r>
  <r>
    <x v="5"/>
    <x v="66"/>
    <s v="Urban"/>
    <n v="90036"/>
    <x v="1"/>
    <n v="904"/>
  </r>
  <r>
    <x v="5"/>
    <x v="67"/>
    <s v="Urban"/>
    <n v="92584"/>
    <x v="2"/>
    <n v="1581"/>
  </r>
  <r>
    <x v="5"/>
    <x v="66"/>
    <s v="Urban"/>
    <n v="90036"/>
    <x v="2"/>
    <n v="1037"/>
  </r>
  <r>
    <x v="5"/>
    <x v="66"/>
    <s v="Urban"/>
    <n v="90255"/>
    <x v="2"/>
    <n v="1747"/>
  </r>
  <r>
    <x v="5"/>
    <x v="68"/>
    <s v="Urban"/>
    <n v="94705"/>
    <x v="5"/>
    <n v="26"/>
  </r>
  <r>
    <x v="5"/>
    <x v="66"/>
    <s v="Urban"/>
    <n v="90065"/>
    <x v="2"/>
    <n v="1580"/>
  </r>
  <r>
    <x v="5"/>
    <x v="66"/>
    <s v="Urban"/>
    <n v="90242"/>
    <x v="2"/>
    <n v="1708"/>
  </r>
  <r>
    <x v="5"/>
    <x v="66"/>
    <s v="Urban"/>
    <n v="90245"/>
    <x v="4"/>
    <n v="239"/>
  </r>
  <r>
    <x v="5"/>
    <x v="66"/>
    <s v="Urban"/>
    <n v="90291"/>
    <x v="2"/>
    <n v="855"/>
  </r>
  <r>
    <x v="5"/>
    <x v="66"/>
    <s v="Urban"/>
    <n v="90247"/>
    <x v="2"/>
    <n v="1566"/>
  </r>
  <r>
    <x v="5"/>
    <x v="66"/>
    <s v="Urban"/>
    <n v="90503"/>
    <x v="1"/>
    <n v="2003"/>
  </r>
  <r>
    <x v="5"/>
    <x v="66"/>
    <s v="Urban"/>
    <n v="90650"/>
    <x v="1"/>
    <n v="1373"/>
  </r>
  <r>
    <x v="5"/>
    <x v="66"/>
    <s v="Urban"/>
    <n v="90603"/>
    <x v="1"/>
    <n v="1068"/>
  </r>
  <r>
    <x v="5"/>
    <x v="66"/>
    <s v="Urban"/>
    <n v="90503"/>
    <x v="2"/>
    <n v="853"/>
  </r>
  <r>
    <x v="5"/>
    <x v="69"/>
    <s v="Urban"/>
    <n v="93720"/>
    <x v="0"/>
    <n v="1572"/>
  </r>
  <r>
    <x v="5"/>
    <x v="66"/>
    <s v="Urban"/>
    <n v="90712"/>
    <x v="0"/>
    <n v="1925"/>
  </r>
  <r>
    <x v="5"/>
    <x v="69"/>
    <s v="Urban"/>
    <n v="93710"/>
    <x v="1"/>
    <n v="1197"/>
  </r>
  <r>
    <x v="5"/>
    <x v="66"/>
    <s v="Urban"/>
    <n v="90732"/>
    <x v="1"/>
    <n v="3753"/>
  </r>
  <r>
    <x v="5"/>
    <x v="65"/>
    <s v="Urban"/>
    <n v="91950"/>
    <x v="1"/>
    <n v="2126"/>
  </r>
  <r>
    <x v="5"/>
    <x v="67"/>
    <s v="Urban"/>
    <n v="92592"/>
    <x v="2"/>
    <n v="2238"/>
  </r>
  <r>
    <x v="5"/>
    <x v="66"/>
    <s v="Urban"/>
    <n v="90008"/>
    <x v="2"/>
    <n v="2026"/>
  </r>
  <r>
    <x v="5"/>
    <x v="66"/>
    <s v="Urban"/>
    <n v="90292"/>
    <x v="4"/>
    <n v="252"/>
  </r>
  <r>
    <x v="5"/>
    <x v="66"/>
    <s v="Urban"/>
    <n v="90303"/>
    <x v="2"/>
    <n v="1664"/>
  </r>
  <r>
    <x v="5"/>
    <x v="66"/>
    <s v="Urban"/>
    <n v="90401"/>
    <x v="4"/>
    <n v="138"/>
  </r>
  <r>
    <x v="5"/>
    <x v="66"/>
    <s v="Urban"/>
    <n v="90403"/>
    <x v="5"/>
    <n v="452"/>
  </r>
  <r>
    <x v="5"/>
    <x v="66"/>
    <s v="Urban"/>
    <n v="90745"/>
    <x v="2"/>
    <n v="1262"/>
  </r>
  <r>
    <x v="5"/>
    <x v="66"/>
    <s v="Urban"/>
    <n v="91105"/>
    <x v="4"/>
    <n v="1179"/>
  </r>
  <r>
    <x v="5"/>
    <x v="66"/>
    <s v="Urban"/>
    <n v="90036"/>
    <x v="4"/>
    <n v="909"/>
  </r>
  <r>
    <x v="5"/>
    <x v="65"/>
    <s v="Urban"/>
    <n v="92009"/>
    <x v="4"/>
    <n v="1673"/>
  </r>
  <r>
    <x v="5"/>
    <x v="66"/>
    <s v="Urban"/>
    <n v="91342"/>
    <x v="1"/>
    <n v="1800"/>
  </r>
  <r>
    <x v="5"/>
    <x v="65"/>
    <s v="Urban"/>
    <n v="92020"/>
    <x v="1"/>
    <n v="2461"/>
  </r>
  <r>
    <x v="5"/>
    <x v="65"/>
    <s v="Urban"/>
    <n v="92108"/>
    <x v="5"/>
    <n v="1044"/>
  </r>
  <r>
    <x v="5"/>
    <x v="65"/>
    <s v="Urban"/>
    <n v="92130"/>
    <x v="5"/>
    <n v="7988"/>
  </r>
  <r>
    <x v="5"/>
    <x v="66"/>
    <s v="Urban"/>
    <n v="91411"/>
    <x v="1"/>
    <n v="2290"/>
  </r>
  <r>
    <x v="5"/>
    <x v="66"/>
    <s v="Urban"/>
    <n v="91411"/>
    <x v="2"/>
    <n v="1966"/>
  </r>
  <r>
    <x v="5"/>
    <x v="66"/>
    <s v="Urban"/>
    <n v="91502"/>
    <x v="1"/>
    <n v="10689"/>
  </r>
  <r>
    <x v="5"/>
    <x v="65"/>
    <s v="Urban"/>
    <n v="92121"/>
    <x v="1"/>
    <n v="988"/>
  </r>
  <r>
    <x v="5"/>
    <x v="65"/>
    <s v="Urban"/>
    <n v="92111"/>
    <x v="2"/>
    <n v="928"/>
  </r>
  <r>
    <x v="5"/>
    <x v="69"/>
    <s v="Urban"/>
    <n v="93704"/>
    <x v="4"/>
    <n v="1143"/>
  </r>
  <r>
    <x v="5"/>
    <x v="66"/>
    <s v="Urban"/>
    <n v="91740"/>
    <x v="2"/>
    <n v="2388"/>
  </r>
  <r>
    <x v="5"/>
    <x v="66"/>
    <s v="Urban"/>
    <n v="91754"/>
    <x v="2"/>
    <n v="1546"/>
  </r>
  <r>
    <x v="5"/>
    <x v="68"/>
    <s v="Urban"/>
    <n v="94551"/>
    <x v="3"/>
    <n v="31"/>
  </r>
  <r>
    <x v="5"/>
    <x v="68"/>
    <s v="Urban"/>
    <n v="94551"/>
    <x v="0"/>
    <n v="1021"/>
  </r>
  <r>
    <x v="5"/>
    <x v="68"/>
    <s v="Urban"/>
    <n v="94710"/>
    <x v="4"/>
    <n v="222"/>
  </r>
  <r>
    <x v="5"/>
    <x v="70"/>
    <s v="Urban"/>
    <n v="95482"/>
    <x v="2"/>
    <n v="1112"/>
  </r>
  <r>
    <x v="5"/>
    <x v="71"/>
    <s v="Urban"/>
    <n v="95380"/>
    <x v="2"/>
    <n v="1077"/>
  </r>
  <r>
    <x v="5"/>
    <x v="71"/>
    <s v="Urban"/>
    <n v="95367"/>
    <x v="2"/>
    <n v="819"/>
  </r>
  <r>
    <x v="5"/>
    <x v="71"/>
    <s v="Urban"/>
    <n v="95350"/>
    <x v="1"/>
    <n v="3775"/>
  </r>
  <r>
    <x v="5"/>
    <x v="72"/>
    <s v="Urban"/>
    <n v="94403"/>
    <x v="1"/>
    <n v="1863"/>
  </r>
  <r>
    <x v="5"/>
    <x v="72"/>
    <s v="Urban"/>
    <n v="94080"/>
    <x v="2"/>
    <n v="627"/>
  </r>
  <r>
    <x v="5"/>
    <x v="72"/>
    <s v="Urban"/>
    <n v="94010"/>
    <x v="5"/>
    <n v="888"/>
  </r>
  <r>
    <x v="5"/>
    <x v="71"/>
    <s v="Urban"/>
    <n v="95355"/>
    <x v="0"/>
    <n v="1199"/>
  </r>
  <r>
    <x v="5"/>
    <x v="72"/>
    <s v="Urban"/>
    <n v="94025"/>
    <x v="2"/>
    <n v="476"/>
  </r>
  <r>
    <x v="5"/>
    <x v="67"/>
    <s v="Urban"/>
    <n v="92253"/>
    <x v="2"/>
    <n v="1754"/>
  </r>
  <r>
    <x v="5"/>
    <x v="66"/>
    <s v="Urban"/>
    <n v="91791"/>
    <x v="1"/>
    <n v="2683"/>
  </r>
  <r>
    <x v="5"/>
    <x v="65"/>
    <s v="Urban"/>
    <n v="92010"/>
    <x v="2"/>
    <n v="1805"/>
  </r>
  <r>
    <x v="5"/>
    <x v="66"/>
    <s v="Urban"/>
    <n v="90803"/>
    <x v="4"/>
    <n v="86"/>
  </r>
  <r>
    <x v="5"/>
    <x v="66"/>
    <s v="Urban"/>
    <n v="91105"/>
    <x v="3"/>
    <n v="320"/>
  </r>
  <r>
    <x v="5"/>
    <x v="65"/>
    <s v="Urban"/>
    <n v="92019"/>
    <x v="2"/>
    <n v="1109"/>
  </r>
  <r>
    <x v="5"/>
    <x v="65"/>
    <s v="Urban"/>
    <n v="92027"/>
    <x v="1"/>
    <n v="1710"/>
  </r>
  <r>
    <x v="5"/>
    <x v="66"/>
    <s v="Urban"/>
    <n v="91106"/>
    <x v="1"/>
    <n v="938"/>
  </r>
  <r>
    <x v="5"/>
    <x v="66"/>
    <s v="Urban"/>
    <n v="91303"/>
    <x v="5"/>
    <n v="3652"/>
  </r>
  <r>
    <x v="5"/>
    <x v="66"/>
    <s v="Urban"/>
    <n v="91324"/>
    <x v="1"/>
    <n v="1779"/>
  </r>
  <r>
    <x v="5"/>
    <x v="66"/>
    <s v="Urban"/>
    <n v="91355"/>
    <x v="1"/>
    <n v="2098"/>
  </r>
  <r>
    <x v="5"/>
    <x v="73"/>
    <s v="Urban"/>
    <n v="93101"/>
    <x v="0"/>
    <n v="1443"/>
  </r>
  <r>
    <x v="5"/>
    <x v="74"/>
    <s v="Urban"/>
    <n v="93309"/>
    <x v="1"/>
    <n v="1747"/>
  </r>
  <r>
    <x v="5"/>
    <x v="72"/>
    <s v="Urban"/>
    <n v="94010"/>
    <x v="4"/>
    <n v="754"/>
  </r>
  <r>
    <x v="5"/>
    <x v="66"/>
    <s v="Urban"/>
    <n v="91355"/>
    <x v="2"/>
    <n v="1457"/>
  </r>
  <r>
    <x v="5"/>
    <x v="66"/>
    <s v="Urban"/>
    <n v="90020"/>
    <x v="2"/>
    <n v="509"/>
  </r>
  <r>
    <x v="5"/>
    <x v="65"/>
    <s v="Urban"/>
    <n v="92071"/>
    <x v="1"/>
    <n v="1306"/>
  </r>
  <r>
    <x v="5"/>
    <x v="66"/>
    <s v="Urban"/>
    <n v="91367"/>
    <x v="1"/>
    <n v="1992"/>
  </r>
  <r>
    <x v="5"/>
    <x v="66"/>
    <s v="Urban"/>
    <n v="91367"/>
    <x v="2"/>
    <n v="1662"/>
  </r>
  <r>
    <x v="5"/>
    <x v="66"/>
    <s v="Urban"/>
    <n v="91604"/>
    <x v="4"/>
    <n v="546"/>
  </r>
  <r>
    <x v="5"/>
    <x v="65"/>
    <s v="Urban"/>
    <n v="92108"/>
    <x v="2"/>
    <n v="1282"/>
  </r>
  <r>
    <x v="5"/>
    <x v="65"/>
    <s v="Urban"/>
    <n v="92108"/>
    <x v="1"/>
    <n v="696"/>
  </r>
  <r>
    <x v="5"/>
    <x v="65"/>
    <s v="Urban"/>
    <n v="92101"/>
    <x v="1"/>
    <n v="2628"/>
  </r>
  <r>
    <x v="5"/>
    <x v="65"/>
    <s v="Urban"/>
    <n v="92109"/>
    <x v="2"/>
    <n v="4276"/>
  </r>
  <r>
    <x v="5"/>
    <x v="65"/>
    <s v="Urban"/>
    <n v="92054"/>
    <x v="2"/>
    <n v="3304"/>
  </r>
  <r>
    <x v="5"/>
    <x v="67"/>
    <s v="Urban"/>
    <n v="91752"/>
    <x v="2"/>
    <n v="2368"/>
  </r>
  <r>
    <x v="5"/>
    <x v="67"/>
    <s v="Urban"/>
    <n v="92260"/>
    <x v="2"/>
    <n v="705"/>
  </r>
  <r>
    <x v="5"/>
    <x v="65"/>
    <s v="Urban"/>
    <n v="92029"/>
    <x v="2"/>
    <n v="3816"/>
  </r>
  <r>
    <x v="5"/>
    <x v="66"/>
    <s v="Urban"/>
    <n v="90210"/>
    <x v="4"/>
    <n v="78"/>
  </r>
  <r>
    <x v="5"/>
    <x v="67"/>
    <s v="Urban"/>
    <n v="92506"/>
    <x v="2"/>
    <n v="1598"/>
  </r>
  <r>
    <x v="5"/>
    <x v="73"/>
    <s v="Urban"/>
    <n v="93117"/>
    <x v="2"/>
    <n v="1156"/>
  </r>
  <r>
    <x v="5"/>
    <x v="75"/>
    <s v="Urban"/>
    <n v="95991"/>
    <x v="2"/>
    <n v="1526"/>
  </r>
  <r>
    <x v="5"/>
    <x v="65"/>
    <s v="Urban"/>
    <n v="92024"/>
    <x v="1"/>
    <n v="1114"/>
  </r>
  <r>
    <x v="5"/>
    <x v="66"/>
    <s v="Urban"/>
    <n v="91803"/>
    <x v="1"/>
    <n v="1277"/>
  </r>
  <r>
    <x v="5"/>
    <x v="66"/>
    <s v="Urban"/>
    <n v="91750"/>
    <x v="2"/>
    <n v="2622"/>
  </r>
  <r>
    <x v="5"/>
    <x v="66"/>
    <s v="Urban"/>
    <n v="91605"/>
    <x v="2"/>
    <n v="1480"/>
  </r>
  <r>
    <x v="5"/>
    <x v="66"/>
    <s v="Urban"/>
    <n v="91604"/>
    <x v="5"/>
    <n v="477"/>
  </r>
  <r>
    <x v="5"/>
    <x v="66"/>
    <s v="Urban"/>
    <n v="91367"/>
    <x v="4"/>
    <n v="456"/>
  </r>
  <r>
    <x v="5"/>
    <x v="66"/>
    <s v="Urban"/>
    <n v="91362"/>
    <x v="2"/>
    <n v="1050"/>
  </r>
  <r>
    <x v="5"/>
    <x v="65"/>
    <s v="Urban"/>
    <n v="92110"/>
    <x v="2"/>
    <n v="741"/>
  </r>
  <r>
    <x v="5"/>
    <x v="65"/>
    <s v="Urban"/>
    <n v="92122"/>
    <x v="5"/>
    <n v="1915"/>
  </r>
  <r>
    <x v="5"/>
    <x v="69"/>
    <s v="Urban"/>
    <n v="93611"/>
    <x v="0"/>
    <n v="969"/>
  </r>
  <r>
    <x v="5"/>
    <x v="69"/>
    <s v="Urban"/>
    <n v="93612"/>
    <x v="1"/>
    <n v="1593"/>
  </r>
  <r>
    <x v="5"/>
    <x v="69"/>
    <s v="Urban"/>
    <n v="93711"/>
    <x v="1"/>
    <n v="1111"/>
  </r>
  <r>
    <x v="5"/>
    <x v="69"/>
    <s v="Urban"/>
    <n v="93721"/>
    <x v="1"/>
    <n v="1924"/>
  </r>
  <r>
    <x v="5"/>
    <x v="66"/>
    <s v="Urban"/>
    <n v="90025"/>
    <x v="2"/>
    <n v="1172"/>
  </r>
  <r>
    <x v="5"/>
    <x v="76"/>
    <s v="Urban"/>
    <n v="95348"/>
    <x v="2"/>
    <n v="744"/>
  </r>
  <r>
    <x v="5"/>
    <x v="77"/>
    <s v="Urban"/>
    <n v="94558"/>
    <x v="5"/>
    <n v="863"/>
  </r>
  <r>
    <x v="5"/>
    <x v="73"/>
    <s v="Urban"/>
    <n v="93454"/>
    <x v="1"/>
    <n v="1394"/>
  </r>
  <r>
    <x v="5"/>
    <x v="66"/>
    <s v="Urban"/>
    <n v="91356"/>
    <x v="1"/>
    <n v="1299"/>
  </r>
  <r>
    <x v="5"/>
    <x v="74"/>
    <s v="Urban"/>
    <n v="93312"/>
    <x v="1"/>
    <n v="2743"/>
  </r>
  <r>
    <x v="5"/>
    <x v="67"/>
    <s v="Urban"/>
    <n v="92532"/>
    <x v="2"/>
    <n v="8896"/>
  </r>
  <r>
    <x v="5"/>
    <x v="67"/>
    <s v="Urban"/>
    <n v="92507"/>
    <x v="2"/>
    <n v="1212"/>
  </r>
  <r>
    <x v="5"/>
    <x v="67"/>
    <s v="Urban"/>
    <n v="92264"/>
    <x v="2"/>
    <n v="1626"/>
  </r>
  <r>
    <x v="5"/>
    <x v="67"/>
    <s v="Urban"/>
    <n v="92253"/>
    <x v="0"/>
    <n v="1485"/>
  </r>
  <r>
    <x v="5"/>
    <x v="77"/>
    <s v="Urban"/>
    <n v="94559"/>
    <x v="1"/>
    <n v="1813"/>
  </r>
  <r>
    <x v="5"/>
    <x v="68"/>
    <s v="Urban"/>
    <n v="94577"/>
    <x v="1"/>
    <n v="2212"/>
  </r>
  <r>
    <x v="5"/>
    <x v="68"/>
    <s v="Urban"/>
    <n v="94710"/>
    <x v="1"/>
    <n v="259"/>
  </r>
  <r>
    <x v="5"/>
    <x v="78"/>
    <s v="Urban"/>
    <n v="95370"/>
    <x v="2"/>
    <n v="909"/>
  </r>
  <r>
    <x v="5"/>
    <x v="66"/>
    <s v="Urban"/>
    <n v="91780"/>
    <x v="1"/>
    <n v="2686"/>
  </r>
  <r>
    <x v="5"/>
    <x v="66"/>
    <s v="Urban"/>
    <n v="90028"/>
    <x v="2"/>
    <n v="911"/>
  </r>
  <r>
    <x v="5"/>
    <x v="65"/>
    <s v="Urban"/>
    <n v="91914"/>
    <x v="1"/>
    <n v="2475"/>
  </r>
  <r>
    <x v="5"/>
    <x v="74"/>
    <s v="Urban"/>
    <n v="93306"/>
    <x v="0"/>
    <n v="3106"/>
  </r>
  <r>
    <x v="5"/>
    <x v="65"/>
    <s v="Urban"/>
    <n v="92037"/>
    <x v="4"/>
    <n v="634"/>
  </r>
  <r>
    <x v="5"/>
    <x v="65"/>
    <s v="Urban"/>
    <n v="92075"/>
    <x v="2"/>
    <n v="1164"/>
  </r>
  <r>
    <x v="5"/>
    <x v="66"/>
    <s v="Urban"/>
    <n v="91350"/>
    <x v="0"/>
    <n v="1103"/>
  </r>
  <r>
    <x v="5"/>
    <x v="65"/>
    <s v="Urban"/>
    <n v="92083"/>
    <x v="2"/>
    <n v="1668"/>
  </r>
  <r>
    <x v="5"/>
    <x v="65"/>
    <s v="Urban"/>
    <n v="92128"/>
    <x v="2"/>
    <n v="1549"/>
  </r>
  <r>
    <x v="5"/>
    <x v="72"/>
    <s v="Urban"/>
    <n v="94014"/>
    <x v="1"/>
    <n v="1310"/>
  </r>
  <r>
    <x v="5"/>
    <x v="66"/>
    <s v="Urban"/>
    <n v="93536"/>
    <x v="2"/>
    <n v="2614"/>
  </r>
  <r>
    <x v="5"/>
    <x v="66"/>
    <s v="Urban"/>
    <n v="90807"/>
    <x v="2"/>
    <n v="1225"/>
  </r>
  <r>
    <x v="5"/>
    <x v="66"/>
    <s v="Urban"/>
    <n v="90804"/>
    <x v="2"/>
    <n v="1245"/>
  </r>
  <r>
    <x v="5"/>
    <x v="66"/>
    <s v="Urban"/>
    <n v="90803"/>
    <x v="5"/>
    <n v="178"/>
  </r>
  <r>
    <x v="5"/>
    <x v="66"/>
    <s v="Urban"/>
    <n v="90501"/>
    <x v="1"/>
    <n v="3242"/>
  </r>
  <r>
    <x v="5"/>
    <x v="66"/>
    <s v="Urban"/>
    <n v="90266"/>
    <x v="5"/>
    <n v="990"/>
  </r>
  <r>
    <x v="5"/>
    <x v="66"/>
    <s v="Urban"/>
    <n v="90064"/>
    <x v="2"/>
    <n v="145"/>
  </r>
  <r>
    <x v="5"/>
    <x v="66"/>
    <s v="Urban"/>
    <n v="93551"/>
    <x v="2"/>
    <n v="3096"/>
  </r>
  <r>
    <x v="5"/>
    <x v="68"/>
    <s v="Urban"/>
    <n v="94501"/>
    <x v="0"/>
    <n v="1585"/>
  </r>
  <r>
    <x v="5"/>
    <x v="68"/>
    <s v="Urban"/>
    <n v="94538"/>
    <x v="2"/>
    <n v="1321"/>
  </r>
  <r>
    <x v="5"/>
    <x v="68"/>
    <s v="Urban"/>
    <n v="94541"/>
    <x v="1"/>
    <n v="1681"/>
  </r>
  <r>
    <x v="5"/>
    <x v="77"/>
    <s v="Urban"/>
    <n v="94558"/>
    <x v="2"/>
    <n v="1094"/>
  </r>
  <r>
    <x v="5"/>
    <x v="68"/>
    <s v="Urban"/>
    <n v="94588"/>
    <x v="0"/>
    <n v="1205"/>
  </r>
  <r>
    <x v="5"/>
    <x v="68"/>
    <s v="Urban"/>
    <n v="94608"/>
    <x v="1"/>
    <n v="492"/>
  </r>
  <r>
    <x v="5"/>
    <x v="68"/>
    <s v="Urban"/>
    <n v="94710"/>
    <x v="5"/>
    <n v="220"/>
  </r>
  <r>
    <x v="5"/>
    <x v="66"/>
    <s v="Urban"/>
    <n v="90045"/>
    <x v="2"/>
    <n v="613"/>
  </r>
  <r>
    <x v="5"/>
    <x v="66"/>
    <s v="Urban"/>
    <n v="90045"/>
    <x v="1"/>
    <n v="1774"/>
  </r>
  <r>
    <x v="5"/>
    <x v="72"/>
    <s v="Urban"/>
    <n v="94303"/>
    <x v="1"/>
    <n v="782"/>
  </r>
  <r>
    <x v="5"/>
    <x v="72"/>
    <s v="Urban"/>
    <n v="94070"/>
    <x v="1"/>
    <n v="1187"/>
  </r>
  <r>
    <x v="5"/>
    <x v="72"/>
    <s v="Urban"/>
    <n v="94030"/>
    <x v="1"/>
    <n v="1400"/>
  </r>
  <r>
    <x v="5"/>
    <x v="66"/>
    <s v="Urban"/>
    <n v="90015"/>
    <x v="2"/>
    <n v="1598"/>
  </r>
  <r>
    <x v="5"/>
    <x v="65"/>
    <s v="Urban"/>
    <n v="91942"/>
    <x v="1"/>
    <n v="505"/>
  </r>
  <r>
    <x v="5"/>
    <x v="66"/>
    <s v="Urban"/>
    <n v="91604"/>
    <x v="2"/>
    <n v="1157"/>
  </r>
  <r>
    <x v="5"/>
    <x v="66"/>
    <s v="Urban"/>
    <n v="91504"/>
    <x v="2"/>
    <n v="2120"/>
  </r>
  <r>
    <x v="5"/>
    <x v="66"/>
    <s v="Urban"/>
    <n v="91344"/>
    <x v="2"/>
    <n v="2493"/>
  </r>
  <r>
    <x v="5"/>
    <x v="66"/>
    <s v="Urban"/>
    <n v="91302"/>
    <x v="4"/>
    <n v="1809"/>
  </r>
  <r>
    <x v="5"/>
    <x v="66"/>
    <s v="Urban"/>
    <n v="91214"/>
    <x v="1"/>
    <n v="1984"/>
  </r>
  <r>
    <x v="5"/>
    <x v="66"/>
    <s v="Urban"/>
    <n v="91206"/>
    <x v="2"/>
    <n v="4407"/>
  </r>
  <r>
    <x v="5"/>
    <x v="66"/>
    <s v="Urban"/>
    <n v="91107"/>
    <x v="2"/>
    <n v="2121"/>
  </r>
  <r>
    <x v="5"/>
    <x v="66"/>
    <s v="Urban"/>
    <n v="90012"/>
    <x v="1"/>
    <n v="1476"/>
  </r>
  <r>
    <x v="5"/>
    <x v="66"/>
    <s v="Urban"/>
    <n v="90007"/>
    <x v="1"/>
    <n v="2061"/>
  </r>
  <r>
    <x v="5"/>
    <x v="66"/>
    <s v="Urban"/>
    <n v="90755"/>
    <x v="1"/>
    <n v="1258"/>
  </r>
  <r>
    <x v="5"/>
    <x v="67"/>
    <s v="Urban"/>
    <n v="92562"/>
    <x v="2"/>
    <n v="3595"/>
  </r>
  <r>
    <x v="5"/>
    <x v="67"/>
    <s v="Urban"/>
    <n v="92553"/>
    <x v="1"/>
    <n v="3314"/>
  </r>
  <r>
    <x v="5"/>
    <x v="67"/>
    <s v="Urban"/>
    <n v="92545"/>
    <x v="2"/>
    <n v="2584"/>
  </r>
  <r>
    <x v="5"/>
    <x v="67"/>
    <s v="Urban"/>
    <n v="92507"/>
    <x v="0"/>
    <n v="1231"/>
  </r>
  <r>
    <x v="5"/>
    <x v="66"/>
    <s v="Urban"/>
    <n v="90703"/>
    <x v="2"/>
    <n v="3637"/>
  </r>
  <r>
    <x v="5"/>
    <x v="66"/>
    <s v="Urban"/>
    <n v="90640"/>
    <x v="1"/>
    <n v="1228"/>
  </r>
  <r>
    <x v="5"/>
    <x v="66"/>
    <s v="Urban"/>
    <n v="90605"/>
    <x v="2"/>
    <n v="1647"/>
  </r>
  <r>
    <x v="5"/>
    <x v="66"/>
    <s v="Urban"/>
    <n v="90505"/>
    <x v="2"/>
    <n v="907"/>
  </r>
  <r>
    <x v="5"/>
    <x v="66"/>
    <s v="Urban"/>
    <n v="90505"/>
    <x v="1"/>
    <n v="1116"/>
  </r>
  <r>
    <x v="5"/>
    <x v="73"/>
    <s v="Urban"/>
    <n v="93101"/>
    <x v="4"/>
    <n v="273"/>
  </r>
  <r>
    <x v="5"/>
    <x v="66"/>
    <s v="Urban"/>
    <n v="90401"/>
    <x v="5"/>
    <n v="1253"/>
  </r>
  <r>
    <x v="5"/>
    <x v="66"/>
    <s v="Urban"/>
    <n v="90266"/>
    <x v="1"/>
    <n v="1447"/>
  </r>
  <r>
    <x v="5"/>
    <x v="66"/>
    <s v="Urban"/>
    <n v="90038"/>
    <x v="1"/>
    <n v="605"/>
  </r>
  <r>
    <x v="5"/>
    <x v="67"/>
    <s v="Urban"/>
    <n v="92860"/>
    <x v="2"/>
    <n v="2453"/>
  </r>
  <r>
    <x v="5"/>
    <x v="66"/>
    <s v="Urban"/>
    <n v="90017"/>
    <x v="4"/>
    <n v="2262"/>
  </r>
  <r>
    <x v="6"/>
    <x v="79"/>
    <s v="Rural"/>
    <n v="81212"/>
    <x v="1"/>
    <n v="829"/>
  </r>
  <r>
    <x v="6"/>
    <x v="80"/>
    <s v="Rural"/>
    <n v="80634"/>
    <x v="1"/>
    <n v="2837"/>
  </r>
  <r>
    <x v="6"/>
    <x v="81"/>
    <s v="Rural"/>
    <n v="80538"/>
    <x v="1"/>
    <n v="1608"/>
  </r>
  <r>
    <x v="6"/>
    <x v="81"/>
    <s v="Rural"/>
    <n v="80528"/>
    <x v="1"/>
    <n v="491"/>
  </r>
  <r>
    <x v="6"/>
    <x v="81"/>
    <s v="Rural"/>
    <n v="80525"/>
    <x v="2"/>
    <n v="1174"/>
  </r>
  <r>
    <x v="6"/>
    <x v="82"/>
    <s v="Rural"/>
    <n v="80126"/>
    <x v="0"/>
    <n v="1171"/>
  </r>
  <r>
    <x v="6"/>
    <x v="81"/>
    <s v="Rural"/>
    <n v="80525"/>
    <x v="0"/>
    <n v="1702"/>
  </r>
  <r>
    <x v="6"/>
    <x v="82"/>
    <s v="Rural"/>
    <n v="80104"/>
    <x v="1"/>
    <n v="1001"/>
  </r>
  <r>
    <x v="6"/>
    <x v="82"/>
    <s v="Rural"/>
    <n v="80129"/>
    <x v="0"/>
    <n v="813"/>
  </r>
  <r>
    <x v="6"/>
    <x v="82"/>
    <s v="Rural"/>
    <n v="80134"/>
    <x v="1"/>
    <n v="1715"/>
  </r>
  <r>
    <x v="6"/>
    <x v="83"/>
    <s v="Suburban"/>
    <n v="80202"/>
    <x v="1"/>
    <n v="953"/>
  </r>
  <r>
    <x v="6"/>
    <x v="84"/>
    <s v="Suburban"/>
    <n v="80922"/>
    <x v="2"/>
    <n v="2808"/>
  </r>
  <r>
    <x v="6"/>
    <x v="84"/>
    <s v="Suburban"/>
    <n v="80905"/>
    <x v="1"/>
    <n v="873"/>
  </r>
  <r>
    <x v="6"/>
    <x v="84"/>
    <s v="Suburban"/>
    <n v="80920"/>
    <x v="3"/>
    <n v="36"/>
  </r>
  <r>
    <x v="6"/>
    <x v="17"/>
    <s v="Suburban"/>
    <n v="80031"/>
    <x v="1"/>
    <n v="1322"/>
  </r>
  <r>
    <x v="6"/>
    <x v="85"/>
    <s v="Suburban"/>
    <n v="80122"/>
    <x v="4"/>
    <n v="504"/>
  </r>
  <r>
    <x v="6"/>
    <x v="17"/>
    <s v="Suburban"/>
    <n v="80123"/>
    <x v="1"/>
    <n v="271"/>
  </r>
  <r>
    <x v="6"/>
    <x v="84"/>
    <s v="Suburban"/>
    <n v="80132"/>
    <x v="2"/>
    <n v="940"/>
  </r>
  <r>
    <x v="6"/>
    <x v="86"/>
    <s v="Suburban"/>
    <n v="81401"/>
    <x v="1"/>
    <n v="1666"/>
  </r>
  <r>
    <x v="6"/>
    <x v="87"/>
    <s v="Suburban"/>
    <n v="80501"/>
    <x v="2"/>
    <n v="1121"/>
  </r>
  <r>
    <x v="6"/>
    <x v="17"/>
    <s v="Suburban"/>
    <n v="80401"/>
    <x v="0"/>
    <n v="1294"/>
  </r>
  <r>
    <x v="6"/>
    <x v="85"/>
    <s v="Suburban"/>
    <n v="80246"/>
    <x v="1"/>
    <n v="949"/>
  </r>
  <r>
    <x v="6"/>
    <x v="85"/>
    <s v="Suburban"/>
    <n v="80246"/>
    <x v="2"/>
    <n v="1099"/>
  </r>
  <r>
    <x v="6"/>
    <x v="87"/>
    <s v="Suburban"/>
    <n v="80501"/>
    <x v="0"/>
    <n v="1370"/>
  </r>
  <r>
    <x v="6"/>
    <x v="83"/>
    <s v="Suburban"/>
    <n v="80246"/>
    <x v="2"/>
    <n v="1099"/>
  </r>
  <r>
    <x v="6"/>
    <x v="83"/>
    <s v="Suburban"/>
    <n v="80246"/>
    <x v="1"/>
    <n v="949"/>
  </r>
  <r>
    <x v="6"/>
    <x v="83"/>
    <s v="Suburban"/>
    <n v="80222"/>
    <x v="1"/>
    <n v="1537"/>
  </r>
  <r>
    <x v="6"/>
    <x v="83"/>
    <s v="Suburban"/>
    <n v="80202"/>
    <x v="5"/>
    <n v="915"/>
  </r>
  <r>
    <x v="6"/>
    <x v="83"/>
    <s v="Suburban"/>
    <n v="80123"/>
    <x v="1"/>
    <n v="271"/>
  </r>
  <r>
    <x v="6"/>
    <x v="87"/>
    <s v="Suburban"/>
    <n v="80027"/>
    <x v="0"/>
    <n v="442"/>
  </r>
  <r>
    <x v="6"/>
    <x v="17"/>
    <s v="Suburban"/>
    <n v="80002"/>
    <x v="1"/>
    <n v="1323"/>
  </r>
  <r>
    <x v="6"/>
    <x v="83"/>
    <s v="Suburban"/>
    <n v="80203"/>
    <x v="1"/>
    <n v="476"/>
  </r>
  <r>
    <x v="6"/>
    <x v="85"/>
    <s v="Suburban"/>
    <n v="80110"/>
    <x v="1"/>
    <n v="632"/>
  </r>
  <r>
    <x v="6"/>
    <x v="84"/>
    <s v="Suburban"/>
    <n v="80919"/>
    <x v="2"/>
    <n v="927"/>
  </r>
  <r>
    <x v="6"/>
    <x v="84"/>
    <s v="Suburban"/>
    <n v="80920"/>
    <x v="1"/>
    <n v="1762"/>
  </r>
  <r>
    <x v="6"/>
    <x v="17"/>
    <s v="Suburban"/>
    <n v="80002"/>
    <x v="0"/>
    <n v="1328"/>
  </r>
  <r>
    <x v="6"/>
    <x v="87"/>
    <s v="Suburban"/>
    <n v="80301"/>
    <x v="2"/>
    <n v="833"/>
  </r>
  <r>
    <x v="6"/>
    <x v="87"/>
    <s v="Suburban"/>
    <n v="80301"/>
    <x v="1"/>
    <n v="591"/>
  </r>
  <r>
    <x v="6"/>
    <x v="83"/>
    <s v="Suburban"/>
    <n v="80238"/>
    <x v="1"/>
    <n v="1148"/>
  </r>
  <r>
    <x v="6"/>
    <x v="83"/>
    <s v="Suburban"/>
    <n v="80206"/>
    <x v="4"/>
    <n v="562"/>
  </r>
  <r>
    <x v="6"/>
    <x v="85"/>
    <s v="Suburban"/>
    <n v="80016"/>
    <x v="1"/>
    <n v="1963"/>
  </r>
  <r>
    <x v="6"/>
    <x v="83"/>
    <s v="Suburban"/>
    <n v="80123"/>
    <x v="0"/>
    <n v="627"/>
  </r>
  <r>
    <x v="6"/>
    <x v="88"/>
    <s v="Suburban"/>
    <n v="81303"/>
    <x v="1"/>
    <n v="437"/>
  </r>
  <r>
    <x v="6"/>
    <x v="83"/>
    <s v="Suburban"/>
    <n v="80209"/>
    <x v="1"/>
    <n v="3004"/>
  </r>
  <r>
    <x v="6"/>
    <x v="89"/>
    <s v="Suburban"/>
    <n v="81505"/>
    <x v="1"/>
    <n v="1069"/>
  </r>
  <r>
    <x v="6"/>
    <x v="85"/>
    <s v="Suburban"/>
    <n v="80012"/>
    <x v="1"/>
    <n v="5378"/>
  </r>
  <r>
    <x v="6"/>
    <x v="85"/>
    <s v="Suburban"/>
    <n v="80112"/>
    <x v="1"/>
    <n v="536"/>
  </r>
  <r>
    <x v="6"/>
    <x v="85"/>
    <s v="Suburban"/>
    <n v="80122"/>
    <x v="1"/>
    <n v="224"/>
  </r>
  <r>
    <x v="6"/>
    <x v="85"/>
    <s v="Suburban"/>
    <n v="80122"/>
    <x v="2"/>
    <n v="1133"/>
  </r>
  <r>
    <x v="6"/>
    <x v="17"/>
    <s v="Suburban"/>
    <n v="80123"/>
    <x v="0"/>
    <n v="627"/>
  </r>
  <r>
    <x v="6"/>
    <x v="17"/>
    <s v="Suburban"/>
    <n v="80226"/>
    <x v="1"/>
    <n v="995"/>
  </r>
  <r>
    <x v="6"/>
    <x v="17"/>
    <s v="Suburban"/>
    <n v="80226"/>
    <x v="2"/>
    <n v="1034"/>
  </r>
  <r>
    <x v="6"/>
    <x v="84"/>
    <s v="Suburban"/>
    <n v="80906"/>
    <x v="0"/>
    <n v="1097"/>
  </r>
  <r>
    <x v="6"/>
    <x v="84"/>
    <s v="Suburban"/>
    <n v="80907"/>
    <x v="3"/>
    <n v="284"/>
  </r>
  <r>
    <x v="6"/>
    <x v="84"/>
    <s v="Suburban"/>
    <n v="80909"/>
    <x v="1"/>
    <n v="388"/>
  </r>
  <r>
    <x v="6"/>
    <x v="84"/>
    <s v="Suburban"/>
    <n v="80920"/>
    <x v="4"/>
    <n v="1751"/>
  </r>
  <r>
    <x v="6"/>
    <x v="17"/>
    <s v="Suburban"/>
    <n v="80433"/>
    <x v="2"/>
    <n v="271"/>
  </r>
  <r>
    <x v="6"/>
    <x v="90"/>
    <s v="Urban"/>
    <n v="80601"/>
    <x v="1"/>
    <n v="1105"/>
  </r>
  <r>
    <x v="6"/>
    <x v="91"/>
    <s v="Urban"/>
    <n v="81601"/>
    <x v="1"/>
    <n v="205"/>
  </r>
  <r>
    <x v="6"/>
    <x v="90"/>
    <s v="Urban"/>
    <n v="80020"/>
    <x v="2"/>
    <n v="2362"/>
  </r>
  <r>
    <x v="6"/>
    <x v="90"/>
    <s v="Urban"/>
    <n v="80023"/>
    <x v="2"/>
    <n v="1435"/>
  </r>
  <r>
    <x v="6"/>
    <x v="92"/>
    <s v="Urban"/>
    <n v="81005"/>
    <x v="1"/>
    <n v="4653"/>
  </r>
  <r>
    <x v="6"/>
    <x v="93"/>
    <s v="Urban"/>
    <n v="80498"/>
    <x v="0"/>
    <n v="1572"/>
  </r>
  <r>
    <x v="6"/>
    <x v="90"/>
    <s v="Urban"/>
    <n v="80233"/>
    <x v="0"/>
    <n v="1930"/>
  </r>
  <r>
    <x v="6"/>
    <x v="92"/>
    <s v="Urban"/>
    <n v="81008"/>
    <x v="2"/>
    <n v="1636"/>
  </r>
  <r>
    <x v="6"/>
    <x v="90"/>
    <s v="Urban"/>
    <n v="80234"/>
    <x v="1"/>
    <n v="1053"/>
  </r>
  <r>
    <x v="7"/>
    <x v="94"/>
    <s v="Rural"/>
    <n v="6475"/>
    <x v="2"/>
    <n v="906"/>
  </r>
  <r>
    <x v="7"/>
    <x v="95"/>
    <s v="Rural"/>
    <n v="6241"/>
    <x v="2"/>
    <n v="897"/>
  </r>
  <r>
    <x v="7"/>
    <x v="94"/>
    <s v="Rural"/>
    <n v="6416"/>
    <x v="3"/>
    <n v="557"/>
  </r>
  <r>
    <x v="7"/>
    <x v="94"/>
    <s v="Rural"/>
    <n v="6457"/>
    <x v="2"/>
    <n v="2390"/>
  </r>
  <r>
    <x v="7"/>
    <x v="96"/>
    <s v="Suburban"/>
    <n v="6066"/>
    <x v="2"/>
    <n v="1493"/>
  </r>
  <r>
    <x v="7"/>
    <x v="96"/>
    <s v="Suburban"/>
    <n v="6226"/>
    <x v="2"/>
    <n v="879"/>
  </r>
  <r>
    <x v="7"/>
    <x v="97"/>
    <s v="Suburban"/>
    <n v="6489"/>
    <x v="2"/>
    <n v="1463"/>
  </r>
  <r>
    <x v="7"/>
    <x v="98"/>
    <s v="Suburban"/>
    <n v="6795"/>
    <x v="2"/>
    <n v="1212"/>
  </r>
  <r>
    <x v="7"/>
    <x v="97"/>
    <s v="Suburban"/>
    <n v="6092"/>
    <x v="2"/>
    <n v="924"/>
  </r>
  <r>
    <x v="7"/>
    <x v="97"/>
    <s v="Suburban"/>
    <n v="6117"/>
    <x v="2"/>
    <n v="1542"/>
  </r>
  <r>
    <x v="7"/>
    <x v="97"/>
    <s v="Suburban"/>
    <n v="6111"/>
    <x v="2"/>
    <n v="1387"/>
  </r>
  <r>
    <x v="7"/>
    <x v="97"/>
    <s v="Suburban"/>
    <n v="6033"/>
    <x v="2"/>
    <n v="1311"/>
  </r>
  <r>
    <x v="7"/>
    <x v="98"/>
    <s v="Suburban"/>
    <n v="6776"/>
    <x v="2"/>
    <n v="837"/>
  </r>
  <r>
    <x v="7"/>
    <x v="97"/>
    <s v="Suburban"/>
    <n v="6082"/>
    <x v="2"/>
    <n v="1087"/>
  </r>
  <r>
    <x v="7"/>
    <x v="98"/>
    <s v="Suburban"/>
    <n v="6790"/>
    <x v="2"/>
    <n v="2005"/>
  </r>
  <r>
    <x v="7"/>
    <x v="99"/>
    <s v="Urban"/>
    <n v="6854"/>
    <x v="3"/>
    <n v="1062"/>
  </r>
  <r>
    <x v="7"/>
    <x v="99"/>
    <s v="Urban"/>
    <n v="6878"/>
    <x v="2"/>
    <n v="1213"/>
  </r>
  <r>
    <x v="7"/>
    <x v="99"/>
    <s v="Urban"/>
    <n v="6880"/>
    <x v="4"/>
    <n v="178"/>
  </r>
  <r>
    <x v="7"/>
    <x v="100"/>
    <s v="Urban"/>
    <n v="6492"/>
    <x v="2"/>
    <n v="1151"/>
  </r>
  <r>
    <x v="7"/>
    <x v="101"/>
    <s v="Urban"/>
    <n v="6320"/>
    <x v="2"/>
    <n v="1233"/>
  </r>
  <r>
    <x v="7"/>
    <x v="100"/>
    <s v="Urban"/>
    <n v="6460"/>
    <x v="2"/>
    <n v="2114"/>
  </r>
  <r>
    <x v="7"/>
    <x v="101"/>
    <s v="Urban"/>
    <n v="6360"/>
    <x v="2"/>
    <n v="746"/>
  </r>
  <r>
    <x v="7"/>
    <x v="100"/>
    <s v="Urban"/>
    <n v="6405"/>
    <x v="2"/>
    <n v="3046"/>
  </r>
  <r>
    <x v="7"/>
    <x v="99"/>
    <s v="Urban"/>
    <n v="6840"/>
    <x v="5"/>
    <n v="568"/>
  </r>
  <r>
    <x v="7"/>
    <x v="99"/>
    <s v="Urban"/>
    <n v="6830"/>
    <x v="5"/>
    <n v="328"/>
  </r>
  <r>
    <x v="7"/>
    <x v="99"/>
    <s v="Urban"/>
    <n v="6484"/>
    <x v="2"/>
    <n v="2702"/>
  </r>
  <r>
    <x v="7"/>
    <x v="99"/>
    <s v="Urban"/>
    <n v="6901"/>
    <x v="5"/>
    <n v="1833"/>
  </r>
  <r>
    <x v="7"/>
    <x v="99"/>
    <s v="Urban"/>
    <n v="6810"/>
    <x v="2"/>
    <n v="4318"/>
  </r>
  <r>
    <x v="7"/>
    <x v="99"/>
    <s v="Urban"/>
    <n v="6811"/>
    <x v="2"/>
    <n v="2903"/>
  </r>
  <r>
    <x v="7"/>
    <x v="99"/>
    <s v="Urban"/>
    <n v="6824"/>
    <x v="2"/>
    <n v="3717"/>
  </r>
  <r>
    <x v="7"/>
    <x v="99"/>
    <s v="Urban"/>
    <n v="6851"/>
    <x v="2"/>
    <n v="1537"/>
  </r>
  <r>
    <x v="7"/>
    <x v="100"/>
    <s v="Urban"/>
    <n v="6514"/>
    <x v="2"/>
    <n v="1052"/>
  </r>
  <r>
    <x v="7"/>
    <x v="99"/>
    <s v="Urban"/>
    <n v="6880"/>
    <x v="5"/>
    <n v="72"/>
  </r>
  <r>
    <x v="7"/>
    <x v="99"/>
    <s v="Urban"/>
    <n v="6905"/>
    <x v="2"/>
    <n v="2498"/>
  </r>
  <r>
    <x v="7"/>
    <x v="100"/>
    <s v="Urban"/>
    <n v="6716"/>
    <x v="2"/>
    <n v="5484"/>
  </r>
  <r>
    <x v="8"/>
    <x v="102"/>
    <s v="Urban"/>
    <n v="20004"/>
    <x v="5"/>
    <n v="1020"/>
  </r>
  <r>
    <x v="8"/>
    <x v="102"/>
    <s v="Urban"/>
    <n v="20007"/>
    <x v="4"/>
    <n v="326"/>
  </r>
  <r>
    <x v="8"/>
    <x v="102"/>
    <s v="Urban"/>
    <n v="20009"/>
    <x v="1"/>
    <n v="1869"/>
  </r>
  <r>
    <x v="8"/>
    <x v="102"/>
    <s v="Urban"/>
    <n v="20007"/>
    <x v="5"/>
    <n v="418"/>
  </r>
  <r>
    <x v="8"/>
    <x v="102"/>
    <s v="Urban"/>
    <n v="20002"/>
    <x v="5"/>
    <n v="1922"/>
  </r>
  <r>
    <x v="9"/>
    <x v="103"/>
    <s v="Suburban"/>
    <n v="19971"/>
    <x v="2"/>
    <n v="1113"/>
  </r>
  <r>
    <x v="9"/>
    <x v="104"/>
    <s v="Suburban"/>
    <n v="19803"/>
    <x v="2"/>
    <n v="1418"/>
  </r>
  <r>
    <x v="9"/>
    <x v="104"/>
    <s v="Suburban"/>
    <n v="19720"/>
    <x v="2"/>
    <n v="1367"/>
  </r>
  <r>
    <x v="9"/>
    <x v="104"/>
    <s v="Suburban"/>
    <n v="19702"/>
    <x v="2"/>
    <n v="2137"/>
  </r>
  <r>
    <x v="9"/>
    <x v="104"/>
    <s v="Suburban"/>
    <n v="19808"/>
    <x v="2"/>
    <n v="1520"/>
  </r>
  <r>
    <x v="9"/>
    <x v="104"/>
    <s v="Suburban"/>
    <n v="19702"/>
    <x v="3"/>
    <n v="1065"/>
  </r>
  <r>
    <x v="9"/>
    <x v="104"/>
    <s v="Suburban"/>
    <n v="19713"/>
    <x v="2"/>
    <n v="1689"/>
  </r>
  <r>
    <x v="9"/>
    <x v="105"/>
    <s v="Urban"/>
    <n v="19901"/>
    <x v="2"/>
    <n v="1016"/>
  </r>
  <r>
    <x v="10"/>
    <x v="106"/>
    <s v="Rural"/>
    <n v="34233"/>
    <x v="0"/>
    <n v="799"/>
  </r>
  <r>
    <x v="10"/>
    <x v="106"/>
    <s v="Rural"/>
    <n v="34293"/>
    <x v="2"/>
    <n v="3209"/>
  </r>
  <r>
    <x v="10"/>
    <x v="106"/>
    <s v="Rural"/>
    <n v="34293"/>
    <x v="1"/>
    <n v="1507"/>
  </r>
  <r>
    <x v="10"/>
    <x v="106"/>
    <s v="Rural"/>
    <n v="34239"/>
    <x v="0"/>
    <n v="1048"/>
  </r>
  <r>
    <x v="10"/>
    <x v="106"/>
    <s v="Rural"/>
    <n v="34232"/>
    <x v="1"/>
    <n v="1005"/>
  </r>
  <r>
    <x v="10"/>
    <x v="18"/>
    <s v="Rural"/>
    <n v="33991"/>
    <x v="1"/>
    <n v="1962"/>
  </r>
  <r>
    <x v="10"/>
    <x v="18"/>
    <s v="Rural"/>
    <n v="33928"/>
    <x v="1"/>
    <n v="1202"/>
  </r>
  <r>
    <x v="10"/>
    <x v="107"/>
    <s v="Rural"/>
    <n v="32960"/>
    <x v="2"/>
    <n v="3115"/>
  </r>
  <r>
    <x v="10"/>
    <x v="108"/>
    <s v="Rural"/>
    <n v="34711"/>
    <x v="2"/>
    <n v="432"/>
  </r>
  <r>
    <x v="10"/>
    <x v="108"/>
    <s v="Rural"/>
    <n v="34711"/>
    <x v="1"/>
    <n v="2158"/>
  </r>
  <r>
    <x v="10"/>
    <x v="109"/>
    <s v="Rural"/>
    <n v="33948"/>
    <x v="2"/>
    <n v="971"/>
  </r>
  <r>
    <x v="10"/>
    <x v="109"/>
    <s v="Rural"/>
    <n v="33948"/>
    <x v="1"/>
    <n v="1318"/>
  </r>
  <r>
    <x v="10"/>
    <x v="110"/>
    <s v="Rural"/>
    <n v="33809"/>
    <x v="2"/>
    <n v="4636"/>
  </r>
  <r>
    <x v="10"/>
    <x v="111"/>
    <s v="Rural"/>
    <n v="32505"/>
    <x v="1"/>
    <n v="2285"/>
  </r>
  <r>
    <x v="10"/>
    <x v="112"/>
    <s v="Rural"/>
    <n v="33037"/>
    <x v="1"/>
    <n v="622"/>
  </r>
  <r>
    <x v="10"/>
    <x v="110"/>
    <s v="Rural"/>
    <n v="33837"/>
    <x v="2"/>
    <n v="1335"/>
  </r>
  <r>
    <x v="10"/>
    <x v="109"/>
    <s v="Rural"/>
    <n v="34223"/>
    <x v="1"/>
    <n v="1049"/>
  </r>
  <r>
    <x v="10"/>
    <x v="108"/>
    <s v="Rural"/>
    <n v="34748"/>
    <x v="1"/>
    <n v="1915"/>
  </r>
  <r>
    <x v="10"/>
    <x v="108"/>
    <s v="Rural"/>
    <n v="32159"/>
    <x v="2"/>
    <n v="1273"/>
  </r>
  <r>
    <x v="10"/>
    <x v="106"/>
    <s v="Rural"/>
    <n v="34236"/>
    <x v="2"/>
    <n v="1766"/>
  </r>
  <r>
    <x v="10"/>
    <x v="106"/>
    <s v="Rural"/>
    <n v="34231"/>
    <x v="2"/>
    <n v="1346"/>
  </r>
  <r>
    <x v="10"/>
    <x v="113"/>
    <s v="Rural"/>
    <n v="34741"/>
    <x v="1"/>
    <n v="2865"/>
  </r>
  <r>
    <x v="10"/>
    <x v="110"/>
    <s v="Rural"/>
    <n v="33880"/>
    <x v="2"/>
    <n v="3841"/>
  </r>
  <r>
    <x v="10"/>
    <x v="110"/>
    <s v="Rural"/>
    <n v="33813"/>
    <x v="2"/>
    <n v="585"/>
  </r>
  <r>
    <x v="10"/>
    <x v="108"/>
    <s v="Rural"/>
    <n v="32757"/>
    <x v="1"/>
    <n v="2246"/>
  </r>
  <r>
    <x v="10"/>
    <x v="111"/>
    <s v="Rural"/>
    <n v="32534"/>
    <x v="1"/>
    <n v="1563"/>
  </r>
  <r>
    <x v="10"/>
    <x v="111"/>
    <s v="Rural"/>
    <n v="32503"/>
    <x v="1"/>
    <n v="3368"/>
  </r>
  <r>
    <x v="10"/>
    <x v="110"/>
    <s v="Rural"/>
    <n v="33803"/>
    <x v="1"/>
    <n v="8643"/>
  </r>
  <r>
    <x v="10"/>
    <x v="114"/>
    <s v="Rural"/>
    <n v="34428"/>
    <x v="0"/>
    <n v="1038"/>
  </r>
  <r>
    <x v="10"/>
    <x v="18"/>
    <s v="Rural"/>
    <n v="33905"/>
    <x v="2"/>
    <n v="1183"/>
  </r>
  <r>
    <x v="10"/>
    <x v="18"/>
    <s v="Rural"/>
    <n v="33913"/>
    <x v="2"/>
    <n v="843"/>
  </r>
  <r>
    <x v="10"/>
    <x v="18"/>
    <s v="Rural"/>
    <n v="33919"/>
    <x v="3"/>
    <n v="245"/>
  </r>
  <r>
    <x v="10"/>
    <x v="112"/>
    <s v="Rural"/>
    <n v="33040"/>
    <x v="0"/>
    <n v="1148"/>
  </r>
  <r>
    <x v="10"/>
    <x v="114"/>
    <s v="Rural"/>
    <n v="34453"/>
    <x v="0"/>
    <n v="784"/>
  </r>
  <r>
    <x v="10"/>
    <x v="113"/>
    <s v="Rural"/>
    <n v="34769"/>
    <x v="2"/>
    <n v="8450"/>
  </r>
  <r>
    <x v="10"/>
    <x v="107"/>
    <s v="Rural"/>
    <n v="32966"/>
    <x v="1"/>
    <n v="2464"/>
  </r>
  <r>
    <x v="10"/>
    <x v="115"/>
    <s v="Rural"/>
    <n v="32034"/>
    <x v="2"/>
    <n v="469"/>
  </r>
  <r>
    <x v="10"/>
    <x v="116"/>
    <s v="Rural"/>
    <n v="32137"/>
    <x v="2"/>
    <n v="1378"/>
  </r>
  <r>
    <x v="10"/>
    <x v="117"/>
    <s v="Rural"/>
    <n v="34606"/>
    <x v="2"/>
    <n v="970"/>
  </r>
  <r>
    <x v="10"/>
    <x v="117"/>
    <s v="Rural"/>
    <n v="34613"/>
    <x v="1"/>
    <n v="1222"/>
  </r>
  <r>
    <x v="10"/>
    <x v="118"/>
    <s v="Rural"/>
    <n v="32177"/>
    <x v="2"/>
    <n v="1468"/>
  </r>
  <r>
    <x v="10"/>
    <x v="18"/>
    <s v="Rural"/>
    <n v="33907"/>
    <x v="1"/>
    <n v="2710"/>
  </r>
  <r>
    <x v="10"/>
    <x v="18"/>
    <s v="Rural"/>
    <n v="33907"/>
    <x v="2"/>
    <n v="1269"/>
  </r>
  <r>
    <x v="10"/>
    <x v="18"/>
    <s v="Rural"/>
    <n v="33990"/>
    <x v="2"/>
    <n v="6486"/>
  </r>
  <r>
    <x v="10"/>
    <x v="119"/>
    <s v="Suburban"/>
    <n v="33160"/>
    <x v="1"/>
    <n v="3158"/>
  </r>
  <r>
    <x v="10"/>
    <x v="120"/>
    <s v="Suburban"/>
    <n v="33761"/>
    <x v="2"/>
    <n v="320"/>
  </r>
  <r>
    <x v="10"/>
    <x v="121"/>
    <s v="Suburban"/>
    <n v="33511"/>
    <x v="1"/>
    <n v="1615"/>
  </r>
  <r>
    <x v="10"/>
    <x v="121"/>
    <s v="Suburban"/>
    <n v="33511"/>
    <x v="2"/>
    <n v="1956"/>
  </r>
  <r>
    <x v="10"/>
    <x v="121"/>
    <s v="Suburban"/>
    <n v="33606"/>
    <x v="4"/>
    <n v="644"/>
  </r>
  <r>
    <x v="10"/>
    <x v="122"/>
    <s v="Suburban"/>
    <n v="34986"/>
    <x v="2"/>
    <n v="2847"/>
  </r>
  <r>
    <x v="10"/>
    <x v="119"/>
    <s v="Suburban"/>
    <n v="33175"/>
    <x v="3"/>
    <n v="257"/>
  </r>
  <r>
    <x v="10"/>
    <x v="123"/>
    <s v="Suburban"/>
    <n v="32571"/>
    <x v="1"/>
    <n v="2272"/>
  </r>
  <r>
    <x v="10"/>
    <x v="51"/>
    <s v="Suburban"/>
    <n v="32818"/>
    <x v="1"/>
    <n v="3244"/>
  </r>
  <r>
    <x v="10"/>
    <x v="121"/>
    <s v="Suburban"/>
    <n v="33612"/>
    <x v="2"/>
    <n v="1658"/>
  </r>
  <r>
    <x v="10"/>
    <x v="121"/>
    <s v="Suburban"/>
    <n v="33609"/>
    <x v="1"/>
    <n v="2366"/>
  </r>
  <r>
    <x v="10"/>
    <x v="51"/>
    <s v="Suburban"/>
    <n v="32828"/>
    <x v="1"/>
    <n v="1093"/>
  </r>
  <r>
    <x v="10"/>
    <x v="51"/>
    <s v="Suburban"/>
    <n v="32837"/>
    <x v="1"/>
    <n v="4814"/>
  </r>
  <r>
    <x v="10"/>
    <x v="119"/>
    <s v="Suburban"/>
    <n v="33012"/>
    <x v="1"/>
    <n v="8386"/>
  </r>
  <r>
    <x v="10"/>
    <x v="51"/>
    <s v="Suburban"/>
    <n v="34787"/>
    <x v="2"/>
    <n v="2080"/>
  </r>
  <r>
    <x v="10"/>
    <x v="119"/>
    <s v="Suburban"/>
    <n v="33181"/>
    <x v="0"/>
    <n v="2953"/>
  </r>
  <r>
    <x v="10"/>
    <x v="51"/>
    <s v="Suburban"/>
    <n v="32789"/>
    <x v="1"/>
    <n v="2931"/>
  </r>
  <r>
    <x v="10"/>
    <x v="51"/>
    <s v="Suburban"/>
    <n v="32806"/>
    <x v="1"/>
    <n v="793"/>
  </r>
  <r>
    <x v="10"/>
    <x v="119"/>
    <s v="Suburban"/>
    <n v="33175"/>
    <x v="0"/>
    <n v="2866"/>
  </r>
  <r>
    <x v="10"/>
    <x v="119"/>
    <s v="Suburban"/>
    <n v="33139"/>
    <x v="1"/>
    <n v="889"/>
  </r>
  <r>
    <x v="10"/>
    <x v="121"/>
    <s v="Suburban"/>
    <n v="33607"/>
    <x v="2"/>
    <n v="1987"/>
  </r>
  <r>
    <x v="10"/>
    <x v="51"/>
    <s v="Suburban"/>
    <n v="32819"/>
    <x v="1"/>
    <n v="4176"/>
  </r>
  <r>
    <x v="10"/>
    <x v="124"/>
    <s v="Suburban"/>
    <n v="34108"/>
    <x v="1"/>
    <n v="1402"/>
  </r>
  <r>
    <x v="10"/>
    <x v="119"/>
    <s v="Suburban"/>
    <n v="33180"/>
    <x v="3"/>
    <n v="1220"/>
  </r>
  <r>
    <x v="10"/>
    <x v="119"/>
    <s v="Suburban"/>
    <n v="33157"/>
    <x v="2"/>
    <n v="2157"/>
  </r>
  <r>
    <x v="10"/>
    <x v="124"/>
    <s v="Suburban"/>
    <n v="34108"/>
    <x v="5"/>
    <n v="4027"/>
  </r>
  <r>
    <x v="10"/>
    <x v="124"/>
    <s v="Suburban"/>
    <n v="34113"/>
    <x v="2"/>
    <n v="3018"/>
  </r>
  <r>
    <x v="10"/>
    <x v="119"/>
    <s v="Suburban"/>
    <n v="33030"/>
    <x v="0"/>
    <n v="2066"/>
  </r>
  <r>
    <x v="10"/>
    <x v="124"/>
    <s v="Suburban"/>
    <n v="34105"/>
    <x v="0"/>
    <n v="3825"/>
  </r>
  <r>
    <x v="10"/>
    <x v="119"/>
    <s v="Suburban"/>
    <n v="33012"/>
    <x v="2"/>
    <n v="1630"/>
  </r>
  <r>
    <x v="10"/>
    <x v="119"/>
    <s v="Suburban"/>
    <n v="33155"/>
    <x v="1"/>
    <n v="8621"/>
  </r>
  <r>
    <x v="10"/>
    <x v="119"/>
    <s v="Suburban"/>
    <n v="33156"/>
    <x v="1"/>
    <n v="3336"/>
  </r>
  <r>
    <x v="10"/>
    <x v="119"/>
    <s v="Suburban"/>
    <n v="33172"/>
    <x v="1"/>
    <n v="2125"/>
  </r>
  <r>
    <x v="10"/>
    <x v="119"/>
    <s v="Suburban"/>
    <n v="33156"/>
    <x v="0"/>
    <n v="4838"/>
  </r>
  <r>
    <x v="10"/>
    <x v="119"/>
    <s v="Suburban"/>
    <n v="33145"/>
    <x v="1"/>
    <n v="2146"/>
  </r>
  <r>
    <x v="10"/>
    <x v="119"/>
    <s v="Suburban"/>
    <n v="33137"/>
    <x v="2"/>
    <n v="2511"/>
  </r>
  <r>
    <x v="10"/>
    <x v="119"/>
    <s v="Suburban"/>
    <n v="33126"/>
    <x v="0"/>
    <n v="1754"/>
  </r>
  <r>
    <x v="10"/>
    <x v="119"/>
    <s v="Suburban"/>
    <n v="33012"/>
    <x v="3"/>
    <n v="1956"/>
  </r>
  <r>
    <x v="10"/>
    <x v="51"/>
    <s v="Suburban"/>
    <n v="32809"/>
    <x v="1"/>
    <n v="2400"/>
  </r>
  <r>
    <x v="10"/>
    <x v="120"/>
    <s v="Suburban"/>
    <n v="33781"/>
    <x v="1"/>
    <n v="2244"/>
  </r>
  <r>
    <x v="10"/>
    <x v="125"/>
    <s v="Suburban"/>
    <n v="32224"/>
    <x v="0"/>
    <n v="1549"/>
  </r>
  <r>
    <x v="10"/>
    <x v="119"/>
    <s v="Suburban"/>
    <n v="33166"/>
    <x v="1"/>
    <n v="3791"/>
  </r>
  <r>
    <x v="10"/>
    <x v="119"/>
    <s v="Suburban"/>
    <n v="33186"/>
    <x v="1"/>
    <n v="3277"/>
  </r>
  <r>
    <x v="10"/>
    <x v="119"/>
    <s v="Suburban"/>
    <n v="33186"/>
    <x v="2"/>
    <n v="2579"/>
  </r>
  <r>
    <x v="10"/>
    <x v="120"/>
    <s v="Suburban"/>
    <n v="33778"/>
    <x v="2"/>
    <n v="1893"/>
  </r>
  <r>
    <x v="10"/>
    <x v="122"/>
    <s v="Suburban"/>
    <n v="34982"/>
    <x v="2"/>
    <n v="3346"/>
  </r>
  <r>
    <x v="10"/>
    <x v="120"/>
    <s v="Suburban"/>
    <n v="33756"/>
    <x v="1"/>
    <n v="96"/>
  </r>
  <r>
    <x v="10"/>
    <x v="51"/>
    <s v="Suburban"/>
    <n v="32822"/>
    <x v="2"/>
    <n v="1518"/>
  </r>
  <r>
    <x v="10"/>
    <x v="120"/>
    <s v="Suburban"/>
    <n v="33713"/>
    <x v="1"/>
    <n v="6306"/>
  </r>
  <r>
    <x v="10"/>
    <x v="125"/>
    <s v="Suburban"/>
    <n v="32250"/>
    <x v="2"/>
    <n v="1191"/>
  </r>
  <r>
    <x v="10"/>
    <x v="125"/>
    <s v="Suburban"/>
    <n v="32250"/>
    <x v="1"/>
    <n v="1911"/>
  </r>
  <r>
    <x v="10"/>
    <x v="119"/>
    <s v="Suburban"/>
    <n v="33014"/>
    <x v="1"/>
    <n v="1995"/>
  </r>
  <r>
    <x v="10"/>
    <x v="125"/>
    <s v="Suburban"/>
    <n v="32223"/>
    <x v="2"/>
    <n v="1183"/>
  </r>
  <r>
    <x v="10"/>
    <x v="51"/>
    <s v="Suburban"/>
    <n v="32803"/>
    <x v="2"/>
    <n v="2610"/>
  </r>
  <r>
    <x v="10"/>
    <x v="125"/>
    <s v="Suburban"/>
    <n v="32222"/>
    <x v="0"/>
    <n v="1373"/>
  </r>
  <r>
    <x v="10"/>
    <x v="125"/>
    <s v="Suburban"/>
    <n v="32207"/>
    <x v="2"/>
    <n v="916"/>
  </r>
  <r>
    <x v="10"/>
    <x v="126"/>
    <s v="Suburban"/>
    <n v="32405"/>
    <x v="1"/>
    <n v="2673"/>
  </r>
  <r>
    <x v="10"/>
    <x v="121"/>
    <s v="Suburban"/>
    <n v="33563"/>
    <x v="2"/>
    <n v="3422"/>
  </r>
  <r>
    <x v="10"/>
    <x v="51"/>
    <s v="Suburban"/>
    <n v="32803"/>
    <x v="1"/>
    <n v="899"/>
  </r>
  <r>
    <x v="10"/>
    <x v="124"/>
    <s v="Suburban"/>
    <n v="34110"/>
    <x v="2"/>
    <n v="3443"/>
  </r>
  <r>
    <x v="10"/>
    <x v="124"/>
    <s v="Suburban"/>
    <n v="34108"/>
    <x v="4"/>
    <n v="871"/>
  </r>
  <r>
    <x v="10"/>
    <x v="124"/>
    <s v="Suburban"/>
    <n v="34102"/>
    <x v="1"/>
    <n v="962"/>
  </r>
  <r>
    <x v="10"/>
    <x v="121"/>
    <s v="Suburban"/>
    <n v="33619"/>
    <x v="1"/>
    <n v="1808"/>
  </r>
  <r>
    <x v="10"/>
    <x v="121"/>
    <s v="Suburban"/>
    <n v="33618"/>
    <x v="2"/>
    <n v="2060"/>
  </r>
  <r>
    <x v="10"/>
    <x v="121"/>
    <s v="Suburban"/>
    <n v="33618"/>
    <x v="1"/>
    <n v="915"/>
  </r>
  <r>
    <x v="10"/>
    <x v="119"/>
    <s v="Suburban"/>
    <n v="33176"/>
    <x v="5"/>
    <n v="676"/>
  </r>
  <r>
    <x v="10"/>
    <x v="121"/>
    <s v="Suburban"/>
    <n v="33634"/>
    <x v="1"/>
    <n v="523"/>
  </r>
  <r>
    <x v="10"/>
    <x v="125"/>
    <s v="Suburban"/>
    <n v="32205"/>
    <x v="1"/>
    <n v="1818"/>
  </r>
  <r>
    <x v="10"/>
    <x v="125"/>
    <s v="Suburban"/>
    <n v="32218"/>
    <x v="0"/>
    <n v="2238"/>
  </r>
  <r>
    <x v="10"/>
    <x v="125"/>
    <s v="Suburban"/>
    <n v="32225"/>
    <x v="0"/>
    <n v="2247"/>
  </r>
  <r>
    <x v="10"/>
    <x v="125"/>
    <s v="Suburban"/>
    <n v="32244"/>
    <x v="1"/>
    <n v="4775"/>
  </r>
  <r>
    <x v="10"/>
    <x v="125"/>
    <s v="Suburban"/>
    <n v="32256"/>
    <x v="1"/>
    <n v="1277"/>
  </r>
  <r>
    <x v="10"/>
    <x v="125"/>
    <s v="Suburban"/>
    <n v="32246"/>
    <x v="2"/>
    <n v="851"/>
  </r>
  <r>
    <x v="10"/>
    <x v="120"/>
    <s v="Suburban"/>
    <n v="33704"/>
    <x v="1"/>
    <n v="1707"/>
  </r>
  <r>
    <x v="10"/>
    <x v="125"/>
    <s v="Suburban"/>
    <n v="32257"/>
    <x v="1"/>
    <n v="2517"/>
  </r>
  <r>
    <x v="10"/>
    <x v="120"/>
    <s v="Suburban"/>
    <n v="33710"/>
    <x v="1"/>
    <n v="1046"/>
  </r>
  <r>
    <x v="10"/>
    <x v="120"/>
    <s v="Suburban"/>
    <n v="34689"/>
    <x v="2"/>
    <n v="1922"/>
  </r>
  <r>
    <x v="10"/>
    <x v="51"/>
    <s v="Suburban"/>
    <n v="32712"/>
    <x v="2"/>
    <n v="1852"/>
  </r>
  <r>
    <x v="10"/>
    <x v="127"/>
    <s v="Suburban"/>
    <n v="34994"/>
    <x v="2"/>
    <n v="846"/>
  </r>
  <r>
    <x v="10"/>
    <x v="127"/>
    <s v="Suburban"/>
    <n v="34994"/>
    <x v="1"/>
    <n v="529"/>
  </r>
  <r>
    <x v="10"/>
    <x v="120"/>
    <s v="Suburban"/>
    <n v="34684"/>
    <x v="1"/>
    <n v="6641"/>
  </r>
  <r>
    <x v="10"/>
    <x v="126"/>
    <s v="Suburban"/>
    <n v="32407"/>
    <x v="1"/>
    <n v="3205"/>
  </r>
  <r>
    <x v="10"/>
    <x v="126"/>
    <s v="Suburban"/>
    <n v="32405"/>
    <x v="3"/>
    <n v="1306"/>
  </r>
  <r>
    <x v="10"/>
    <x v="120"/>
    <s v="Suburban"/>
    <n v="33764"/>
    <x v="1"/>
    <n v="4023"/>
  </r>
  <r>
    <x v="10"/>
    <x v="123"/>
    <s v="Suburban"/>
    <n v="32561"/>
    <x v="1"/>
    <n v="1477"/>
  </r>
  <r>
    <x v="10"/>
    <x v="128"/>
    <s v="Suburban"/>
    <n v="32055"/>
    <x v="0"/>
    <n v="1519"/>
  </r>
  <r>
    <x v="10"/>
    <x v="124"/>
    <s v="Suburban"/>
    <n v="34109"/>
    <x v="2"/>
    <n v="287"/>
  </r>
  <r>
    <x v="10"/>
    <x v="121"/>
    <s v="Suburban"/>
    <n v="33607"/>
    <x v="3"/>
    <n v="1276"/>
  </r>
  <r>
    <x v="10"/>
    <x v="120"/>
    <s v="Suburban"/>
    <n v="33761"/>
    <x v="1"/>
    <n v="1161"/>
  </r>
  <r>
    <x v="10"/>
    <x v="129"/>
    <s v="Urban"/>
    <n v="34209"/>
    <x v="2"/>
    <n v="2449"/>
  </r>
  <r>
    <x v="10"/>
    <x v="130"/>
    <s v="Urban"/>
    <n v="33463"/>
    <x v="1"/>
    <n v="7843"/>
  </r>
  <r>
    <x v="10"/>
    <x v="131"/>
    <s v="Urban"/>
    <n v="32608"/>
    <x v="0"/>
    <n v="1522"/>
  </r>
  <r>
    <x v="10"/>
    <x v="132"/>
    <s v="Urban"/>
    <n v="33021"/>
    <x v="1"/>
    <n v="1960"/>
  </r>
  <r>
    <x v="10"/>
    <x v="130"/>
    <s v="Urban"/>
    <n v="33426"/>
    <x v="1"/>
    <n v="1696"/>
  </r>
  <r>
    <x v="10"/>
    <x v="129"/>
    <s v="Urban"/>
    <n v="34208"/>
    <x v="1"/>
    <n v="1646"/>
  </r>
  <r>
    <x v="10"/>
    <x v="132"/>
    <s v="Urban"/>
    <n v="33020"/>
    <x v="0"/>
    <n v="2576"/>
  </r>
  <r>
    <x v="10"/>
    <x v="130"/>
    <s v="Urban"/>
    <n v="33484"/>
    <x v="1"/>
    <n v="1741"/>
  </r>
  <r>
    <x v="10"/>
    <x v="130"/>
    <s v="Urban"/>
    <n v="33432"/>
    <x v="1"/>
    <n v="1559"/>
  </r>
  <r>
    <x v="10"/>
    <x v="130"/>
    <s v="Urban"/>
    <n v="33431"/>
    <x v="1"/>
    <n v="1452"/>
  </r>
  <r>
    <x v="10"/>
    <x v="133"/>
    <s v="Urban"/>
    <n v="33541"/>
    <x v="2"/>
    <n v="2265"/>
  </r>
  <r>
    <x v="10"/>
    <x v="132"/>
    <s v="Urban"/>
    <n v="33331"/>
    <x v="1"/>
    <n v="3512"/>
  </r>
  <r>
    <x v="10"/>
    <x v="132"/>
    <s v="Urban"/>
    <n v="33304"/>
    <x v="1"/>
    <n v="1332"/>
  </r>
  <r>
    <x v="10"/>
    <x v="132"/>
    <s v="Urban"/>
    <n v="33076"/>
    <x v="1"/>
    <n v="234"/>
  </r>
  <r>
    <x v="10"/>
    <x v="132"/>
    <s v="Urban"/>
    <n v="33071"/>
    <x v="1"/>
    <n v="1642"/>
  </r>
  <r>
    <x v="10"/>
    <x v="130"/>
    <s v="Urban"/>
    <n v="33426"/>
    <x v="3"/>
    <n v="392"/>
  </r>
  <r>
    <x v="10"/>
    <x v="130"/>
    <s v="Urban"/>
    <n v="33414"/>
    <x v="1"/>
    <n v="3515"/>
  </r>
  <r>
    <x v="10"/>
    <x v="134"/>
    <s v="Urban"/>
    <n v="32765"/>
    <x v="3"/>
    <n v="571"/>
  </r>
  <r>
    <x v="10"/>
    <x v="134"/>
    <s v="Urban"/>
    <n v="32714"/>
    <x v="3"/>
    <n v="1920"/>
  </r>
  <r>
    <x v="10"/>
    <x v="130"/>
    <s v="Urban"/>
    <n v="33409"/>
    <x v="1"/>
    <n v="2953"/>
  </r>
  <r>
    <x v="10"/>
    <x v="131"/>
    <s v="Urban"/>
    <n v="32605"/>
    <x v="1"/>
    <n v="2190"/>
  </r>
  <r>
    <x v="10"/>
    <x v="130"/>
    <s v="Urban"/>
    <n v="33403"/>
    <x v="2"/>
    <n v="989"/>
  </r>
  <r>
    <x v="10"/>
    <x v="132"/>
    <s v="Urban"/>
    <n v="33060"/>
    <x v="1"/>
    <n v="5267"/>
  </r>
  <r>
    <x v="10"/>
    <x v="135"/>
    <s v="Urban"/>
    <n v="32952"/>
    <x v="1"/>
    <n v="1158"/>
  </r>
  <r>
    <x v="10"/>
    <x v="136"/>
    <s v="Urban"/>
    <n v="32548"/>
    <x v="1"/>
    <n v="1758"/>
  </r>
  <r>
    <x v="10"/>
    <x v="136"/>
    <s v="Urban"/>
    <n v="32541"/>
    <x v="1"/>
    <n v="1365"/>
  </r>
  <r>
    <x v="10"/>
    <x v="137"/>
    <s v="Urban"/>
    <n v="33870"/>
    <x v="1"/>
    <n v="3500"/>
  </r>
  <r>
    <x v="10"/>
    <x v="132"/>
    <s v="Urban"/>
    <n v="33319"/>
    <x v="2"/>
    <n v="986"/>
  </r>
  <r>
    <x v="10"/>
    <x v="132"/>
    <s v="Urban"/>
    <n v="33322"/>
    <x v="3"/>
    <n v="240"/>
  </r>
  <r>
    <x v="10"/>
    <x v="132"/>
    <s v="Urban"/>
    <n v="33441"/>
    <x v="1"/>
    <n v="2201"/>
  </r>
  <r>
    <x v="10"/>
    <x v="133"/>
    <s v="Urban"/>
    <n v="33544"/>
    <x v="1"/>
    <n v="2217"/>
  </r>
  <r>
    <x v="10"/>
    <x v="138"/>
    <s v="Urban"/>
    <n v="32308"/>
    <x v="1"/>
    <n v="1311"/>
  </r>
  <r>
    <x v="10"/>
    <x v="139"/>
    <s v="Urban"/>
    <n v="34491"/>
    <x v="1"/>
    <n v="1568"/>
  </r>
  <r>
    <x v="10"/>
    <x v="139"/>
    <s v="Urban"/>
    <n v="34474"/>
    <x v="1"/>
    <n v="2683"/>
  </r>
  <r>
    <x v="10"/>
    <x v="132"/>
    <s v="Urban"/>
    <n v="33324"/>
    <x v="1"/>
    <n v="3586"/>
  </r>
  <r>
    <x v="10"/>
    <x v="132"/>
    <s v="Urban"/>
    <n v="33323"/>
    <x v="1"/>
    <n v="1762"/>
  </r>
  <r>
    <x v="10"/>
    <x v="132"/>
    <s v="Urban"/>
    <n v="33316"/>
    <x v="1"/>
    <n v="531"/>
  </r>
  <r>
    <x v="10"/>
    <x v="132"/>
    <s v="Urban"/>
    <n v="33309"/>
    <x v="1"/>
    <n v="1847"/>
  </r>
  <r>
    <x v="10"/>
    <x v="132"/>
    <s v="Urban"/>
    <n v="33304"/>
    <x v="3"/>
    <n v="108"/>
  </r>
  <r>
    <x v="10"/>
    <x v="132"/>
    <s v="Urban"/>
    <n v="33073"/>
    <x v="1"/>
    <n v="2744"/>
  </r>
  <r>
    <x v="10"/>
    <x v="130"/>
    <s v="Urban"/>
    <n v="33410"/>
    <x v="0"/>
    <n v="825"/>
  </r>
  <r>
    <x v="10"/>
    <x v="130"/>
    <s v="Urban"/>
    <n v="33401"/>
    <x v="4"/>
    <n v="1784"/>
  </r>
  <r>
    <x v="10"/>
    <x v="134"/>
    <s v="Urban"/>
    <n v="32765"/>
    <x v="2"/>
    <n v="2699"/>
  </r>
  <r>
    <x v="10"/>
    <x v="132"/>
    <s v="Urban"/>
    <n v="33064"/>
    <x v="2"/>
    <n v="961"/>
  </r>
  <r>
    <x v="10"/>
    <x v="132"/>
    <s v="Urban"/>
    <n v="33026"/>
    <x v="1"/>
    <n v="5866"/>
  </r>
  <r>
    <x v="10"/>
    <x v="132"/>
    <s v="Urban"/>
    <n v="33009"/>
    <x v="0"/>
    <n v="486"/>
  </r>
  <r>
    <x v="10"/>
    <x v="139"/>
    <s v="Urban"/>
    <n v="34470"/>
    <x v="2"/>
    <n v="1882"/>
  </r>
  <r>
    <x v="10"/>
    <x v="139"/>
    <s v="Urban"/>
    <n v="34471"/>
    <x v="2"/>
    <n v="3398"/>
  </r>
  <r>
    <x v="10"/>
    <x v="133"/>
    <s v="Urban"/>
    <n v="34668"/>
    <x v="1"/>
    <n v="1109"/>
  </r>
  <r>
    <x v="10"/>
    <x v="134"/>
    <s v="Urban"/>
    <n v="32765"/>
    <x v="1"/>
    <n v="2190"/>
  </r>
  <r>
    <x v="10"/>
    <x v="134"/>
    <s v="Urban"/>
    <n v="32714"/>
    <x v="1"/>
    <n v="7689"/>
  </r>
  <r>
    <x v="10"/>
    <x v="134"/>
    <s v="Urban"/>
    <n v="32707"/>
    <x v="2"/>
    <n v="1894"/>
  </r>
  <r>
    <x v="10"/>
    <x v="140"/>
    <s v="Urban"/>
    <n v="32174"/>
    <x v="1"/>
    <n v="1485"/>
  </r>
  <r>
    <x v="10"/>
    <x v="134"/>
    <s v="Urban"/>
    <n v="32746"/>
    <x v="1"/>
    <n v="1093"/>
  </r>
  <r>
    <x v="10"/>
    <x v="135"/>
    <s v="Urban"/>
    <n v="32904"/>
    <x v="1"/>
    <n v="2627"/>
  </r>
  <r>
    <x v="10"/>
    <x v="134"/>
    <s v="Urban"/>
    <n v="32746"/>
    <x v="2"/>
    <n v="3034"/>
  </r>
  <r>
    <x v="10"/>
    <x v="140"/>
    <s v="Urban"/>
    <n v="32114"/>
    <x v="2"/>
    <n v="2594"/>
  </r>
  <r>
    <x v="10"/>
    <x v="140"/>
    <s v="Urban"/>
    <n v="32114"/>
    <x v="1"/>
    <n v="3063"/>
  </r>
  <r>
    <x v="10"/>
    <x v="138"/>
    <s v="Urban"/>
    <n v="32303"/>
    <x v="2"/>
    <n v="1264"/>
  </r>
  <r>
    <x v="10"/>
    <x v="136"/>
    <s v="Urban"/>
    <n v="32536"/>
    <x v="2"/>
    <n v="1952"/>
  </r>
  <r>
    <x v="10"/>
    <x v="140"/>
    <s v="Urban"/>
    <n v="32720"/>
    <x v="1"/>
    <n v="1860"/>
  </r>
  <r>
    <x v="10"/>
    <x v="141"/>
    <s v="Urban"/>
    <n v="32073"/>
    <x v="2"/>
    <n v="4218"/>
  </r>
  <r>
    <x v="10"/>
    <x v="135"/>
    <s v="Urban"/>
    <n v="32780"/>
    <x v="2"/>
    <n v="1254"/>
  </r>
  <r>
    <x v="10"/>
    <x v="135"/>
    <s v="Urban"/>
    <n v="32905"/>
    <x v="1"/>
    <n v="5994"/>
  </r>
  <r>
    <x v="10"/>
    <x v="135"/>
    <s v="Urban"/>
    <n v="32905"/>
    <x v="2"/>
    <n v="1115"/>
  </r>
  <r>
    <x v="10"/>
    <x v="130"/>
    <s v="Urban"/>
    <n v="33426"/>
    <x v="2"/>
    <n v="1867"/>
  </r>
  <r>
    <x v="10"/>
    <x v="130"/>
    <s v="Urban"/>
    <n v="33434"/>
    <x v="1"/>
    <n v="2035"/>
  </r>
  <r>
    <x v="10"/>
    <x v="135"/>
    <s v="Urban"/>
    <n v="32935"/>
    <x v="2"/>
    <n v="811"/>
  </r>
  <r>
    <x v="10"/>
    <x v="130"/>
    <s v="Urban"/>
    <n v="33483"/>
    <x v="1"/>
    <n v="623"/>
  </r>
  <r>
    <x v="10"/>
    <x v="130"/>
    <s v="Urban"/>
    <n v="33477"/>
    <x v="1"/>
    <n v="1478"/>
  </r>
  <r>
    <x v="10"/>
    <x v="131"/>
    <s v="Urban"/>
    <n v="32607"/>
    <x v="3"/>
    <n v="25"/>
  </r>
  <r>
    <x v="10"/>
    <x v="131"/>
    <s v="Urban"/>
    <n v="32601"/>
    <x v="1"/>
    <n v="975"/>
  </r>
  <r>
    <x v="10"/>
    <x v="138"/>
    <s v="Urban"/>
    <n v="32301"/>
    <x v="1"/>
    <n v="3445"/>
  </r>
  <r>
    <x v="10"/>
    <x v="135"/>
    <s v="Urban"/>
    <n v="32937"/>
    <x v="1"/>
    <n v="1652"/>
  </r>
  <r>
    <x v="10"/>
    <x v="140"/>
    <s v="Urban"/>
    <n v="32174"/>
    <x v="3"/>
    <n v="2692"/>
  </r>
  <r>
    <x v="10"/>
    <x v="142"/>
    <s v="Urban"/>
    <n v="32086"/>
    <x v="0"/>
    <n v="3606"/>
  </r>
  <r>
    <x v="10"/>
    <x v="130"/>
    <s v="Urban"/>
    <n v="33410"/>
    <x v="1"/>
    <n v="972"/>
  </r>
  <r>
    <x v="10"/>
    <x v="142"/>
    <s v="Urban"/>
    <n v="32084"/>
    <x v="2"/>
    <n v="4533"/>
  </r>
  <r>
    <x v="10"/>
    <x v="129"/>
    <s v="Urban"/>
    <n v="34201"/>
    <x v="2"/>
    <n v="1013"/>
  </r>
  <r>
    <x v="10"/>
    <x v="130"/>
    <s v="Urban"/>
    <n v="33477"/>
    <x v="2"/>
    <n v="646"/>
  </r>
  <r>
    <x v="10"/>
    <x v="129"/>
    <s v="Urban"/>
    <n v="34202"/>
    <x v="3"/>
    <n v="791"/>
  </r>
  <r>
    <x v="10"/>
    <x v="129"/>
    <s v="Urban"/>
    <n v="34205"/>
    <x v="1"/>
    <n v="231"/>
  </r>
  <r>
    <x v="10"/>
    <x v="140"/>
    <s v="Urban"/>
    <n v="32763"/>
    <x v="1"/>
    <n v="4156"/>
  </r>
  <r>
    <x v="10"/>
    <x v="135"/>
    <s v="Urban"/>
    <n v="32940"/>
    <x v="1"/>
    <n v="371"/>
  </r>
  <r>
    <x v="10"/>
    <x v="130"/>
    <s v="Urban"/>
    <n v="33409"/>
    <x v="2"/>
    <n v="1005"/>
  </r>
  <r>
    <x v="11"/>
    <x v="143"/>
    <s v="Rural"/>
    <n v="31794"/>
    <x v="2"/>
    <n v="1563"/>
  </r>
  <r>
    <x v="11"/>
    <x v="144"/>
    <s v="Rural"/>
    <n v="31419"/>
    <x v="2"/>
    <n v="1951"/>
  </r>
  <r>
    <x v="11"/>
    <x v="145"/>
    <s v="Rural"/>
    <n v="30038"/>
    <x v="2"/>
    <n v="1482"/>
  </r>
  <r>
    <x v="11"/>
    <x v="145"/>
    <s v="Rural"/>
    <n v="30341"/>
    <x v="1"/>
    <n v="1467"/>
  </r>
  <r>
    <x v="11"/>
    <x v="146"/>
    <s v="Rural"/>
    <n v="31909"/>
    <x v="2"/>
    <n v="3417"/>
  </r>
  <r>
    <x v="11"/>
    <x v="145"/>
    <s v="Rural"/>
    <n v="30345"/>
    <x v="1"/>
    <n v="550"/>
  </r>
  <r>
    <x v="11"/>
    <x v="145"/>
    <s v="Rural"/>
    <n v="30307"/>
    <x v="1"/>
    <n v="1642"/>
  </r>
  <r>
    <x v="11"/>
    <x v="145"/>
    <s v="Rural"/>
    <n v="30033"/>
    <x v="3"/>
    <n v="105"/>
  </r>
  <r>
    <x v="11"/>
    <x v="145"/>
    <s v="Rural"/>
    <n v="30084"/>
    <x v="2"/>
    <n v="862"/>
  </r>
  <r>
    <x v="11"/>
    <x v="144"/>
    <s v="Rural"/>
    <n v="31404"/>
    <x v="2"/>
    <n v="913"/>
  </r>
  <r>
    <x v="11"/>
    <x v="147"/>
    <s v="Rural"/>
    <n v="30253"/>
    <x v="1"/>
    <n v="1819"/>
  </r>
  <r>
    <x v="11"/>
    <x v="146"/>
    <s v="Rural"/>
    <n v="31904"/>
    <x v="1"/>
    <n v="1719"/>
  </r>
  <r>
    <x v="11"/>
    <x v="145"/>
    <s v="Rural"/>
    <n v="30038"/>
    <x v="3"/>
    <n v="572"/>
  </r>
  <r>
    <x v="11"/>
    <x v="82"/>
    <s v="Rural"/>
    <n v="30122"/>
    <x v="1"/>
    <n v="803"/>
  </r>
  <r>
    <x v="11"/>
    <x v="145"/>
    <s v="Rural"/>
    <n v="30083"/>
    <x v="1"/>
    <n v="1878"/>
  </r>
  <r>
    <x v="11"/>
    <x v="145"/>
    <s v="Rural"/>
    <n v="30329"/>
    <x v="1"/>
    <n v="661"/>
  </r>
  <r>
    <x v="11"/>
    <x v="148"/>
    <s v="Rural"/>
    <n v="30720"/>
    <x v="1"/>
    <n v="1465"/>
  </r>
  <r>
    <x v="11"/>
    <x v="149"/>
    <s v="Rural"/>
    <n v="30165"/>
    <x v="2"/>
    <n v="3315"/>
  </r>
  <r>
    <x v="11"/>
    <x v="150"/>
    <s v="Rural"/>
    <n v="30141"/>
    <x v="0"/>
    <n v="2363"/>
  </r>
  <r>
    <x v="11"/>
    <x v="144"/>
    <s v="Rural"/>
    <n v="31406"/>
    <x v="1"/>
    <n v="1866"/>
  </r>
  <r>
    <x v="11"/>
    <x v="150"/>
    <s v="Rural"/>
    <n v="30141"/>
    <x v="3"/>
    <n v="719"/>
  </r>
  <r>
    <x v="11"/>
    <x v="151"/>
    <s v="Rural"/>
    <n v="30240"/>
    <x v="2"/>
    <n v="1473"/>
  </r>
  <r>
    <x v="11"/>
    <x v="144"/>
    <s v="Rural"/>
    <n v="31405"/>
    <x v="0"/>
    <n v="1668"/>
  </r>
  <r>
    <x v="11"/>
    <x v="152"/>
    <s v="Rural"/>
    <n v="30121"/>
    <x v="2"/>
    <n v="4957"/>
  </r>
  <r>
    <x v="11"/>
    <x v="82"/>
    <s v="Rural"/>
    <n v="30135"/>
    <x v="0"/>
    <n v="3558"/>
  </r>
  <r>
    <x v="11"/>
    <x v="153"/>
    <s v="Suburban"/>
    <n v="30265"/>
    <x v="1"/>
    <n v="4110"/>
  </r>
  <r>
    <x v="11"/>
    <x v="154"/>
    <s v="Suburban"/>
    <n v="31707"/>
    <x v="3"/>
    <n v="379"/>
  </r>
  <r>
    <x v="11"/>
    <x v="155"/>
    <s v="Suburban"/>
    <n v="30606"/>
    <x v="3"/>
    <n v="417"/>
  </r>
  <r>
    <x v="11"/>
    <x v="156"/>
    <s v="Suburban"/>
    <n v="30114"/>
    <x v="2"/>
    <n v="3379"/>
  </r>
  <r>
    <x v="11"/>
    <x v="156"/>
    <s v="Suburban"/>
    <n v="30189"/>
    <x v="0"/>
    <n v="3065"/>
  </r>
  <r>
    <x v="11"/>
    <x v="157"/>
    <s v="Suburban"/>
    <n v="30680"/>
    <x v="3"/>
    <n v="1047"/>
  </r>
  <r>
    <x v="11"/>
    <x v="158"/>
    <s v="Suburban"/>
    <n v="30066"/>
    <x v="1"/>
    <n v="2529"/>
  </r>
  <r>
    <x v="11"/>
    <x v="159"/>
    <s v="Suburban"/>
    <n v="30701"/>
    <x v="1"/>
    <n v="1701"/>
  </r>
  <r>
    <x v="11"/>
    <x v="155"/>
    <s v="Suburban"/>
    <n v="30606"/>
    <x v="0"/>
    <n v="2014"/>
  </r>
  <r>
    <x v="11"/>
    <x v="160"/>
    <s v="Suburban"/>
    <n v="30324"/>
    <x v="1"/>
    <n v="404"/>
  </r>
  <r>
    <x v="11"/>
    <x v="155"/>
    <s v="Suburban"/>
    <n v="30606"/>
    <x v="1"/>
    <n v="2250"/>
  </r>
  <r>
    <x v="11"/>
    <x v="158"/>
    <s v="Suburban"/>
    <n v="30339"/>
    <x v="0"/>
    <n v="1782"/>
  </r>
  <r>
    <x v="11"/>
    <x v="158"/>
    <s v="Suburban"/>
    <n v="30339"/>
    <x v="3"/>
    <n v="501"/>
  </r>
  <r>
    <x v="11"/>
    <x v="160"/>
    <s v="Suburban"/>
    <n v="30328"/>
    <x v="1"/>
    <n v="1044"/>
  </r>
  <r>
    <x v="11"/>
    <x v="158"/>
    <s v="Suburban"/>
    <n v="30068"/>
    <x v="1"/>
    <n v="1657"/>
  </r>
  <r>
    <x v="11"/>
    <x v="161"/>
    <s v="Suburban"/>
    <n v="30542"/>
    <x v="0"/>
    <n v="4892"/>
  </r>
  <r>
    <x v="11"/>
    <x v="162"/>
    <s v="Suburban"/>
    <n v="31206"/>
    <x v="2"/>
    <n v="1688"/>
  </r>
  <r>
    <x v="11"/>
    <x v="162"/>
    <s v="Suburban"/>
    <n v="31206"/>
    <x v="1"/>
    <n v="1250"/>
  </r>
  <r>
    <x v="11"/>
    <x v="160"/>
    <s v="Suburban"/>
    <n v="30076"/>
    <x v="3"/>
    <n v="449"/>
  </r>
  <r>
    <x v="11"/>
    <x v="162"/>
    <s v="Suburban"/>
    <n v="31210"/>
    <x v="3"/>
    <n v="114"/>
  </r>
  <r>
    <x v="11"/>
    <x v="160"/>
    <s v="Suburban"/>
    <n v="30004"/>
    <x v="1"/>
    <n v="57"/>
  </r>
  <r>
    <x v="11"/>
    <x v="158"/>
    <s v="Suburban"/>
    <n v="30106"/>
    <x v="0"/>
    <n v="1987"/>
  </r>
  <r>
    <x v="11"/>
    <x v="160"/>
    <s v="Suburban"/>
    <n v="30318"/>
    <x v="1"/>
    <n v="2007"/>
  </r>
  <r>
    <x v="11"/>
    <x v="160"/>
    <s v="Suburban"/>
    <n v="30309"/>
    <x v="3"/>
    <n v="498"/>
  </r>
  <r>
    <x v="11"/>
    <x v="160"/>
    <s v="Suburban"/>
    <n v="30097"/>
    <x v="3"/>
    <n v="192"/>
  </r>
  <r>
    <x v="11"/>
    <x v="160"/>
    <s v="Suburban"/>
    <n v="30076"/>
    <x v="1"/>
    <n v="1086"/>
  </r>
  <r>
    <x v="11"/>
    <x v="160"/>
    <s v="Suburban"/>
    <n v="30075"/>
    <x v="0"/>
    <n v="4897"/>
  </r>
  <r>
    <x v="11"/>
    <x v="158"/>
    <s v="Suburban"/>
    <n v="30062"/>
    <x v="1"/>
    <n v="421"/>
  </r>
  <r>
    <x v="11"/>
    <x v="163"/>
    <s v="Suburban"/>
    <n v="30269"/>
    <x v="2"/>
    <n v="2188"/>
  </r>
  <r>
    <x v="11"/>
    <x v="158"/>
    <s v="Suburban"/>
    <n v="30144"/>
    <x v="0"/>
    <n v="2753"/>
  </r>
  <r>
    <x v="11"/>
    <x v="164"/>
    <s v="Suburban"/>
    <n v="31757"/>
    <x v="1"/>
    <n v="2104"/>
  </r>
  <r>
    <x v="11"/>
    <x v="160"/>
    <s v="Suburban"/>
    <n v="30022"/>
    <x v="2"/>
    <n v="1270"/>
  </r>
  <r>
    <x v="11"/>
    <x v="158"/>
    <s v="Suburban"/>
    <n v="30064"/>
    <x v="2"/>
    <n v="1901"/>
  </r>
  <r>
    <x v="11"/>
    <x v="160"/>
    <s v="Suburban"/>
    <n v="30326"/>
    <x v="4"/>
    <n v="566"/>
  </r>
  <r>
    <x v="11"/>
    <x v="154"/>
    <s v="Suburban"/>
    <n v="31707"/>
    <x v="1"/>
    <n v="1362"/>
  </r>
  <r>
    <x v="11"/>
    <x v="165"/>
    <s v="Suburban"/>
    <n v="31602"/>
    <x v="0"/>
    <n v="2602"/>
  </r>
  <r>
    <x v="11"/>
    <x v="166"/>
    <s v="Suburban"/>
    <n v="30223"/>
    <x v="0"/>
    <n v="5042"/>
  </r>
  <r>
    <x v="11"/>
    <x v="160"/>
    <s v="Suburban"/>
    <n v="30344"/>
    <x v="2"/>
    <n v="2165"/>
  </r>
  <r>
    <x v="11"/>
    <x v="156"/>
    <s v="Suburban"/>
    <n v="30115"/>
    <x v="0"/>
    <n v="1461"/>
  </r>
  <r>
    <x v="11"/>
    <x v="163"/>
    <s v="Suburban"/>
    <n v="30214"/>
    <x v="2"/>
    <n v="2149"/>
  </r>
  <r>
    <x v="11"/>
    <x v="167"/>
    <s v="Suburban"/>
    <n v="30013"/>
    <x v="1"/>
    <n v="1769"/>
  </r>
  <r>
    <x v="11"/>
    <x v="160"/>
    <s v="Suburban"/>
    <n v="30009"/>
    <x v="4"/>
    <n v="2211"/>
  </r>
  <r>
    <x v="11"/>
    <x v="168"/>
    <s v="Suburban"/>
    <n v="31021"/>
    <x v="0"/>
    <n v="549"/>
  </r>
  <r>
    <x v="11"/>
    <x v="160"/>
    <s v="Suburban"/>
    <n v="30306"/>
    <x v="4"/>
    <n v="761"/>
  </r>
  <r>
    <x v="11"/>
    <x v="160"/>
    <s v="Suburban"/>
    <n v="30308"/>
    <x v="2"/>
    <n v="2528"/>
  </r>
  <r>
    <x v="11"/>
    <x v="161"/>
    <s v="Suburban"/>
    <n v="30501"/>
    <x v="0"/>
    <n v="2993"/>
  </r>
  <r>
    <x v="11"/>
    <x v="161"/>
    <s v="Suburban"/>
    <n v="30501"/>
    <x v="3"/>
    <n v="2254"/>
  </r>
  <r>
    <x v="11"/>
    <x v="154"/>
    <s v="Suburban"/>
    <n v="31701"/>
    <x v="2"/>
    <n v="1659"/>
  </r>
  <r>
    <x v="11"/>
    <x v="158"/>
    <s v="Suburban"/>
    <n v="30101"/>
    <x v="2"/>
    <n v="219"/>
  </r>
  <r>
    <x v="11"/>
    <x v="160"/>
    <s v="Suburban"/>
    <n v="30338"/>
    <x v="1"/>
    <n v="2438"/>
  </r>
  <r>
    <x v="11"/>
    <x v="163"/>
    <s v="Suburban"/>
    <n v="30214"/>
    <x v="1"/>
    <n v="1548"/>
  </r>
  <r>
    <x v="11"/>
    <x v="169"/>
    <s v="Suburban"/>
    <n v="30458"/>
    <x v="0"/>
    <n v="1002"/>
  </r>
  <r>
    <x v="11"/>
    <x v="170"/>
    <s v="Urban"/>
    <n v="30519"/>
    <x v="2"/>
    <n v="2237"/>
  </r>
  <r>
    <x v="11"/>
    <x v="170"/>
    <s v="Urban"/>
    <n v="30078"/>
    <x v="1"/>
    <n v="1723"/>
  </r>
  <r>
    <x v="11"/>
    <x v="171"/>
    <s v="Urban"/>
    <n v="31503"/>
    <x v="2"/>
    <n v="2271"/>
  </r>
  <r>
    <x v="11"/>
    <x v="11"/>
    <s v="Urban"/>
    <n v="31061"/>
    <x v="0"/>
    <n v="3273"/>
  </r>
  <r>
    <x v="11"/>
    <x v="172"/>
    <s v="Urban"/>
    <n v="30281"/>
    <x v="1"/>
    <n v="2175"/>
  </r>
  <r>
    <x v="11"/>
    <x v="170"/>
    <s v="Urban"/>
    <n v="30092"/>
    <x v="1"/>
    <n v="2200"/>
  </r>
  <r>
    <x v="11"/>
    <x v="173"/>
    <s v="Urban"/>
    <n v="30041"/>
    <x v="2"/>
    <n v="985"/>
  </r>
  <r>
    <x v="11"/>
    <x v="170"/>
    <s v="Urban"/>
    <n v="30024"/>
    <x v="1"/>
    <n v="439"/>
  </r>
  <r>
    <x v="11"/>
    <x v="172"/>
    <s v="Urban"/>
    <n v="30236"/>
    <x v="1"/>
    <n v="2773"/>
  </r>
  <r>
    <x v="11"/>
    <x v="174"/>
    <s v="Urban"/>
    <n v="30117"/>
    <x v="2"/>
    <n v="3782"/>
  </r>
  <r>
    <x v="11"/>
    <x v="170"/>
    <s v="Urban"/>
    <n v="30096"/>
    <x v="2"/>
    <n v="1114"/>
  </r>
  <r>
    <x v="11"/>
    <x v="175"/>
    <s v="Urban"/>
    <n v="30742"/>
    <x v="1"/>
    <n v="2629"/>
  </r>
  <r>
    <x v="11"/>
    <x v="176"/>
    <s v="Urban"/>
    <n v="31525"/>
    <x v="2"/>
    <n v="1360"/>
  </r>
  <r>
    <x v="11"/>
    <x v="176"/>
    <s v="Urban"/>
    <n v="31525"/>
    <x v="1"/>
    <n v="980"/>
  </r>
  <r>
    <x v="11"/>
    <x v="170"/>
    <s v="Urban"/>
    <n v="30052"/>
    <x v="0"/>
    <n v="3958"/>
  </r>
  <r>
    <x v="11"/>
    <x v="170"/>
    <s v="Urban"/>
    <n v="30047"/>
    <x v="1"/>
    <n v="1896"/>
  </r>
  <r>
    <x v="11"/>
    <x v="177"/>
    <s v="Urban"/>
    <n v="30907"/>
    <x v="3"/>
    <n v="1511"/>
  </r>
  <r>
    <x v="11"/>
    <x v="170"/>
    <s v="Urban"/>
    <n v="30024"/>
    <x v="2"/>
    <n v="422"/>
  </r>
  <r>
    <x v="11"/>
    <x v="177"/>
    <s v="Urban"/>
    <n v="30909"/>
    <x v="1"/>
    <n v="2536"/>
  </r>
  <r>
    <x v="11"/>
    <x v="177"/>
    <s v="Urban"/>
    <n v="30909"/>
    <x v="2"/>
    <n v="3283"/>
  </r>
  <r>
    <x v="11"/>
    <x v="173"/>
    <s v="Urban"/>
    <n v="30041"/>
    <x v="3"/>
    <n v="3007"/>
  </r>
  <r>
    <x v="11"/>
    <x v="173"/>
    <s v="Urban"/>
    <n v="30041"/>
    <x v="0"/>
    <n v="1881"/>
  </r>
  <r>
    <x v="11"/>
    <x v="170"/>
    <s v="Urban"/>
    <n v="30024"/>
    <x v="3"/>
    <n v="963"/>
  </r>
  <r>
    <x v="11"/>
    <x v="170"/>
    <s v="Urban"/>
    <n v="30043"/>
    <x v="1"/>
    <n v="1293"/>
  </r>
  <r>
    <x v="11"/>
    <x v="173"/>
    <s v="Urban"/>
    <n v="30024"/>
    <x v="1"/>
    <n v="439"/>
  </r>
  <r>
    <x v="11"/>
    <x v="173"/>
    <s v="Urban"/>
    <n v="30024"/>
    <x v="3"/>
    <n v="963"/>
  </r>
  <r>
    <x v="11"/>
    <x v="128"/>
    <s v="Urban"/>
    <n v="30809"/>
    <x v="0"/>
    <n v="395"/>
  </r>
  <r>
    <x v="11"/>
    <x v="170"/>
    <s v="Urban"/>
    <n v="30043"/>
    <x v="3"/>
    <n v="2890"/>
  </r>
  <r>
    <x v="11"/>
    <x v="173"/>
    <s v="Urban"/>
    <n v="30024"/>
    <x v="2"/>
    <n v="422"/>
  </r>
  <r>
    <x v="11"/>
    <x v="6"/>
    <s v="Urban"/>
    <n v="31093"/>
    <x v="1"/>
    <n v="3240"/>
  </r>
  <r>
    <x v="12"/>
    <x v="178"/>
    <s v="Suburban"/>
    <n v="96815"/>
    <x v="5"/>
    <n v="175"/>
  </r>
  <r>
    <x v="12"/>
    <x v="178"/>
    <s v="Suburban"/>
    <n v="96817"/>
    <x v="1"/>
    <n v="2452"/>
  </r>
  <r>
    <x v="12"/>
    <x v="178"/>
    <s v="Suburban"/>
    <n v="96707"/>
    <x v="0"/>
    <n v="2320"/>
  </r>
  <r>
    <x v="12"/>
    <x v="178"/>
    <s v="Suburban"/>
    <n v="96701"/>
    <x v="3"/>
    <n v="1477"/>
  </r>
  <r>
    <x v="12"/>
    <x v="178"/>
    <s v="Suburban"/>
    <n v="96701"/>
    <x v="1"/>
    <n v="1954"/>
  </r>
  <r>
    <x v="12"/>
    <x v="178"/>
    <s v="Suburban"/>
    <n v="96813"/>
    <x v="0"/>
    <n v="1389"/>
  </r>
  <r>
    <x v="12"/>
    <x v="178"/>
    <s v="Suburban"/>
    <n v="96797"/>
    <x v="0"/>
    <n v="1678"/>
  </r>
  <r>
    <x v="12"/>
    <x v="179"/>
    <s v="Urban"/>
    <n v="96720"/>
    <x v="0"/>
    <n v="2725"/>
  </r>
  <r>
    <x v="12"/>
    <x v="179"/>
    <s v="Urban"/>
    <n v="96740"/>
    <x v="0"/>
    <n v="1723"/>
  </r>
  <r>
    <x v="12"/>
    <x v="180"/>
    <s v="Urban"/>
    <n v="96732"/>
    <x v="0"/>
    <n v="3394"/>
  </r>
  <r>
    <x v="13"/>
    <x v="181"/>
    <s v="Rural"/>
    <n v="50401"/>
    <x v="2"/>
    <n v="395"/>
  </r>
  <r>
    <x v="13"/>
    <x v="182"/>
    <s v="Rural"/>
    <n v="50501"/>
    <x v="0"/>
    <n v="4036"/>
  </r>
  <r>
    <x v="13"/>
    <x v="183"/>
    <s v="Rural"/>
    <n v="50010"/>
    <x v="2"/>
    <n v="1104"/>
  </r>
  <r>
    <x v="13"/>
    <x v="184"/>
    <s v="Rural"/>
    <n v="52002"/>
    <x v="2"/>
    <n v="197"/>
  </r>
  <r>
    <x v="13"/>
    <x v="185"/>
    <s v="Suburban"/>
    <n v="52246"/>
    <x v="2"/>
    <n v="1037"/>
  </r>
  <r>
    <x v="13"/>
    <x v="186"/>
    <s v="Suburban"/>
    <n v="50701"/>
    <x v="3"/>
    <n v="1085"/>
  </r>
  <r>
    <x v="13"/>
    <x v="187"/>
    <s v="Suburban"/>
    <n v="52402"/>
    <x v="0"/>
    <n v="2283"/>
  </r>
  <r>
    <x v="13"/>
    <x v="188"/>
    <s v="Suburban"/>
    <n v="51106"/>
    <x v="2"/>
    <n v="2625"/>
  </r>
  <r>
    <x v="13"/>
    <x v="186"/>
    <s v="Suburban"/>
    <n v="50702"/>
    <x v="2"/>
    <n v="1678"/>
  </r>
  <r>
    <x v="13"/>
    <x v="187"/>
    <s v="Suburban"/>
    <n v="52404"/>
    <x v="2"/>
    <n v="1054"/>
  </r>
  <r>
    <x v="13"/>
    <x v="189"/>
    <s v="Suburban"/>
    <n v="50266"/>
    <x v="1"/>
    <n v="1904"/>
  </r>
  <r>
    <x v="13"/>
    <x v="190"/>
    <s v="Suburban"/>
    <n v="52601"/>
    <x v="2"/>
    <n v="1083"/>
  </r>
  <r>
    <x v="13"/>
    <x v="189"/>
    <s v="Suburban"/>
    <n v="50266"/>
    <x v="0"/>
    <n v="2899"/>
  </r>
  <r>
    <x v="13"/>
    <x v="110"/>
    <s v="Urban"/>
    <n v="50324"/>
    <x v="3"/>
    <n v="9"/>
  </r>
  <r>
    <x v="13"/>
    <x v="110"/>
    <s v="Urban"/>
    <n v="50266"/>
    <x v="0"/>
    <n v="2899"/>
  </r>
  <r>
    <x v="13"/>
    <x v="110"/>
    <s v="Urban"/>
    <n v="50009"/>
    <x v="2"/>
    <n v="4596"/>
  </r>
  <r>
    <x v="13"/>
    <x v="191"/>
    <s v="Urban"/>
    <n v="51501"/>
    <x v="0"/>
    <n v="2046"/>
  </r>
  <r>
    <x v="13"/>
    <x v="192"/>
    <s v="Urban"/>
    <n v="52807"/>
    <x v="3"/>
    <n v="593"/>
  </r>
  <r>
    <x v="13"/>
    <x v="110"/>
    <s v="Urban"/>
    <n v="50021"/>
    <x v="2"/>
    <n v="1844"/>
  </r>
  <r>
    <x v="13"/>
    <x v="110"/>
    <s v="Urban"/>
    <n v="50266"/>
    <x v="1"/>
    <n v="1904"/>
  </r>
  <r>
    <x v="13"/>
    <x v="192"/>
    <s v="Urban"/>
    <n v="52807"/>
    <x v="2"/>
    <n v="1106"/>
  </r>
  <r>
    <x v="13"/>
    <x v="110"/>
    <s v="Urban"/>
    <n v="50310"/>
    <x v="1"/>
    <n v="1463"/>
  </r>
  <r>
    <x v="13"/>
    <x v="110"/>
    <s v="Urban"/>
    <n v="50312"/>
    <x v="0"/>
    <n v="880"/>
  </r>
  <r>
    <x v="14"/>
    <x v="193"/>
    <s v="Rural"/>
    <n v="83501"/>
    <x v="2"/>
    <n v="853"/>
  </r>
  <r>
    <x v="14"/>
    <x v="194"/>
    <s v="Rural"/>
    <n v="83852"/>
    <x v="2"/>
    <n v="912"/>
  </r>
  <r>
    <x v="14"/>
    <x v="195"/>
    <s v="Suburban"/>
    <n v="83201"/>
    <x v="0"/>
    <n v="1296"/>
  </r>
  <r>
    <x v="14"/>
    <x v="196"/>
    <s v="Suburban"/>
    <n v="83843"/>
    <x v="2"/>
    <n v="982"/>
  </r>
  <r>
    <x v="14"/>
    <x v="197"/>
    <s v="Urban"/>
    <n v="83642"/>
    <x v="3"/>
    <n v="10390"/>
  </r>
  <r>
    <x v="14"/>
    <x v="198"/>
    <s v="Urban"/>
    <n v="83406"/>
    <x v="2"/>
    <n v="1887"/>
  </r>
  <r>
    <x v="14"/>
    <x v="199"/>
    <s v="Urban"/>
    <n v="83651"/>
    <x v="3"/>
    <n v="958"/>
  </r>
  <r>
    <x v="14"/>
    <x v="200"/>
    <s v="Urban"/>
    <n v="83301"/>
    <x v="3"/>
    <n v="224"/>
  </r>
  <r>
    <x v="14"/>
    <x v="197"/>
    <s v="Urban"/>
    <n v="83709"/>
    <x v="0"/>
    <n v="1073"/>
  </r>
  <r>
    <x v="14"/>
    <x v="200"/>
    <s v="Urban"/>
    <n v="83301"/>
    <x v="1"/>
    <n v="1796"/>
  </r>
  <r>
    <x v="14"/>
    <x v="198"/>
    <s v="Urban"/>
    <n v="83404"/>
    <x v="3"/>
    <n v="452"/>
  </r>
  <r>
    <x v="14"/>
    <x v="197"/>
    <s v="Urban"/>
    <n v="83702"/>
    <x v="3"/>
    <n v="462"/>
  </r>
  <r>
    <x v="14"/>
    <x v="198"/>
    <s v="Urban"/>
    <n v="83401"/>
    <x v="0"/>
    <n v="1209"/>
  </r>
  <r>
    <x v="14"/>
    <x v="199"/>
    <s v="Urban"/>
    <n v="83651"/>
    <x v="1"/>
    <n v="1220"/>
  </r>
  <r>
    <x v="14"/>
    <x v="201"/>
    <s v="Urban"/>
    <n v="83815"/>
    <x v="0"/>
    <n v="1766"/>
  </r>
  <r>
    <x v="14"/>
    <x v="197"/>
    <s v="Urban"/>
    <n v="83713"/>
    <x v="2"/>
    <n v="2037"/>
  </r>
  <r>
    <x v="14"/>
    <x v="197"/>
    <s v="Urban"/>
    <n v="83704"/>
    <x v="2"/>
    <n v="781"/>
  </r>
  <r>
    <x v="14"/>
    <x v="197"/>
    <s v="Urban"/>
    <n v="83642"/>
    <x v="1"/>
    <n v="983"/>
  </r>
  <r>
    <x v="14"/>
    <x v="197"/>
    <s v="Urban"/>
    <n v="83702"/>
    <x v="1"/>
    <n v="744"/>
  </r>
  <r>
    <x v="14"/>
    <x v="199"/>
    <s v="Urban"/>
    <n v="83651"/>
    <x v="2"/>
    <n v="1551"/>
  </r>
  <r>
    <x v="15"/>
    <x v="202"/>
    <s v="Rural"/>
    <n v="60123"/>
    <x v="0"/>
    <n v="2031"/>
  </r>
  <r>
    <x v="15"/>
    <x v="203"/>
    <s v="Rural"/>
    <n v="60108"/>
    <x v="3"/>
    <n v="393"/>
  </r>
  <r>
    <x v="15"/>
    <x v="108"/>
    <s v="Rural"/>
    <n v="60073"/>
    <x v="0"/>
    <n v="1360"/>
  </r>
  <r>
    <x v="15"/>
    <x v="204"/>
    <s v="Rural"/>
    <n v="61265"/>
    <x v="0"/>
    <n v="837"/>
  </r>
  <r>
    <x v="15"/>
    <x v="108"/>
    <s v="Rural"/>
    <n v="60061"/>
    <x v="2"/>
    <n v="977"/>
  </r>
  <r>
    <x v="15"/>
    <x v="108"/>
    <s v="Rural"/>
    <n v="60035"/>
    <x v="2"/>
    <n v="89"/>
  </r>
  <r>
    <x v="15"/>
    <x v="203"/>
    <s v="Rural"/>
    <n v="60108"/>
    <x v="0"/>
    <n v="701"/>
  </r>
  <r>
    <x v="15"/>
    <x v="203"/>
    <s v="Rural"/>
    <n v="60137"/>
    <x v="2"/>
    <n v="1632"/>
  </r>
  <r>
    <x v="15"/>
    <x v="205"/>
    <s v="Rural"/>
    <n v="61554"/>
    <x v="2"/>
    <n v="1959"/>
  </r>
  <r>
    <x v="15"/>
    <x v="206"/>
    <s v="Rural"/>
    <n v="60423"/>
    <x v="2"/>
    <n v="1924"/>
  </r>
  <r>
    <x v="15"/>
    <x v="206"/>
    <s v="Rural"/>
    <n v="60423"/>
    <x v="1"/>
    <n v="1904"/>
  </r>
  <r>
    <x v="15"/>
    <x v="207"/>
    <s v="Rural"/>
    <n v="61615"/>
    <x v="1"/>
    <n v="7511"/>
  </r>
  <r>
    <x v="15"/>
    <x v="203"/>
    <s v="Rural"/>
    <n v="60516"/>
    <x v="3"/>
    <n v="1865"/>
  </r>
  <r>
    <x v="15"/>
    <x v="208"/>
    <s v="Rural"/>
    <n v="62535"/>
    <x v="2"/>
    <n v="1885"/>
  </r>
  <r>
    <x v="15"/>
    <x v="206"/>
    <s v="Rural"/>
    <n v="60404"/>
    <x v="2"/>
    <n v="1695"/>
  </r>
  <r>
    <x v="15"/>
    <x v="206"/>
    <s v="Rural"/>
    <n v="60435"/>
    <x v="0"/>
    <n v="22560"/>
  </r>
  <r>
    <x v="15"/>
    <x v="203"/>
    <s v="Rural"/>
    <n v="60563"/>
    <x v="2"/>
    <n v="797"/>
  </r>
  <r>
    <x v="15"/>
    <x v="203"/>
    <s v="Rural"/>
    <n v="60181"/>
    <x v="1"/>
    <n v="1263"/>
  </r>
  <r>
    <x v="15"/>
    <x v="203"/>
    <s v="Rural"/>
    <n v="60515"/>
    <x v="1"/>
    <n v="4232"/>
  </r>
  <r>
    <x v="15"/>
    <x v="108"/>
    <s v="Rural"/>
    <n v="60010"/>
    <x v="4"/>
    <n v="664"/>
  </r>
  <r>
    <x v="15"/>
    <x v="203"/>
    <s v="Rural"/>
    <n v="60187"/>
    <x v="1"/>
    <n v="515"/>
  </r>
  <r>
    <x v="15"/>
    <x v="108"/>
    <s v="Rural"/>
    <n v="60035"/>
    <x v="4"/>
    <n v="62"/>
  </r>
  <r>
    <x v="15"/>
    <x v="203"/>
    <s v="Rural"/>
    <n v="60540"/>
    <x v="4"/>
    <n v="1326"/>
  </r>
  <r>
    <x v="15"/>
    <x v="202"/>
    <s v="Rural"/>
    <n v="60177"/>
    <x v="2"/>
    <n v="497"/>
  </r>
  <r>
    <x v="15"/>
    <x v="203"/>
    <s v="Rural"/>
    <n v="60527"/>
    <x v="2"/>
    <n v="857"/>
  </r>
  <r>
    <x v="15"/>
    <x v="203"/>
    <s v="Rural"/>
    <n v="60563"/>
    <x v="1"/>
    <n v="628"/>
  </r>
  <r>
    <x v="15"/>
    <x v="203"/>
    <s v="Rural"/>
    <n v="60523"/>
    <x v="5"/>
    <n v="5310"/>
  </r>
  <r>
    <x v="15"/>
    <x v="203"/>
    <s v="Rural"/>
    <n v="60564"/>
    <x v="2"/>
    <n v="1901"/>
  </r>
  <r>
    <x v="15"/>
    <x v="108"/>
    <s v="Rural"/>
    <n v="60047"/>
    <x v="0"/>
    <n v="1065"/>
  </r>
  <r>
    <x v="15"/>
    <x v="203"/>
    <s v="Rural"/>
    <n v="60504"/>
    <x v="0"/>
    <n v="709"/>
  </r>
  <r>
    <x v="15"/>
    <x v="203"/>
    <s v="Rural"/>
    <n v="60517"/>
    <x v="0"/>
    <n v="1077"/>
  </r>
  <r>
    <x v="15"/>
    <x v="209"/>
    <s v="Rural"/>
    <n v="61081"/>
    <x v="3"/>
    <n v="457"/>
  </r>
  <r>
    <x v="15"/>
    <x v="205"/>
    <s v="Rural"/>
    <n v="61611"/>
    <x v="0"/>
    <n v="1191"/>
  </r>
  <r>
    <x v="15"/>
    <x v="206"/>
    <s v="Rural"/>
    <n v="60490"/>
    <x v="0"/>
    <n v="634"/>
  </r>
  <r>
    <x v="15"/>
    <x v="202"/>
    <s v="Rural"/>
    <n v="60510"/>
    <x v="0"/>
    <n v="1019"/>
  </r>
  <r>
    <x v="15"/>
    <x v="108"/>
    <s v="Rural"/>
    <n v="60031"/>
    <x v="0"/>
    <n v="1723"/>
  </r>
  <r>
    <x v="15"/>
    <x v="204"/>
    <s v="Rural"/>
    <n v="61265"/>
    <x v="3"/>
    <n v="731"/>
  </r>
  <r>
    <x v="15"/>
    <x v="210"/>
    <s v="Suburban"/>
    <n v="60602"/>
    <x v="2"/>
    <n v="1652"/>
  </r>
  <r>
    <x v="15"/>
    <x v="211"/>
    <s v="Suburban"/>
    <n v="61108"/>
    <x v="3"/>
    <n v="723"/>
  </r>
  <r>
    <x v="15"/>
    <x v="210"/>
    <s v="Suburban"/>
    <n v="60654"/>
    <x v="1"/>
    <n v="4443"/>
  </r>
  <r>
    <x v="15"/>
    <x v="210"/>
    <s v="Suburban"/>
    <n v="60004"/>
    <x v="1"/>
    <n v="633"/>
  </r>
  <r>
    <x v="15"/>
    <x v="210"/>
    <s v="Suburban"/>
    <n v="60657"/>
    <x v="1"/>
    <n v="917"/>
  </r>
  <r>
    <x v="15"/>
    <x v="212"/>
    <s v="Suburban"/>
    <n v="61761"/>
    <x v="1"/>
    <n v="2961"/>
  </r>
  <r>
    <x v="15"/>
    <x v="210"/>
    <s v="Suburban"/>
    <n v="60706"/>
    <x v="2"/>
    <n v="1758"/>
  </r>
  <r>
    <x v="15"/>
    <x v="210"/>
    <s v="Suburban"/>
    <n v="60614"/>
    <x v="4"/>
    <n v="256"/>
  </r>
  <r>
    <x v="15"/>
    <x v="213"/>
    <s v="Suburban"/>
    <n v="62704"/>
    <x v="1"/>
    <n v="1268"/>
  </r>
  <r>
    <x v="15"/>
    <x v="214"/>
    <s v="Suburban"/>
    <n v="62901"/>
    <x v="2"/>
    <n v="1442"/>
  </r>
  <r>
    <x v="15"/>
    <x v="210"/>
    <s v="Suburban"/>
    <n v="60640"/>
    <x v="2"/>
    <n v="1285"/>
  </r>
  <r>
    <x v="15"/>
    <x v="210"/>
    <s v="Suburban"/>
    <n v="60654"/>
    <x v="4"/>
    <n v="378"/>
  </r>
  <r>
    <x v="15"/>
    <x v="210"/>
    <s v="Suburban"/>
    <n v="60525"/>
    <x v="0"/>
    <n v="1192"/>
  </r>
  <r>
    <x v="15"/>
    <x v="210"/>
    <s v="Suburban"/>
    <n v="60462"/>
    <x v="1"/>
    <n v="176"/>
  </r>
  <r>
    <x v="15"/>
    <x v="210"/>
    <s v="Suburban"/>
    <n v="60443"/>
    <x v="0"/>
    <n v="1022"/>
  </r>
  <r>
    <x v="15"/>
    <x v="210"/>
    <s v="Suburban"/>
    <n v="60614"/>
    <x v="0"/>
    <n v="805"/>
  </r>
  <r>
    <x v="15"/>
    <x v="210"/>
    <s v="Suburban"/>
    <n v="60402"/>
    <x v="1"/>
    <n v="1558"/>
  </r>
  <r>
    <x v="15"/>
    <x v="210"/>
    <s v="Suburban"/>
    <n v="60074"/>
    <x v="3"/>
    <n v="221"/>
  </r>
  <r>
    <x v="15"/>
    <x v="210"/>
    <s v="Suburban"/>
    <n v="60657"/>
    <x v="4"/>
    <n v="444"/>
  </r>
  <r>
    <x v="15"/>
    <x v="210"/>
    <s v="Suburban"/>
    <n v="60615"/>
    <x v="1"/>
    <n v="2062"/>
  </r>
  <r>
    <x v="15"/>
    <x v="210"/>
    <s v="Suburban"/>
    <n v="60607"/>
    <x v="2"/>
    <n v="1303"/>
  </r>
  <r>
    <x v="15"/>
    <x v="210"/>
    <s v="Suburban"/>
    <n v="60077"/>
    <x v="5"/>
    <n v="1529"/>
  </r>
  <r>
    <x v="15"/>
    <x v="210"/>
    <s v="Suburban"/>
    <n v="60007"/>
    <x v="1"/>
    <n v="1625"/>
  </r>
  <r>
    <x v="15"/>
    <x v="210"/>
    <s v="Suburban"/>
    <n v="60007"/>
    <x v="2"/>
    <n v="1796"/>
  </r>
  <r>
    <x v="15"/>
    <x v="210"/>
    <s v="Suburban"/>
    <n v="60008"/>
    <x v="2"/>
    <n v="1005"/>
  </r>
  <r>
    <x v="15"/>
    <x v="210"/>
    <s v="Suburban"/>
    <n v="60015"/>
    <x v="1"/>
    <n v="863"/>
  </r>
  <r>
    <x v="15"/>
    <x v="210"/>
    <s v="Suburban"/>
    <n v="60025"/>
    <x v="2"/>
    <n v="856"/>
  </r>
  <r>
    <x v="15"/>
    <x v="210"/>
    <s v="Suburban"/>
    <n v="60056"/>
    <x v="0"/>
    <n v="113"/>
  </r>
  <r>
    <x v="15"/>
    <x v="210"/>
    <s v="Suburban"/>
    <n v="60201"/>
    <x v="4"/>
    <n v="288"/>
  </r>
  <r>
    <x v="15"/>
    <x v="210"/>
    <s v="Suburban"/>
    <n v="60301"/>
    <x v="4"/>
    <n v="77"/>
  </r>
  <r>
    <x v="15"/>
    <x v="210"/>
    <s v="Suburban"/>
    <n v="60453"/>
    <x v="2"/>
    <n v="867"/>
  </r>
  <r>
    <x v="15"/>
    <x v="210"/>
    <s v="Suburban"/>
    <n v="60077"/>
    <x v="0"/>
    <n v="1125"/>
  </r>
  <r>
    <x v="15"/>
    <x v="211"/>
    <s v="Suburban"/>
    <n v="61115"/>
    <x v="1"/>
    <n v="1168"/>
  </r>
  <r>
    <x v="15"/>
    <x v="210"/>
    <s v="Suburban"/>
    <n v="60418"/>
    <x v="0"/>
    <n v="1830"/>
  </r>
  <r>
    <x v="15"/>
    <x v="211"/>
    <s v="Suburban"/>
    <n v="61108"/>
    <x v="0"/>
    <n v="1201"/>
  </r>
  <r>
    <x v="15"/>
    <x v="215"/>
    <s v="Suburban"/>
    <n v="60014"/>
    <x v="0"/>
    <n v="1278"/>
  </r>
  <r>
    <x v="15"/>
    <x v="215"/>
    <s v="Suburban"/>
    <n v="60102"/>
    <x v="1"/>
    <n v="837"/>
  </r>
  <r>
    <x v="15"/>
    <x v="216"/>
    <s v="Suburban"/>
    <n v="60543"/>
    <x v="0"/>
    <n v="682"/>
  </r>
  <r>
    <x v="15"/>
    <x v="210"/>
    <s v="Suburban"/>
    <n v="60202"/>
    <x v="0"/>
    <n v="3159"/>
  </r>
  <r>
    <x v="15"/>
    <x v="210"/>
    <s v="Suburban"/>
    <n v="60173"/>
    <x v="1"/>
    <n v="175"/>
  </r>
  <r>
    <x v="15"/>
    <x v="210"/>
    <s v="Suburban"/>
    <n v="60160"/>
    <x v="0"/>
    <n v="1404"/>
  </r>
  <r>
    <x v="15"/>
    <x v="210"/>
    <s v="Suburban"/>
    <n v="60201"/>
    <x v="1"/>
    <n v="305"/>
  </r>
  <r>
    <x v="15"/>
    <x v="210"/>
    <s v="Suburban"/>
    <n v="60430"/>
    <x v="0"/>
    <n v="2421"/>
  </r>
  <r>
    <x v="15"/>
    <x v="210"/>
    <s v="Suburban"/>
    <n v="60603"/>
    <x v="4"/>
    <n v="797"/>
  </r>
  <r>
    <x v="15"/>
    <x v="210"/>
    <s v="Suburban"/>
    <n v="60603"/>
    <x v="5"/>
    <n v="4695"/>
  </r>
  <r>
    <x v="15"/>
    <x v="210"/>
    <s v="Suburban"/>
    <n v="60805"/>
    <x v="0"/>
    <n v="1477"/>
  </r>
  <r>
    <x v="15"/>
    <x v="217"/>
    <s v="Urban"/>
    <n v="62226"/>
    <x v="0"/>
    <n v="597"/>
  </r>
  <r>
    <x v="15"/>
    <x v="218"/>
    <s v="Urban"/>
    <n v="61822"/>
    <x v="2"/>
    <n v="1274"/>
  </r>
  <r>
    <x v="15"/>
    <x v="4"/>
    <s v="Urban"/>
    <n v="62002"/>
    <x v="1"/>
    <n v="1737"/>
  </r>
  <r>
    <x v="15"/>
    <x v="219"/>
    <s v="Urban"/>
    <n v="61354"/>
    <x v="2"/>
    <n v="3741"/>
  </r>
  <r>
    <x v="15"/>
    <x v="218"/>
    <s v="Urban"/>
    <n v="61820"/>
    <x v="1"/>
    <n v="853"/>
  </r>
  <r>
    <x v="15"/>
    <x v="17"/>
    <s v="Urban"/>
    <n v="62864"/>
    <x v="2"/>
    <n v="1039"/>
  </r>
  <r>
    <x v="15"/>
    <x v="217"/>
    <s v="Urban"/>
    <n v="62208"/>
    <x v="0"/>
    <n v="1394"/>
  </r>
  <r>
    <x v="15"/>
    <x v="145"/>
    <s v="Urban"/>
    <n v="60115"/>
    <x v="0"/>
    <n v="2349"/>
  </r>
  <r>
    <x v="15"/>
    <x v="4"/>
    <s v="Urban"/>
    <n v="62034"/>
    <x v="0"/>
    <n v="2522"/>
  </r>
  <r>
    <x v="15"/>
    <x v="220"/>
    <s v="Urban"/>
    <n v="60914"/>
    <x v="2"/>
    <n v="1687"/>
  </r>
  <r>
    <x v="15"/>
    <x v="90"/>
    <s v="Urban"/>
    <n v="62301"/>
    <x v="2"/>
    <n v="2109"/>
  </r>
  <r>
    <x v="16"/>
    <x v="139"/>
    <s v="Rural"/>
    <n v="46220"/>
    <x v="2"/>
    <n v="2026"/>
  </r>
  <r>
    <x v="16"/>
    <x v="139"/>
    <s v="Rural"/>
    <n v="46268"/>
    <x v="2"/>
    <n v="70"/>
  </r>
  <r>
    <x v="16"/>
    <x v="108"/>
    <s v="Rural"/>
    <n v="46410"/>
    <x v="1"/>
    <n v="759"/>
  </r>
  <r>
    <x v="16"/>
    <x v="139"/>
    <s v="Rural"/>
    <n v="46240"/>
    <x v="0"/>
    <n v="737"/>
  </r>
  <r>
    <x v="16"/>
    <x v="108"/>
    <s v="Rural"/>
    <n v="46322"/>
    <x v="1"/>
    <n v="1275"/>
  </r>
  <r>
    <x v="16"/>
    <x v="221"/>
    <s v="Rural"/>
    <n v="47304"/>
    <x v="2"/>
    <n v="1996"/>
  </r>
  <r>
    <x v="16"/>
    <x v="108"/>
    <s v="Rural"/>
    <n v="46321"/>
    <x v="2"/>
    <n v="1173"/>
  </r>
  <r>
    <x v="16"/>
    <x v="139"/>
    <s v="Rural"/>
    <n v="46250"/>
    <x v="3"/>
    <n v="322"/>
  </r>
  <r>
    <x v="16"/>
    <x v="139"/>
    <s v="Rural"/>
    <n v="46256"/>
    <x v="2"/>
    <n v="1061"/>
  </r>
  <r>
    <x v="16"/>
    <x v="139"/>
    <s v="Rural"/>
    <n v="46268"/>
    <x v="1"/>
    <n v="714"/>
  </r>
  <r>
    <x v="16"/>
    <x v="139"/>
    <s v="Rural"/>
    <n v="46237"/>
    <x v="2"/>
    <n v="1084"/>
  </r>
  <r>
    <x v="16"/>
    <x v="112"/>
    <s v="Rural"/>
    <n v="47404"/>
    <x v="1"/>
    <n v="1559"/>
  </r>
  <r>
    <x v="16"/>
    <x v="222"/>
    <s v="Rural"/>
    <n v="46545"/>
    <x v="1"/>
    <n v="2256"/>
  </r>
  <r>
    <x v="16"/>
    <x v="112"/>
    <s v="Rural"/>
    <n v="47401"/>
    <x v="2"/>
    <n v="2118"/>
  </r>
  <r>
    <x v="16"/>
    <x v="222"/>
    <s v="Rural"/>
    <n v="46614"/>
    <x v="2"/>
    <n v="2361"/>
  </r>
  <r>
    <x v="16"/>
    <x v="139"/>
    <s v="Rural"/>
    <n v="46227"/>
    <x v="3"/>
    <n v="2476"/>
  </r>
  <r>
    <x v="16"/>
    <x v="149"/>
    <s v="Rural"/>
    <n v="47150"/>
    <x v="1"/>
    <n v="1909"/>
  </r>
  <r>
    <x v="16"/>
    <x v="139"/>
    <s v="Rural"/>
    <n v="46229"/>
    <x v="0"/>
    <n v="1073"/>
  </r>
  <r>
    <x v="16"/>
    <x v="223"/>
    <s v="Suburban"/>
    <n v="46580"/>
    <x v="2"/>
    <n v="1203"/>
  </r>
  <r>
    <x v="16"/>
    <x v="224"/>
    <s v="Suburban"/>
    <n v="46032"/>
    <x v="0"/>
    <n v="3603"/>
  </r>
  <r>
    <x v="16"/>
    <x v="225"/>
    <s v="Suburban"/>
    <n v="47905"/>
    <x v="2"/>
    <n v="1593"/>
  </r>
  <r>
    <x v="16"/>
    <x v="225"/>
    <s v="Suburban"/>
    <n v="47905"/>
    <x v="1"/>
    <n v="1461"/>
  </r>
  <r>
    <x v="16"/>
    <x v="225"/>
    <s v="Suburban"/>
    <n v="47905"/>
    <x v="3"/>
    <n v="787"/>
  </r>
  <r>
    <x v="16"/>
    <x v="226"/>
    <s v="Suburban"/>
    <n v="46901"/>
    <x v="2"/>
    <n v="1452"/>
  </r>
  <r>
    <x v="16"/>
    <x v="224"/>
    <s v="Suburban"/>
    <n v="46032"/>
    <x v="1"/>
    <n v="1123"/>
  </r>
  <r>
    <x v="16"/>
    <x v="227"/>
    <s v="Suburban"/>
    <n v="47203"/>
    <x v="0"/>
    <n v="1953"/>
  </r>
  <r>
    <x v="16"/>
    <x v="228"/>
    <s v="Suburban"/>
    <n v="47802"/>
    <x v="2"/>
    <n v="1743"/>
  </r>
  <r>
    <x v="16"/>
    <x v="229"/>
    <s v="Suburban"/>
    <n v="46818"/>
    <x v="1"/>
    <n v="2214"/>
  </r>
  <r>
    <x v="16"/>
    <x v="4"/>
    <s v="Suburban"/>
    <n v="46013"/>
    <x v="1"/>
    <n v="828"/>
  </r>
  <r>
    <x v="16"/>
    <x v="224"/>
    <s v="Suburban"/>
    <n v="46060"/>
    <x v="2"/>
    <n v="1750"/>
  </r>
  <r>
    <x v="16"/>
    <x v="229"/>
    <s v="Suburban"/>
    <n v="46825"/>
    <x v="3"/>
    <n v="1056"/>
  </r>
  <r>
    <x v="16"/>
    <x v="229"/>
    <s v="Suburban"/>
    <n v="46805"/>
    <x v="1"/>
    <n v="3173"/>
  </r>
  <r>
    <x v="16"/>
    <x v="226"/>
    <s v="Suburban"/>
    <n v="46901"/>
    <x v="3"/>
    <n v="579"/>
  </r>
  <r>
    <x v="16"/>
    <x v="229"/>
    <s v="Suburban"/>
    <n v="46804"/>
    <x v="1"/>
    <n v="4008"/>
  </r>
  <r>
    <x v="16"/>
    <x v="230"/>
    <s v="Suburban"/>
    <n v="46526"/>
    <x v="2"/>
    <n v="1233"/>
  </r>
  <r>
    <x v="16"/>
    <x v="231"/>
    <s v="Urban"/>
    <n v="46360"/>
    <x v="0"/>
    <n v="305"/>
  </r>
  <r>
    <x v="16"/>
    <x v="232"/>
    <s v="Urban"/>
    <n v="46383"/>
    <x v="2"/>
    <n v="1116"/>
  </r>
  <r>
    <x v="16"/>
    <x v="233"/>
    <s v="Urban"/>
    <n v="46123"/>
    <x v="1"/>
    <n v="3077"/>
  </r>
  <r>
    <x v="16"/>
    <x v="233"/>
    <s v="Urban"/>
    <n v="46168"/>
    <x v="2"/>
    <n v="1138"/>
  </r>
  <r>
    <x v="16"/>
    <x v="234"/>
    <s v="Urban"/>
    <n v="47712"/>
    <x v="1"/>
    <n v="4777"/>
  </r>
  <r>
    <x v="16"/>
    <x v="234"/>
    <s v="Urban"/>
    <n v="47715"/>
    <x v="1"/>
    <n v="1927"/>
  </r>
  <r>
    <x v="16"/>
    <x v="235"/>
    <s v="Urban"/>
    <n v="47591"/>
    <x v="0"/>
    <n v="804"/>
  </r>
  <r>
    <x v="16"/>
    <x v="236"/>
    <s v="Urban"/>
    <n v="47129"/>
    <x v="2"/>
    <n v="2064"/>
  </r>
  <r>
    <x v="16"/>
    <x v="234"/>
    <s v="Urban"/>
    <n v="47715"/>
    <x v="2"/>
    <n v="1066"/>
  </r>
  <r>
    <x v="16"/>
    <x v="185"/>
    <s v="Urban"/>
    <n v="46142"/>
    <x v="1"/>
    <n v="3349"/>
  </r>
  <r>
    <x v="17"/>
    <x v="22"/>
    <s v="Rural"/>
    <n v="67401"/>
    <x v="0"/>
    <n v="835"/>
  </r>
  <r>
    <x v="17"/>
    <x v="237"/>
    <s v="Rural"/>
    <n v="66614"/>
    <x v="0"/>
    <n v="2363"/>
  </r>
  <r>
    <x v="17"/>
    <x v="238"/>
    <s v="Suburban"/>
    <n v="66801"/>
    <x v="2"/>
    <n v="1292"/>
  </r>
  <r>
    <x v="17"/>
    <x v="239"/>
    <s v="Suburban"/>
    <n v="66502"/>
    <x v="2"/>
    <n v="1134"/>
  </r>
  <r>
    <x v="17"/>
    <x v="240"/>
    <s v="Urban"/>
    <n v="67226"/>
    <x v="1"/>
    <n v="4465"/>
  </r>
  <r>
    <x v="17"/>
    <x v="240"/>
    <s v="Urban"/>
    <n v="67207"/>
    <x v="3"/>
    <n v="2055"/>
  </r>
  <r>
    <x v="17"/>
    <x v="240"/>
    <s v="Urban"/>
    <n v="67209"/>
    <x v="3"/>
    <n v="2301"/>
  </r>
  <r>
    <x v="17"/>
    <x v="185"/>
    <s v="Urban"/>
    <n v="66209"/>
    <x v="4"/>
    <n v="647"/>
  </r>
  <r>
    <x v="17"/>
    <x v="185"/>
    <s v="Urban"/>
    <n v="66223"/>
    <x v="2"/>
    <n v="1259"/>
  </r>
  <r>
    <x v="17"/>
    <x v="241"/>
    <s v="Urban"/>
    <n v="67846"/>
    <x v="2"/>
    <n v="893"/>
  </r>
  <r>
    <x v="17"/>
    <x v="185"/>
    <s v="Urban"/>
    <n v="66062"/>
    <x v="0"/>
    <n v="1517"/>
  </r>
  <r>
    <x v="17"/>
    <x v="185"/>
    <s v="Urban"/>
    <n v="66212"/>
    <x v="1"/>
    <n v="1365"/>
  </r>
  <r>
    <x v="17"/>
    <x v="185"/>
    <s v="Urban"/>
    <n v="66217"/>
    <x v="0"/>
    <n v="2142"/>
  </r>
  <r>
    <x v="17"/>
    <x v="185"/>
    <s v="Urban"/>
    <n v="66214"/>
    <x v="2"/>
    <n v="1148"/>
  </r>
  <r>
    <x v="17"/>
    <x v="185"/>
    <s v="Urban"/>
    <n v="66202"/>
    <x v="0"/>
    <n v="3751"/>
  </r>
  <r>
    <x v="17"/>
    <x v="240"/>
    <s v="Urban"/>
    <n v="67207"/>
    <x v="1"/>
    <n v="1752"/>
  </r>
  <r>
    <x v="17"/>
    <x v="240"/>
    <s v="Urban"/>
    <n v="67226"/>
    <x v="3"/>
    <n v="458"/>
  </r>
  <r>
    <x v="17"/>
    <x v="240"/>
    <s v="Urban"/>
    <n v="67209"/>
    <x v="1"/>
    <n v="2600"/>
  </r>
  <r>
    <x v="17"/>
    <x v="82"/>
    <s v="Urban"/>
    <n v="66046"/>
    <x v="1"/>
    <n v="2281"/>
  </r>
  <r>
    <x v="18"/>
    <x v="4"/>
    <s v="Rural"/>
    <n v="40475"/>
    <x v="1"/>
    <n v="1859"/>
  </r>
  <r>
    <x v="18"/>
    <x v="242"/>
    <s v="Rural"/>
    <n v="40741"/>
    <x v="1"/>
    <n v="4422"/>
  </r>
  <r>
    <x v="18"/>
    <x v="243"/>
    <s v="Rural"/>
    <n v="42071"/>
    <x v="1"/>
    <n v="454"/>
  </r>
  <r>
    <x v="18"/>
    <x v="244"/>
    <s v="Rural"/>
    <n v="41042"/>
    <x v="2"/>
    <n v="1778"/>
  </r>
  <r>
    <x v="18"/>
    <x v="244"/>
    <s v="Rural"/>
    <n v="41042"/>
    <x v="1"/>
    <n v="2438"/>
  </r>
  <r>
    <x v="18"/>
    <x v="245"/>
    <s v="Rural"/>
    <n v="41501"/>
    <x v="2"/>
    <n v="2228"/>
  </r>
  <r>
    <x v="18"/>
    <x v="17"/>
    <s v="Suburban"/>
    <n v="40241"/>
    <x v="0"/>
    <n v="1673"/>
  </r>
  <r>
    <x v="18"/>
    <x v="17"/>
    <s v="Suburban"/>
    <n v="40207"/>
    <x v="4"/>
    <n v="166"/>
  </r>
  <r>
    <x v="18"/>
    <x v="17"/>
    <s v="Suburban"/>
    <n v="40258"/>
    <x v="2"/>
    <n v="176"/>
  </r>
  <r>
    <x v="18"/>
    <x v="17"/>
    <s v="Suburban"/>
    <n v="40220"/>
    <x v="2"/>
    <n v="3624"/>
  </r>
  <r>
    <x v="18"/>
    <x v="17"/>
    <s v="Suburban"/>
    <n v="40207"/>
    <x v="1"/>
    <n v="2918"/>
  </r>
  <r>
    <x v="18"/>
    <x v="246"/>
    <s v="Suburban"/>
    <n v="42701"/>
    <x v="2"/>
    <n v="1305"/>
  </r>
  <r>
    <x v="18"/>
    <x v="163"/>
    <s v="Suburban"/>
    <n v="40509"/>
    <x v="1"/>
    <n v="1006"/>
  </r>
  <r>
    <x v="18"/>
    <x v="163"/>
    <s v="Suburban"/>
    <n v="40509"/>
    <x v="2"/>
    <n v="1021"/>
  </r>
  <r>
    <x v="18"/>
    <x v="163"/>
    <s v="Suburban"/>
    <n v="40504"/>
    <x v="2"/>
    <n v="1447"/>
  </r>
  <r>
    <x v="18"/>
    <x v="163"/>
    <s v="Suburban"/>
    <n v="40503"/>
    <x v="1"/>
    <n v="2157"/>
  </r>
  <r>
    <x v="18"/>
    <x v="17"/>
    <s v="Suburban"/>
    <n v="40205"/>
    <x v="2"/>
    <n v="2793"/>
  </r>
  <r>
    <x v="18"/>
    <x v="17"/>
    <s v="Suburban"/>
    <n v="40219"/>
    <x v="1"/>
    <n v="705"/>
  </r>
  <r>
    <x v="18"/>
    <x v="247"/>
    <s v="Suburban"/>
    <n v="42301"/>
    <x v="1"/>
    <n v="1104"/>
  </r>
  <r>
    <x v="18"/>
    <x v="248"/>
    <s v="Urban"/>
    <n v="41017"/>
    <x v="2"/>
    <n v="1002"/>
  </r>
  <r>
    <x v="18"/>
    <x v="249"/>
    <s v="Urban"/>
    <n v="41076"/>
    <x v="2"/>
    <n v="2322"/>
  </r>
  <r>
    <x v="18"/>
    <x v="30"/>
    <s v="Urban"/>
    <n v="42501"/>
    <x v="1"/>
    <n v="1420"/>
  </r>
  <r>
    <x v="18"/>
    <x v="250"/>
    <s v="Urban"/>
    <n v="42240"/>
    <x v="0"/>
    <n v="1343"/>
  </r>
  <r>
    <x v="18"/>
    <x v="251"/>
    <s v="Urban"/>
    <n v="41101"/>
    <x v="0"/>
    <n v="1976"/>
  </r>
  <r>
    <x v="18"/>
    <x v="252"/>
    <s v="Urban"/>
    <n v="42104"/>
    <x v="2"/>
    <n v="2439"/>
  </r>
  <r>
    <x v="18"/>
    <x v="253"/>
    <s v="Urban"/>
    <n v="42001"/>
    <x v="1"/>
    <n v="1818"/>
  </r>
  <r>
    <x v="18"/>
    <x v="254"/>
    <s v="Urban"/>
    <n v="40601"/>
    <x v="2"/>
    <n v="1093"/>
  </r>
  <r>
    <x v="19"/>
    <x v="255"/>
    <s v="Rural"/>
    <n v="71301"/>
    <x v="1"/>
    <n v="1306"/>
  </r>
  <r>
    <x v="19"/>
    <x v="256"/>
    <s v="Rural"/>
    <n v="70058"/>
    <x v="1"/>
    <n v="2708"/>
  </r>
  <r>
    <x v="19"/>
    <x v="256"/>
    <s v="Rural"/>
    <n v="70005"/>
    <x v="1"/>
    <n v="4614"/>
  </r>
  <r>
    <x v="19"/>
    <x v="257"/>
    <s v="Rural"/>
    <n v="70791"/>
    <x v="1"/>
    <n v="478"/>
  </r>
  <r>
    <x v="19"/>
    <x v="258"/>
    <s v="Rural"/>
    <n v="71108"/>
    <x v="1"/>
    <n v="1038"/>
  </r>
  <r>
    <x v="19"/>
    <x v="259"/>
    <s v="Rural"/>
    <n v="70130"/>
    <x v="1"/>
    <n v="1415"/>
  </r>
  <r>
    <x v="19"/>
    <x v="259"/>
    <s v="Rural"/>
    <n v="70119"/>
    <x v="1"/>
    <n v="1669"/>
  </r>
  <r>
    <x v="19"/>
    <x v="260"/>
    <s v="Rural"/>
    <n v="71270"/>
    <x v="1"/>
    <n v="782"/>
  </r>
  <r>
    <x v="19"/>
    <x v="256"/>
    <s v="Rural"/>
    <n v="70003"/>
    <x v="1"/>
    <n v="2462"/>
  </r>
  <r>
    <x v="19"/>
    <x v="256"/>
    <s v="Rural"/>
    <n v="70065"/>
    <x v="1"/>
    <n v="988"/>
  </r>
  <r>
    <x v="19"/>
    <x v="256"/>
    <s v="Rural"/>
    <n v="70072"/>
    <x v="1"/>
    <n v="2211"/>
  </r>
  <r>
    <x v="19"/>
    <x v="257"/>
    <s v="Rural"/>
    <n v="70815"/>
    <x v="1"/>
    <n v="1995"/>
  </r>
  <r>
    <x v="19"/>
    <x v="261"/>
    <s v="Rural"/>
    <n v="71111"/>
    <x v="1"/>
    <n v="2826"/>
  </r>
  <r>
    <x v="19"/>
    <x v="257"/>
    <s v="Rural"/>
    <n v="70810"/>
    <x v="1"/>
    <n v="2814"/>
  </r>
  <r>
    <x v="19"/>
    <x v="257"/>
    <s v="Rural"/>
    <n v="70809"/>
    <x v="1"/>
    <n v="3290"/>
  </r>
  <r>
    <x v="19"/>
    <x v="262"/>
    <s v="Rural"/>
    <n v="70401"/>
    <x v="1"/>
    <n v="2785"/>
  </r>
  <r>
    <x v="19"/>
    <x v="257"/>
    <s v="Rural"/>
    <n v="70808"/>
    <x v="1"/>
    <n v="4598"/>
  </r>
  <r>
    <x v="19"/>
    <x v="256"/>
    <s v="Rural"/>
    <n v="70123"/>
    <x v="0"/>
    <n v="1649"/>
  </r>
  <r>
    <x v="19"/>
    <x v="258"/>
    <s v="Rural"/>
    <n v="71105"/>
    <x v="1"/>
    <n v="1436"/>
  </r>
  <r>
    <x v="19"/>
    <x v="257"/>
    <s v="Rural"/>
    <n v="70816"/>
    <x v="1"/>
    <n v="437"/>
  </r>
  <r>
    <x v="19"/>
    <x v="263"/>
    <s v="Suburban"/>
    <n v="70458"/>
    <x v="1"/>
    <n v="1937"/>
  </r>
  <r>
    <x v="19"/>
    <x v="263"/>
    <s v="Suburban"/>
    <n v="70471"/>
    <x v="1"/>
    <n v="2092"/>
  </r>
  <r>
    <x v="19"/>
    <x v="263"/>
    <s v="Suburban"/>
    <n v="70433"/>
    <x v="1"/>
    <n v="2381"/>
  </r>
  <r>
    <x v="19"/>
    <x v="264"/>
    <s v="Suburban"/>
    <n v="70301"/>
    <x v="1"/>
    <n v="566"/>
  </r>
  <r>
    <x v="19"/>
    <x v="265"/>
    <s v="Suburban"/>
    <n v="70068"/>
    <x v="1"/>
    <n v="1063"/>
  </r>
  <r>
    <x v="19"/>
    <x v="266"/>
    <s v="Suburban"/>
    <n v="70737"/>
    <x v="1"/>
    <n v="3465"/>
  </r>
  <r>
    <x v="19"/>
    <x v="267"/>
    <s v="Urban"/>
    <n v="70503"/>
    <x v="1"/>
    <n v="3295"/>
  </r>
  <r>
    <x v="19"/>
    <x v="268"/>
    <s v="Urban"/>
    <n v="71291"/>
    <x v="1"/>
    <n v="2201"/>
  </r>
  <r>
    <x v="19"/>
    <x v="267"/>
    <s v="Urban"/>
    <n v="70501"/>
    <x v="1"/>
    <n v="3528"/>
  </r>
  <r>
    <x v="19"/>
    <x v="269"/>
    <s v="Urban"/>
    <n v="70560"/>
    <x v="1"/>
    <n v="814"/>
  </r>
  <r>
    <x v="19"/>
    <x v="267"/>
    <s v="Urban"/>
    <n v="70508"/>
    <x v="1"/>
    <n v="2369"/>
  </r>
  <r>
    <x v="19"/>
    <x v="270"/>
    <s v="Urban"/>
    <n v="70360"/>
    <x v="3"/>
    <n v="636"/>
  </r>
  <r>
    <x v="19"/>
    <x v="270"/>
    <s v="Urban"/>
    <n v="70360"/>
    <x v="1"/>
    <n v="4067"/>
  </r>
  <r>
    <x v="19"/>
    <x v="267"/>
    <s v="Urban"/>
    <n v="70503"/>
    <x v="3"/>
    <n v="928"/>
  </r>
  <r>
    <x v="19"/>
    <x v="271"/>
    <s v="Urban"/>
    <n v="70615"/>
    <x v="1"/>
    <n v="1146"/>
  </r>
  <r>
    <x v="19"/>
    <x v="272"/>
    <s v="Urban"/>
    <n v="70726"/>
    <x v="1"/>
    <n v="2108"/>
  </r>
  <r>
    <x v="19"/>
    <x v="268"/>
    <s v="Urban"/>
    <n v="71201"/>
    <x v="1"/>
    <n v="2114"/>
  </r>
  <r>
    <x v="19"/>
    <x v="271"/>
    <s v="Urban"/>
    <n v="70601"/>
    <x v="1"/>
    <n v="2257"/>
  </r>
  <r>
    <x v="20"/>
    <x v="94"/>
    <s v="Rural"/>
    <n v="2145"/>
    <x v="2"/>
    <n v="2891"/>
  </r>
  <r>
    <x v="20"/>
    <x v="94"/>
    <s v="Rural"/>
    <n v="1803"/>
    <x v="2"/>
    <n v="75"/>
  </r>
  <r>
    <x v="20"/>
    <x v="94"/>
    <s v="Rural"/>
    <n v="2140"/>
    <x v="4"/>
    <n v="522"/>
  </r>
  <r>
    <x v="20"/>
    <x v="94"/>
    <s v="Rural"/>
    <n v="2138"/>
    <x v="5"/>
    <n v="419"/>
  </r>
  <r>
    <x v="20"/>
    <x v="94"/>
    <s v="Rural"/>
    <n v="1824"/>
    <x v="2"/>
    <n v="910"/>
  </r>
  <r>
    <x v="20"/>
    <x v="94"/>
    <s v="Rural"/>
    <n v="1803"/>
    <x v="4"/>
    <n v="713"/>
  </r>
  <r>
    <x v="20"/>
    <x v="94"/>
    <s v="Rural"/>
    <n v="2138"/>
    <x v="2"/>
    <n v="2161"/>
  </r>
  <r>
    <x v="20"/>
    <x v="94"/>
    <s v="Rural"/>
    <n v="2467"/>
    <x v="4"/>
    <n v="1248"/>
  </r>
  <r>
    <x v="20"/>
    <x v="94"/>
    <s v="Rural"/>
    <n v="1801"/>
    <x v="2"/>
    <n v="1107"/>
  </r>
  <r>
    <x v="20"/>
    <x v="94"/>
    <s v="Rural"/>
    <n v="1701"/>
    <x v="2"/>
    <n v="1905"/>
  </r>
  <r>
    <x v="20"/>
    <x v="94"/>
    <s v="Rural"/>
    <n v="1720"/>
    <x v="2"/>
    <n v="1066"/>
  </r>
  <r>
    <x v="20"/>
    <x v="94"/>
    <s v="Rural"/>
    <n v="1867"/>
    <x v="2"/>
    <n v="633"/>
  </r>
  <r>
    <x v="20"/>
    <x v="273"/>
    <s v="Rural"/>
    <n v="2110"/>
    <x v="5"/>
    <n v="438"/>
  </r>
  <r>
    <x v="20"/>
    <x v="273"/>
    <s v="Rural"/>
    <n v="2108"/>
    <x v="5"/>
    <n v="105"/>
  </r>
  <r>
    <x v="20"/>
    <x v="273"/>
    <s v="Rural"/>
    <n v="2116"/>
    <x v="4"/>
    <n v="1123"/>
  </r>
  <r>
    <x v="20"/>
    <x v="273"/>
    <s v="Rural"/>
    <n v="2125"/>
    <x v="0"/>
    <n v="976"/>
  </r>
  <r>
    <x v="20"/>
    <x v="273"/>
    <s v="Rural"/>
    <n v="2135"/>
    <x v="2"/>
    <n v="831"/>
  </r>
  <r>
    <x v="20"/>
    <x v="273"/>
    <s v="Rural"/>
    <n v="2199"/>
    <x v="5"/>
    <n v="1379"/>
  </r>
  <r>
    <x v="20"/>
    <x v="274"/>
    <s v="Rural"/>
    <n v="1035"/>
    <x v="2"/>
    <n v="823"/>
  </r>
  <r>
    <x v="20"/>
    <x v="273"/>
    <s v="Rural"/>
    <n v="2122"/>
    <x v="2"/>
    <n v="1370"/>
  </r>
  <r>
    <x v="20"/>
    <x v="273"/>
    <s v="Rural"/>
    <n v="2108"/>
    <x v="2"/>
    <n v="83"/>
  </r>
  <r>
    <x v="20"/>
    <x v="94"/>
    <s v="Rural"/>
    <n v="1752"/>
    <x v="2"/>
    <n v="550"/>
  </r>
  <r>
    <x v="20"/>
    <x v="94"/>
    <s v="Rural"/>
    <n v="1752"/>
    <x v="0"/>
    <n v="1680"/>
  </r>
  <r>
    <x v="20"/>
    <x v="94"/>
    <s v="Rural"/>
    <n v="2452"/>
    <x v="2"/>
    <n v="3777"/>
  </r>
  <r>
    <x v="20"/>
    <x v="94"/>
    <s v="Rural"/>
    <n v="1760"/>
    <x v="2"/>
    <n v="1568"/>
  </r>
  <r>
    <x v="20"/>
    <x v="275"/>
    <s v="Suburban"/>
    <n v="1020"/>
    <x v="2"/>
    <n v="2832"/>
  </r>
  <r>
    <x v="20"/>
    <x v="276"/>
    <s v="Suburban"/>
    <n v="2703"/>
    <x v="2"/>
    <n v="1443"/>
  </r>
  <r>
    <x v="20"/>
    <x v="277"/>
    <s v="Suburban"/>
    <n v="2184"/>
    <x v="2"/>
    <n v="366"/>
  </r>
  <r>
    <x v="20"/>
    <x v="277"/>
    <s v="Suburban"/>
    <n v="2494"/>
    <x v="2"/>
    <n v="800"/>
  </r>
  <r>
    <x v="20"/>
    <x v="277"/>
    <s v="Suburban"/>
    <n v="2019"/>
    <x v="2"/>
    <n v="4289"/>
  </r>
  <r>
    <x v="20"/>
    <x v="278"/>
    <s v="Suburban"/>
    <n v="1230"/>
    <x v="2"/>
    <n v="649"/>
  </r>
  <r>
    <x v="20"/>
    <x v="277"/>
    <s v="Suburban"/>
    <n v="2062"/>
    <x v="2"/>
    <n v="2116"/>
  </r>
  <r>
    <x v="20"/>
    <x v="277"/>
    <s v="Suburban"/>
    <n v="2026"/>
    <x v="2"/>
    <n v="148"/>
  </r>
  <r>
    <x v="20"/>
    <x v="277"/>
    <s v="Suburban"/>
    <n v="2482"/>
    <x v="5"/>
    <n v="277"/>
  </r>
  <r>
    <x v="20"/>
    <x v="278"/>
    <s v="Suburban"/>
    <n v="1201"/>
    <x v="2"/>
    <n v="778"/>
  </r>
  <r>
    <x v="20"/>
    <x v="275"/>
    <s v="Suburban"/>
    <n v="1085"/>
    <x v="2"/>
    <n v="1817"/>
  </r>
  <r>
    <x v="20"/>
    <x v="277"/>
    <s v="Suburban"/>
    <n v="2026"/>
    <x v="4"/>
    <n v="1285"/>
  </r>
  <r>
    <x v="20"/>
    <x v="279"/>
    <s v="Suburban"/>
    <n v="2360"/>
    <x v="2"/>
    <n v="503"/>
  </r>
  <r>
    <x v="20"/>
    <x v="277"/>
    <s v="Suburban"/>
    <n v="2482"/>
    <x v="4"/>
    <n v="84"/>
  </r>
  <r>
    <x v="20"/>
    <x v="279"/>
    <s v="Suburban"/>
    <n v="2339"/>
    <x v="0"/>
    <n v="758"/>
  </r>
  <r>
    <x v="20"/>
    <x v="279"/>
    <s v="Suburban"/>
    <n v="2359"/>
    <x v="2"/>
    <n v="2244"/>
  </r>
  <r>
    <x v="20"/>
    <x v="276"/>
    <s v="Suburban"/>
    <n v="2048"/>
    <x v="2"/>
    <n v="1517"/>
  </r>
  <r>
    <x v="20"/>
    <x v="275"/>
    <s v="Suburban"/>
    <n v="1089"/>
    <x v="2"/>
    <n v="1198"/>
  </r>
  <r>
    <x v="20"/>
    <x v="277"/>
    <s v="Suburban"/>
    <n v="2446"/>
    <x v="4"/>
    <n v="179"/>
  </r>
  <r>
    <x v="20"/>
    <x v="275"/>
    <s v="Suburban"/>
    <n v="1010"/>
    <x v="2"/>
    <n v="2734"/>
  </r>
  <r>
    <x v="20"/>
    <x v="276"/>
    <s v="Suburban"/>
    <n v="2771"/>
    <x v="2"/>
    <n v="517"/>
  </r>
  <r>
    <x v="20"/>
    <x v="276"/>
    <s v="Suburban"/>
    <n v="2747"/>
    <x v="0"/>
    <n v="1245"/>
  </r>
  <r>
    <x v="20"/>
    <x v="276"/>
    <s v="Suburban"/>
    <n v="2719"/>
    <x v="2"/>
    <n v="494"/>
  </r>
  <r>
    <x v="20"/>
    <x v="276"/>
    <s v="Suburban"/>
    <n v="2767"/>
    <x v="2"/>
    <n v="2936"/>
  </r>
  <r>
    <x v="20"/>
    <x v="276"/>
    <s v="Suburban"/>
    <n v="2721"/>
    <x v="2"/>
    <n v="2393"/>
  </r>
  <r>
    <x v="20"/>
    <x v="279"/>
    <s v="Suburban"/>
    <n v="2571"/>
    <x v="2"/>
    <n v="263"/>
  </r>
  <r>
    <x v="20"/>
    <x v="279"/>
    <s v="Suburban"/>
    <n v="2301"/>
    <x v="2"/>
    <n v="218"/>
  </r>
  <r>
    <x v="20"/>
    <x v="277"/>
    <s v="Suburban"/>
    <n v="2191"/>
    <x v="2"/>
    <n v="1491"/>
  </r>
  <r>
    <x v="20"/>
    <x v="280"/>
    <s v="Urban"/>
    <n v="2540"/>
    <x v="2"/>
    <n v="523"/>
  </r>
  <r>
    <x v="20"/>
    <x v="254"/>
    <s v="Urban"/>
    <n v="1301"/>
    <x v="2"/>
    <n v="34"/>
  </r>
  <r>
    <x v="20"/>
    <x v="281"/>
    <s v="Urban"/>
    <n v="1915"/>
    <x v="2"/>
    <n v="663"/>
  </r>
  <r>
    <x v="20"/>
    <x v="281"/>
    <s v="Urban"/>
    <n v="1940"/>
    <x v="4"/>
    <n v="247"/>
  </r>
  <r>
    <x v="20"/>
    <x v="281"/>
    <s v="Urban"/>
    <n v="1845"/>
    <x v="2"/>
    <n v="1380"/>
  </r>
  <r>
    <x v="20"/>
    <x v="281"/>
    <s v="Urban"/>
    <n v="1923"/>
    <x v="2"/>
    <n v="1696"/>
  </r>
  <r>
    <x v="20"/>
    <x v="282"/>
    <s v="Urban"/>
    <n v="1757"/>
    <x v="2"/>
    <n v="1202"/>
  </r>
  <r>
    <x v="20"/>
    <x v="282"/>
    <s v="Urban"/>
    <n v="1581"/>
    <x v="2"/>
    <n v="1685"/>
  </r>
  <r>
    <x v="20"/>
    <x v="281"/>
    <s v="Urban"/>
    <n v="1970"/>
    <x v="2"/>
    <n v="536"/>
  </r>
  <r>
    <x v="20"/>
    <x v="282"/>
    <s v="Urban"/>
    <n v="1440"/>
    <x v="2"/>
    <n v="1078"/>
  </r>
  <r>
    <x v="20"/>
    <x v="281"/>
    <s v="Urban"/>
    <n v="1906"/>
    <x v="2"/>
    <n v="1172"/>
  </r>
  <r>
    <x v="20"/>
    <x v="282"/>
    <s v="Urban"/>
    <n v="1566"/>
    <x v="2"/>
    <n v="1050"/>
  </r>
  <r>
    <x v="20"/>
    <x v="282"/>
    <s v="Urban"/>
    <n v="1453"/>
    <x v="2"/>
    <n v="791"/>
  </r>
  <r>
    <x v="20"/>
    <x v="282"/>
    <s v="Urban"/>
    <n v="1501"/>
    <x v="2"/>
    <n v="1187"/>
  </r>
  <r>
    <x v="20"/>
    <x v="280"/>
    <s v="Urban"/>
    <n v="2601"/>
    <x v="2"/>
    <n v="1797"/>
  </r>
  <r>
    <x v="20"/>
    <x v="282"/>
    <s v="Urban"/>
    <n v="1545"/>
    <x v="2"/>
    <n v="819"/>
  </r>
  <r>
    <x v="20"/>
    <x v="280"/>
    <s v="Urban"/>
    <n v="2653"/>
    <x v="2"/>
    <n v="515"/>
  </r>
  <r>
    <x v="20"/>
    <x v="282"/>
    <s v="Urban"/>
    <n v="1605"/>
    <x v="2"/>
    <n v="933"/>
  </r>
  <r>
    <x v="21"/>
    <x v="283"/>
    <s v="Rural"/>
    <n v="20716"/>
    <x v="2"/>
    <n v="1296"/>
  </r>
  <r>
    <x v="21"/>
    <x v="284"/>
    <s v="Rural"/>
    <n v="21921"/>
    <x v="2"/>
    <n v="1501"/>
  </r>
  <r>
    <x v="21"/>
    <x v="283"/>
    <s v="Rural"/>
    <n v="20720"/>
    <x v="1"/>
    <n v="2995"/>
  </r>
  <r>
    <x v="21"/>
    <x v="285"/>
    <s v="Rural"/>
    <n v="20603"/>
    <x v="1"/>
    <n v="879"/>
  </r>
  <r>
    <x v="21"/>
    <x v="283"/>
    <s v="Rural"/>
    <n v="20706"/>
    <x v="2"/>
    <n v="988"/>
  </r>
  <r>
    <x v="21"/>
    <x v="283"/>
    <s v="Rural"/>
    <n v="20745"/>
    <x v="2"/>
    <n v="360"/>
  </r>
  <r>
    <x v="21"/>
    <x v="283"/>
    <s v="Rural"/>
    <n v="20774"/>
    <x v="2"/>
    <n v="1625"/>
  </r>
  <r>
    <x v="21"/>
    <x v="283"/>
    <s v="Rural"/>
    <n v="20782"/>
    <x v="2"/>
    <n v="906"/>
  </r>
  <r>
    <x v="21"/>
    <x v="286"/>
    <s v="Rural"/>
    <n v="21212"/>
    <x v="2"/>
    <n v="878"/>
  </r>
  <r>
    <x v="21"/>
    <x v="23"/>
    <s v="Rural"/>
    <n v="21740"/>
    <x v="2"/>
    <n v="754"/>
  </r>
  <r>
    <x v="21"/>
    <x v="285"/>
    <s v="Rural"/>
    <n v="20601"/>
    <x v="2"/>
    <n v="2048"/>
  </r>
  <r>
    <x v="21"/>
    <x v="283"/>
    <s v="Rural"/>
    <n v="20740"/>
    <x v="2"/>
    <n v="506"/>
  </r>
  <r>
    <x v="21"/>
    <x v="287"/>
    <s v="Rural"/>
    <n v="21014"/>
    <x v="1"/>
    <n v="1210"/>
  </r>
  <r>
    <x v="21"/>
    <x v="287"/>
    <s v="Rural"/>
    <n v="21014"/>
    <x v="2"/>
    <n v="188"/>
  </r>
  <r>
    <x v="21"/>
    <x v="23"/>
    <s v="Rural"/>
    <n v="21740"/>
    <x v="0"/>
    <n v="1597"/>
  </r>
  <r>
    <x v="21"/>
    <x v="283"/>
    <s v="Rural"/>
    <n v="20715"/>
    <x v="1"/>
    <n v="561"/>
  </r>
  <r>
    <x v="21"/>
    <x v="283"/>
    <s v="Rural"/>
    <n v="20707"/>
    <x v="2"/>
    <n v="2479"/>
  </r>
  <r>
    <x v="21"/>
    <x v="283"/>
    <s v="Rural"/>
    <n v="20735"/>
    <x v="2"/>
    <n v="1377"/>
  </r>
  <r>
    <x v="21"/>
    <x v="288"/>
    <s v="Suburban"/>
    <n v="21204"/>
    <x v="5"/>
    <n v="885"/>
  </r>
  <r>
    <x v="21"/>
    <x v="288"/>
    <s v="Suburban"/>
    <n v="21224"/>
    <x v="2"/>
    <n v="1059"/>
  </r>
  <r>
    <x v="21"/>
    <x v="16"/>
    <s v="Suburban"/>
    <n v="20852"/>
    <x v="2"/>
    <n v="2752"/>
  </r>
  <r>
    <x v="21"/>
    <x v="288"/>
    <s v="Suburban"/>
    <n v="21208"/>
    <x v="2"/>
    <n v="306"/>
  </r>
  <r>
    <x v="21"/>
    <x v="289"/>
    <s v="Suburban"/>
    <n v="21146"/>
    <x v="1"/>
    <n v="1980"/>
  </r>
  <r>
    <x v="21"/>
    <x v="289"/>
    <s v="Suburban"/>
    <n v="21076"/>
    <x v="2"/>
    <n v="1165"/>
  </r>
  <r>
    <x v="21"/>
    <x v="289"/>
    <s v="Suburban"/>
    <n v="21060"/>
    <x v="1"/>
    <n v="1264"/>
  </r>
  <r>
    <x v="21"/>
    <x v="16"/>
    <s v="Suburban"/>
    <n v="20817"/>
    <x v="5"/>
    <n v="1557"/>
  </r>
  <r>
    <x v="21"/>
    <x v="290"/>
    <s v="Suburban"/>
    <n v="21702"/>
    <x v="2"/>
    <n v="2850"/>
  </r>
  <r>
    <x v="21"/>
    <x v="288"/>
    <s v="Suburban"/>
    <n v="21286"/>
    <x v="2"/>
    <n v="1303"/>
  </r>
  <r>
    <x v="21"/>
    <x v="174"/>
    <s v="Suburban"/>
    <n v="21157"/>
    <x v="2"/>
    <n v="1561"/>
  </r>
  <r>
    <x v="21"/>
    <x v="288"/>
    <s v="Suburban"/>
    <n v="21093"/>
    <x v="1"/>
    <n v="585"/>
  </r>
  <r>
    <x v="21"/>
    <x v="288"/>
    <s v="Suburban"/>
    <n v="21234"/>
    <x v="1"/>
    <n v="1684"/>
  </r>
  <r>
    <x v="21"/>
    <x v="16"/>
    <s v="Suburban"/>
    <n v="20906"/>
    <x v="2"/>
    <n v="1565"/>
  </r>
  <r>
    <x v="21"/>
    <x v="16"/>
    <s v="Suburban"/>
    <n v="20876"/>
    <x v="2"/>
    <n v="3221"/>
  </r>
  <r>
    <x v="21"/>
    <x v="16"/>
    <s v="Suburban"/>
    <n v="20815"/>
    <x v="5"/>
    <n v="736"/>
  </r>
  <r>
    <x v="21"/>
    <x v="16"/>
    <s v="Suburban"/>
    <n v="20814"/>
    <x v="4"/>
    <n v="337"/>
  </r>
  <r>
    <x v="21"/>
    <x v="288"/>
    <s v="Suburban"/>
    <n v="21236"/>
    <x v="2"/>
    <n v="1155"/>
  </r>
  <r>
    <x v="21"/>
    <x v="288"/>
    <s v="Suburban"/>
    <n v="21208"/>
    <x v="4"/>
    <n v="1142"/>
  </r>
  <r>
    <x v="21"/>
    <x v="288"/>
    <s v="Suburban"/>
    <n v="21093"/>
    <x v="2"/>
    <n v="892"/>
  </r>
  <r>
    <x v="21"/>
    <x v="288"/>
    <s v="Suburban"/>
    <n v="21136"/>
    <x v="1"/>
    <n v="4505"/>
  </r>
  <r>
    <x v="21"/>
    <x v="16"/>
    <s v="Suburban"/>
    <n v="20904"/>
    <x v="1"/>
    <n v="658"/>
  </r>
  <r>
    <x v="21"/>
    <x v="16"/>
    <s v="Suburban"/>
    <n v="20878"/>
    <x v="2"/>
    <n v="982"/>
  </r>
  <r>
    <x v="21"/>
    <x v="290"/>
    <s v="Suburban"/>
    <n v="21704"/>
    <x v="2"/>
    <n v="867"/>
  </r>
  <r>
    <x v="21"/>
    <x v="288"/>
    <s v="Suburban"/>
    <n v="21228"/>
    <x v="1"/>
    <n v="685"/>
  </r>
  <r>
    <x v="21"/>
    <x v="288"/>
    <s v="Suburban"/>
    <n v="21228"/>
    <x v="2"/>
    <n v="1148"/>
  </r>
  <r>
    <x v="21"/>
    <x v="288"/>
    <s v="Suburban"/>
    <n v="21237"/>
    <x v="1"/>
    <n v="377"/>
  </r>
  <r>
    <x v="21"/>
    <x v="288"/>
    <s v="Suburban"/>
    <n v="21227"/>
    <x v="1"/>
    <n v="1681"/>
  </r>
  <r>
    <x v="21"/>
    <x v="291"/>
    <s v="Suburban"/>
    <n v="21601"/>
    <x v="2"/>
    <n v="1184"/>
  </r>
  <r>
    <x v="21"/>
    <x v="16"/>
    <s v="Suburban"/>
    <n v="20877"/>
    <x v="1"/>
    <n v="1720"/>
  </r>
  <r>
    <x v="21"/>
    <x v="289"/>
    <s v="Suburban"/>
    <n v="21401"/>
    <x v="1"/>
    <n v="1535"/>
  </r>
  <r>
    <x v="21"/>
    <x v="289"/>
    <s v="Suburban"/>
    <n v="21401"/>
    <x v="2"/>
    <n v="1387"/>
  </r>
  <r>
    <x v="21"/>
    <x v="16"/>
    <s v="Suburban"/>
    <n v="20815"/>
    <x v="2"/>
    <n v="103"/>
  </r>
  <r>
    <x v="21"/>
    <x v="289"/>
    <s v="Suburban"/>
    <n v="21401"/>
    <x v="4"/>
    <n v="2690"/>
  </r>
  <r>
    <x v="21"/>
    <x v="226"/>
    <s v="Urban"/>
    <n v="21043"/>
    <x v="2"/>
    <n v="1908"/>
  </r>
  <r>
    <x v="21"/>
    <x v="292"/>
    <s v="Urban"/>
    <n v="21801"/>
    <x v="2"/>
    <n v="1595"/>
  </r>
  <r>
    <x v="21"/>
    <x v="282"/>
    <s v="Urban"/>
    <n v="21842"/>
    <x v="2"/>
    <n v="1544"/>
  </r>
  <r>
    <x v="21"/>
    <x v="226"/>
    <s v="Urban"/>
    <n v="21046"/>
    <x v="2"/>
    <n v="923"/>
  </r>
  <r>
    <x v="21"/>
    <x v="293"/>
    <s v="Urban"/>
    <n v="20678"/>
    <x v="1"/>
    <n v="2136"/>
  </r>
  <r>
    <x v="21"/>
    <x v="294"/>
    <s v="Urban"/>
    <n v="21502"/>
    <x v="2"/>
    <n v="444"/>
  </r>
  <r>
    <x v="21"/>
    <x v="295"/>
    <s v="Urban"/>
    <n v="20619"/>
    <x v="2"/>
    <n v="963"/>
  </r>
  <r>
    <x v="22"/>
    <x v="296"/>
    <s v="Suburban"/>
    <n v="4005"/>
    <x v="2"/>
    <n v="553"/>
  </r>
  <r>
    <x v="22"/>
    <x v="297"/>
    <s v="Suburban"/>
    <n v="4074"/>
    <x v="3"/>
    <n v="886"/>
  </r>
  <r>
    <x v="22"/>
    <x v="297"/>
    <s v="Suburban"/>
    <n v="4011"/>
    <x v="2"/>
    <n v="408"/>
  </r>
  <r>
    <x v="22"/>
    <x v="297"/>
    <s v="Suburban"/>
    <n v="4062"/>
    <x v="2"/>
    <n v="665"/>
  </r>
  <r>
    <x v="22"/>
    <x v="297"/>
    <s v="Suburban"/>
    <n v="4105"/>
    <x v="2"/>
    <n v="209"/>
  </r>
  <r>
    <x v="22"/>
    <x v="297"/>
    <s v="Suburban"/>
    <n v="4106"/>
    <x v="2"/>
    <n v="404"/>
  </r>
  <r>
    <x v="22"/>
    <x v="235"/>
    <s v="Suburban"/>
    <n v="4841"/>
    <x v="2"/>
    <n v="730"/>
  </r>
  <r>
    <x v="22"/>
    <x v="298"/>
    <s v="Urban"/>
    <n v="4240"/>
    <x v="2"/>
    <n v="612"/>
  </r>
  <r>
    <x v="22"/>
    <x v="298"/>
    <s v="Urban"/>
    <n v="4210"/>
    <x v="0"/>
    <n v="1153"/>
  </r>
  <r>
    <x v="22"/>
    <x v="299"/>
    <s v="Urban"/>
    <n v="4901"/>
    <x v="2"/>
    <n v="1131"/>
  </r>
  <r>
    <x v="22"/>
    <x v="299"/>
    <s v="Urban"/>
    <n v="4330"/>
    <x v="2"/>
    <n v="986"/>
  </r>
  <r>
    <x v="22"/>
    <x v="300"/>
    <s v="Urban"/>
    <n v="4401"/>
    <x v="2"/>
    <n v="833"/>
  </r>
  <r>
    <x v="23"/>
    <x v="301"/>
    <s v="Rural"/>
    <n v="48386"/>
    <x v="0"/>
    <n v="1261"/>
  </r>
  <r>
    <x v="23"/>
    <x v="112"/>
    <s v="Rural"/>
    <n v="48162"/>
    <x v="2"/>
    <n v="931"/>
  </r>
  <r>
    <x v="23"/>
    <x v="9"/>
    <s v="Rural"/>
    <n v="49014"/>
    <x v="2"/>
    <n v="1335"/>
  </r>
  <r>
    <x v="23"/>
    <x v="301"/>
    <s v="Rural"/>
    <n v="48017"/>
    <x v="2"/>
    <n v="1450"/>
  </r>
  <r>
    <x v="23"/>
    <x v="302"/>
    <s v="Rural"/>
    <n v="48446"/>
    <x v="1"/>
    <n v="1019"/>
  </r>
  <r>
    <x v="23"/>
    <x v="126"/>
    <s v="Rural"/>
    <n v="48706"/>
    <x v="3"/>
    <n v="1460"/>
  </r>
  <r>
    <x v="23"/>
    <x v="301"/>
    <s v="Rural"/>
    <n v="48390"/>
    <x v="2"/>
    <n v="965"/>
  </r>
  <r>
    <x v="23"/>
    <x v="301"/>
    <s v="Rural"/>
    <n v="48346"/>
    <x v="1"/>
    <n v="1063"/>
  </r>
  <r>
    <x v="23"/>
    <x v="303"/>
    <s v="Rural"/>
    <n v="48104"/>
    <x v="0"/>
    <n v="772"/>
  </r>
  <r>
    <x v="23"/>
    <x v="301"/>
    <s v="Rural"/>
    <n v="48336"/>
    <x v="0"/>
    <n v="1588"/>
  </r>
  <r>
    <x v="23"/>
    <x v="303"/>
    <s v="Rural"/>
    <n v="48104"/>
    <x v="3"/>
    <n v="285"/>
  </r>
  <r>
    <x v="23"/>
    <x v="126"/>
    <s v="Rural"/>
    <n v="48706"/>
    <x v="2"/>
    <n v="801"/>
  </r>
  <r>
    <x v="23"/>
    <x v="301"/>
    <s v="Rural"/>
    <n v="48374"/>
    <x v="2"/>
    <n v="4504"/>
  </r>
  <r>
    <x v="23"/>
    <x v="301"/>
    <s v="Rural"/>
    <n v="48334"/>
    <x v="1"/>
    <n v="474"/>
  </r>
  <r>
    <x v="23"/>
    <x v="301"/>
    <s v="Rural"/>
    <n v="48326"/>
    <x v="2"/>
    <n v="1056"/>
  </r>
  <r>
    <x v="23"/>
    <x v="301"/>
    <s v="Rural"/>
    <n v="48309"/>
    <x v="4"/>
    <n v="927"/>
  </r>
  <r>
    <x v="23"/>
    <x v="301"/>
    <s v="Rural"/>
    <n v="48307"/>
    <x v="2"/>
    <n v="835"/>
  </r>
  <r>
    <x v="23"/>
    <x v="301"/>
    <s v="Rural"/>
    <n v="48071"/>
    <x v="0"/>
    <n v="1571"/>
  </r>
  <r>
    <x v="23"/>
    <x v="301"/>
    <s v="Rural"/>
    <n v="48302"/>
    <x v="2"/>
    <n v="1073"/>
  </r>
  <r>
    <x v="23"/>
    <x v="301"/>
    <s v="Rural"/>
    <n v="48237"/>
    <x v="1"/>
    <n v="1160"/>
  </r>
  <r>
    <x v="23"/>
    <x v="303"/>
    <s v="Rural"/>
    <n v="48104"/>
    <x v="4"/>
    <n v="2016"/>
  </r>
  <r>
    <x v="23"/>
    <x v="301"/>
    <s v="Rural"/>
    <n v="48009"/>
    <x v="4"/>
    <n v="569"/>
  </r>
  <r>
    <x v="23"/>
    <x v="303"/>
    <s v="Rural"/>
    <n v="48103"/>
    <x v="0"/>
    <n v="602"/>
  </r>
  <r>
    <x v="23"/>
    <x v="303"/>
    <s v="Rural"/>
    <n v="48103"/>
    <x v="2"/>
    <n v="1521"/>
  </r>
  <r>
    <x v="23"/>
    <x v="301"/>
    <s v="Rural"/>
    <n v="48307"/>
    <x v="0"/>
    <n v="852"/>
  </r>
  <r>
    <x v="23"/>
    <x v="301"/>
    <s v="Rural"/>
    <n v="48375"/>
    <x v="0"/>
    <n v="1072"/>
  </r>
  <r>
    <x v="23"/>
    <x v="304"/>
    <s v="Suburban"/>
    <n v="49424"/>
    <x v="2"/>
    <n v="1232"/>
  </r>
  <r>
    <x v="23"/>
    <x v="305"/>
    <s v="Suburban"/>
    <n v="49009"/>
    <x v="1"/>
    <n v="3159"/>
  </r>
  <r>
    <x v="23"/>
    <x v="306"/>
    <s v="Suburban"/>
    <n v="49444"/>
    <x v="2"/>
    <n v="1888"/>
  </r>
  <r>
    <x v="23"/>
    <x v="304"/>
    <s v="Suburban"/>
    <n v="49417"/>
    <x v="2"/>
    <n v="1366"/>
  </r>
  <r>
    <x v="23"/>
    <x v="307"/>
    <s v="Suburban"/>
    <n v="48532"/>
    <x v="3"/>
    <n v="49"/>
  </r>
  <r>
    <x v="23"/>
    <x v="308"/>
    <s v="Suburban"/>
    <n v="48640"/>
    <x v="3"/>
    <n v="575"/>
  </r>
  <r>
    <x v="23"/>
    <x v="307"/>
    <s v="Suburban"/>
    <n v="48439"/>
    <x v="2"/>
    <n v="356"/>
  </r>
  <r>
    <x v="23"/>
    <x v="217"/>
    <s v="Suburban"/>
    <n v="48059"/>
    <x v="2"/>
    <n v="883"/>
  </r>
  <r>
    <x v="23"/>
    <x v="305"/>
    <s v="Suburban"/>
    <n v="49002"/>
    <x v="1"/>
    <n v="958"/>
  </r>
  <r>
    <x v="23"/>
    <x v="309"/>
    <s v="Suburban"/>
    <n v="48116"/>
    <x v="2"/>
    <n v="2245"/>
  </r>
  <r>
    <x v="23"/>
    <x v="214"/>
    <s v="Suburban"/>
    <n v="49202"/>
    <x v="0"/>
    <n v="2165"/>
  </r>
  <r>
    <x v="23"/>
    <x v="308"/>
    <s v="Suburban"/>
    <n v="48642"/>
    <x v="2"/>
    <n v="810"/>
  </r>
  <r>
    <x v="23"/>
    <x v="309"/>
    <s v="Suburban"/>
    <n v="48116"/>
    <x v="3"/>
    <n v="1022"/>
  </r>
  <r>
    <x v="23"/>
    <x v="307"/>
    <s v="Suburban"/>
    <n v="48507"/>
    <x v="1"/>
    <n v="948"/>
  </r>
  <r>
    <x v="23"/>
    <x v="305"/>
    <s v="Suburban"/>
    <n v="49008"/>
    <x v="3"/>
    <n v="112"/>
  </r>
  <r>
    <x v="23"/>
    <x v="310"/>
    <s v="Suburban"/>
    <n v="49022"/>
    <x v="2"/>
    <n v="651"/>
  </r>
  <r>
    <x v="23"/>
    <x v="311"/>
    <s v="Suburban"/>
    <n v="49242"/>
    <x v="3"/>
    <n v="553"/>
  </r>
  <r>
    <x v="23"/>
    <x v="312"/>
    <s v="Urban"/>
    <n v="48911"/>
    <x v="0"/>
    <n v="701"/>
  </r>
  <r>
    <x v="23"/>
    <x v="313"/>
    <s v="Urban"/>
    <n v="49770"/>
    <x v="0"/>
    <n v="981"/>
  </r>
  <r>
    <x v="23"/>
    <x v="314"/>
    <s v="Urban"/>
    <n v="48035"/>
    <x v="0"/>
    <n v="520"/>
  </r>
  <r>
    <x v="23"/>
    <x v="315"/>
    <s v="Urban"/>
    <n v="48917"/>
    <x v="3"/>
    <n v="421"/>
  </r>
  <r>
    <x v="23"/>
    <x v="105"/>
    <s v="Urban"/>
    <n v="49512"/>
    <x v="3"/>
    <n v="133"/>
  </r>
  <r>
    <x v="23"/>
    <x v="316"/>
    <s v="Urban"/>
    <n v="48183"/>
    <x v="1"/>
    <n v="1247"/>
  </r>
  <r>
    <x v="23"/>
    <x v="316"/>
    <s v="Urban"/>
    <n v="48195"/>
    <x v="0"/>
    <n v="1261"/>
  </r>
  <r>
    <x v="23"/>
    <x v="317"/>
    <s v="Urban"/>
    <n v="49684"/>
    <x v="2"/>
    <n v="1636"/>
  </r>
  <r>
    <x v="23"/>
    <x v="317"/>
    <s v="Urban"/>
    <n v="49686"/>
    <x v="3"/>
    <n v="487"/>
  </r>
  <r>
    <x v="23"/>
    <x v="105"/>
    <s v="Urban"/>
    <n v="49512"/>
    <x v="0"/>
    <n v="1512"/>
  </r>
  <r>
    <x v="23"/>
    <x v="316"/>
    <s v="Urban"/>
    <n v="48124"/>
    <x v="2"/>
    <n v="2065"/>
  </r>
  <r>
    <x v="23"/>
    <x v="316"/>
    <s v="Urban"/>
    <n v="48150"/>
    <x v="1"/>
    <n v="1121"/>
  </r>
  <r>
    <x v="23"/>
    <x v="316"/>
    <s v="Urban"/>
    <n v="48185"/>
    <x v="0"/>
    <n v="920"/>
  </r>
  <r>
    <x v="23"/>
    <x v="318"/>
    <s v="Urban"/>
    <n v="48604"/>
    <x v="2"/>
    <n v="1286"/>
  </r>
  <r>
    <x v="23"/>
    <x v="314"/>
    <s v="Urban"/>
    <n v="48021"/>
    <x v="1"/>
    <n v="1403"/>
  </r>
  <r>
    <x v="23"/>
    <x v="319"/>
    <s v="Urban"/>
    <n v="49221"/>
    <x v="2"/>
    <n v="1353"/>
  </r>
  <r>
    <x v="23"/>
    <x v="312"/>
    <s v="Urban"/>
    <n v="48864"/>
    <x v="3"/>
    <n v="163"/>
  </r>
  <r>
    <x v="23"/>
    <x v="318"/>
    <s v="Urban"/>
    <n v="48604"/>
    <x v="0"/>
    <n v="255"/>
  </r>
  <r>
    <x v="23"/>
    <x v="314"/>
    <s v="Urban"/>
    <n v="48038"/>
    <x v="5"/>
    <n v="953"/>
  </r>
  <r>
    <x v="23"/>
    <x v="314"/>
    <s v="Urban"/>
    <n v="48051"/>
    <x v="2"/>
    <n v="2866"/>
  </r>
  <r>
    <x v="23"/>
    <x v="318"/>
    <s v="Urban"/>
    <n v="48604"/>
    <x v="3"/>
    <n v="323"/>
  </r>
  <r>
    <x v="23"/>
    <x v="316"/>
    <s v="Urban"/>
    <n v="48230"/>
    <x v="2"/>
    <n v="1158"/>
  </r>
  <r>
    <x v="23"/>
    <x v="314"/>
    <s v="Urban"/>
    <n v="48313"/>
    <x v="1"/>
    <n v="2376"/>
  </r>
  <r>
    <x v="23"/>
    <x v="105"/>
    <s v="Urban"/>
    <n v="49316"/>
    <x v="2"/>
    <n v="265"/>
  </r>
  <r>
    <x v="23"/>
    <x v="320"/>
    <s v="Urban"/>
    <n v="48858"/>
    <x v="2"/>
    <n v="537"/>
  </r>
  <r>
    <x v="23"/>
    <x v="105"/>
    <s v="Urban"/>
    <n v="49418"/>
    <x v="2"/>
    <n v="2066"/>
  </r>
  <r>
    <x v="23"/>
    <x v="316"/>
    <s v="Urban"/>
    <n v="48187"/>
    <x v="0"/>
    <n v="1223"/>
  </r>
  <r>
    <x v="23"/>
    <x v="316"/>
    <s v="Urban"/>
    <n v="48101"/>
    <x v="2"/>
    <n v="1228"/>
  </r>
  <r>
    <x v="23"/>
    <x v="105"/>
    <s v="Urban"/>
    <n v="49544"/>
    <x v="1"/>
    <n v="1462"/>
  </r>
  <r>
    <x v="23"/>
    <x v="312"/>
    <s v="Urban"/>
    <n v="48912"/>
    <x v="2"/>
    <n v="824"/>
  </r>
  <r>
    <x v="23"/>
    <x v="312"/>
    <s v="Urban"/>
    <n v="48864"/>
    <x v="1"/>
    <n v="2026"/>
  </r>
  <r>
    <x v="23"/>
    <x v="105"/>
    <s v="Urban"/>
    <n v="49512"/>
    <x v="2"/>
    <n v="1763"/>
  </r>
  <r>
    <x v="23"/>
    <x v="315"/>
    <s v="Urban"/>
    <n v="48917"/>
    <x v="2"/>
    <n v="1163"/>
  </r>
  <r>
    <x v="23"/>
    <x v="314"/>
    <s v="Urban"/>
    <n v="48312"/>
    <x v="0"/>
    <n v="782"/>
  </r>
  <r>
    <x v="23"/>
    <x v="316"/>
    <s v="Urban"/>
    <n v="48168"/>
    <x v="1"/>
    <n v="4179"/>
  </r>
  <r>
    <x v="23"/>
    <x v="316"/>
    <s v="Urban"/>
    <n v="48124"/>
    <x v="3"/>
    <n v="650"/>
  </r>
  <r>
    <x v="23"/>
    <x v="105"/>
    <s v="Urban"/>
    <n v="49418"/>
    <x v="0"/>
    <n v="1955"/>
  </r>
  <r>
    <x v="24"/>
    <x v="321"/>
    <s v="Rural"/>
    <n v="55413"/>
    <x v="1"/>
    <n v="2261"/>
  </r>
  <r>
    <x v="24"/>
    <x v="321"/>
    <s v="Rural"/>
    <n v="55435"/>
    <x v="2"/>
    <n v="1603"/>
  </r>
  <r>
    <x v="24"/>
    <x v="322"/>
    <s v="Rural"/>
    <n v="55330"/>
    <x v="0"/>
    <n v="2412"/>
  </r>
  <r>
    <x v="24"/>
    <x v="323"/>
    <s v="Rural"/>
    <n v="55109"/>
    <x v="0"/>
    <n v="1328"/>
  </r>
  <r>
    <x v="24"/>
    <x v="323"/>
    <s v="Rural"/>
    <n v="55104"/>
    <x v="0"/>
    <n v="1072"/>
  </r>
  <r>
    <x v="24"/>
    <x v="323"/>
    <s v="Rural"/>
    <n v="55113"/>
    <x v="1"/>
    <n v="1661"/>
  </r>
  <r>
    <x v="24"/>
    <x v="324"/>
    <s v="Rural"/>
    <n v="56425"/>
    <x v="0"/>
    <n v="527"/>
  </r>
  <r>
    <x v="24"/>
    <x v="321"/>
    <s v="Rural"/>
    <n v="55416"/>
    <x v="1"/>
    <n v="797"/>
  </r>
  <r>
    <x v="24"/>
    <x v="321"/>
    <s v="Rural"/>
    <n v="55408"/>
    <x v="1"/>
    <n v="1242"/>
  </r>
  <r>
    <x v="24"/>
    <x v="321"/>
    <s v="Rural"/>
    <n v="55369"/>
    <x v="1"/>
    <n v="1775"/>
  </r>
  <r>
    <x v="24"/>
    <x v="321"/>
    <s v="Rural"/>
    <n v="55435"/>
    <x v="5"/>
    <n v="516"/>
  </r>
  <r>
    <x v="24"/>
    <x v="321"/>
    <s v="Rural"/>
    <n v="55408"/>
    <x v="4"/>
    <n v="1052"/>
  </r>
  <r>
    <x v="24"/>
    <x v="321"/>
    <s v="Rural"/>
    <n v="55305"/>
    <x v="2"/>
    <n v="826"/>
  </r>
  <r>
    <x v="24"/>
    <x v="321"/>
    <s v="Rural"/>
    <n v="55435"/>
    <x v="1"/>
    <n v="406"/>
  </r>
  <r>
    <x v="24"/>
    <x v="325"/>
    <s v="Rural"/>
    <n v="56601"/>
    <x v="0"/>
    <n v="342"/>
  </r>
  <r>
    <x v="24"/>
    <x v="323"/>
    <s v="Rural"/>
    <n v="55105"/>
    <x v="4"/>
    <n v="1948"/>
  </r>
  <r>
    <x v="24"/>
    <x v="321"/>
    <s v="Rural"/>
    <n v="55425"/>
    <x v="4"/>
    <n v="415"/>
  </r>
  <r>
    <x v="24"/>
    <x v="321"/>
    <s v="Rural"/>
    <n v="55369"/>
    <x v="3"/>
    <n v="717"/>
  </r>
  <r>
    <x v="24"/>
    <x v="321"/>
    <s v="Rural"/>
    <n v="55305"/>
    <x v="1"/>
    <n v="4535"/>
  </r>
  <r>
    <x v="24"/>
    <x v="321"/>
    <s v="Rural"/>
    <n v="55344"/>
    <x v="1"/>
    <n v="862"/>
  </r>
  <r>
    <x v="24"/>
    <x v="321"/>
    <s v="Rural"/>
    <n v="55305"/>
    <x v="5"/>
    <n v="2095"/>
  </r>
  <r>
    <x v="24"/>
    <x v="321"/>
    <s v="Rural"/>
    <n v="55410"/>
    <x v="4"/>
    <n v="345"/>
  </r>
  <r>
    <x v="24"/>
    <x v="326"/>
    <s v="Suburban"/>
    <n v="56001"/>
    <x v="1"/>
    <n v="3038"/>
  </r>
  <r>
    <x v="24"/>
    <x v="192"/>
    <s v="Suburban"/>
    <n v="55379"/>
    <x v="0"/>
    <n v="417"/>
  </r>
  <r>
    <x v="24"/>
    <x v="327"/>
    <s v="Suburban"/>
    <n v="55434"/>
    <x v="0"/>
    <n v="597"/>
  </r>
  <r>
    <x v="24"/>
    <x v="192"/>
    <s v="Suburban"/>
    <n v="55378"/>
    <x v="0"/>
    <n v="1943"/>
  </r>
  <r>
    <x v="24"/>
    <x v="327"/>
    <s v="Suburban"/>
    <n v="55433"/>
    <x v="0"/>
    <n v="1582"/>
  </r>
  <r>
    <x v="24"/>
    <x v="327"/>
    <s v="Suburban"/>
    <n v="55449"/>
    <x v="0"/>
    <n v="1020"/>
  </r>
  <r>
    <x v="24"/>
    <x v="328"/>
    <s v="Suburban"/>
    <n v="56201"/>
    <x v="0"/>
    <n v="1446"/>
  </r>
  <r>
    <x v="24"/>
    <x v="82"/>
    <s v="Suburban"/>
    <n v="56308"/>
    <x v="0"/>
    <n v="1256"/>
  </r>
  <r>
    <x v="24"/>
    <x v="329"/>
    <s v="Urban"/>
    <n v="55124"/>
    <x v="3"/>
    <n v="367"/>
  </r>
  <r>
    <x v="24"/>
    <x v="330"/>
    <s v="Urban"/>
    <n v="55362"/>
    <x v="0"/>
    <n v="1679"/>
  </r>
  <r>
    <x v="24"/>
    <x v="329"/>
    <s v="Urban"/>
    <n v="55121"/>
    <x v="0"/>
    <n v="375"/>
  </r>
  <r>
    <x v="24"/>
    <x v="331"/>
    <s v="Urban"/>
    <n v="55317"/>
    <x v="0"/>
    <n v="1312"/>
  </r>
  <r>
    <x v="24"/>
    <x v="332"/>
    <s v="Urban"/>
    <n v="56301"/>
    <x v="1"/>
    <n v="1162"/>
  </r>
  <r>
    <x v="24"/>
    <x v="333"/>
    <s v="Urban"/>
    <n v="55811"/>
    <x v="1"/>
    <n v="475"/>
  </r>
  <r>
    <x v="24"/>
    <x v="329"/>
    <s v="Urban"/>
    <n v="55077"/>
    <x v="0"/>
    <n v="514"/>
  </r>
  <r>
    <x v="24"/>
    <x v="332"/>
    <s v="Urban"/>
    <n v="56301"/>
    <x v="0"/>
    <n v="1807"/>
  </r>
  <r>
    <x v="24"/>
    <x v="334"/>
    <s v="Urban"/>
    <n v="55901"/>
    <x v="2"/>
    <n v="516"/>
  </r>
  <r>
    <x v="24"/>
    <x v="23"/>
    <s v="Urban"/>
    <n v="55125"/>
    <x v="0"/>
    <n v="769"/>
  </r>
  <r>
    <x v="24"/>
    <x v="329"/>
    <s v="Urban"/>
    <n v="55124"/>
    <x v="2"/>
    <n v="761"/>
  </r>
  <r>
    <x v="24"/>
    <x v="329"/>
    <s v="Urban"/>
    <n v="55124"/>
    <x v="1"/>
    <n v="817"/>
  </r>
  <r>
    <x v="24"/>
    <x v="334"/>
    <s v="Urban"/>
    <n v="55904"/>
    <x v="0"/>
    <n v="633"/>
  </r>
  <r>
    <x v="24"/>
    <x v="141"/>
    <s v="Urban"/>
    <n v="56529"/>
    <x v="0"/>
    <n v="504"/>
  </r>
  <r>
    <x v="24"/>
    <x v="23"/>
    <s v="Urban"/>
    <n v="55082"/>
    <x v="0"/>
    <n v="684"/>
  </r>
  <r>
    <x v="24"/>
    <x v="23"/>
    <s v="Urban"/>
    <n v="55025"/>
    <x v="0"/>
    <n v="2462"/>
  </r>
  <r>
    <x v="25"/>
    <x v="335"/>
    <s v="Rural"/>
    <n v="65301"/>
    <x v="2"/>
    <n v="1422"/>
  </r>
  <r>
    <x v="25"/>
    <x v="336"/>
    <s v="Rural"/>
    <n v="65401"/>
    <x v="2"/>
    <n v="1174"/>
  </r>
  <r>
    <x v="25"/>
    <x v="337"/>
    <s v="Rural"/>
    <n v="65109"/>
    <x v="2"/>
    <n v="1286"/>
  </r>
  <r>
    <x v="25"/>
    <x v="338"/>
    <s v="Rural"/>
    <n v="63108"/>
    <x v="1"/>
    <n v="1554"/>
  </r>
  <r>
    <x v="25"/>
    <x v="254"/>
    <s v="Rural"/>
    <n v="63090"/>
    <x v="3"/>
    <n v="1030"/>
  </r>
  <r>
    <x v="25"/>
    <x v="339"/>
    <s v="Rural"/>
    <n v="64804"/>
    <x v="1"/>
    <n v="4910"/>
  </r>
  <r>
    <x v="25"/>
    <x v="339"/>
    <s v="Rural"/>
    <n v="64836"/>
    <x v="3"/>
    <n v="937"/>
  </r>
  <r>
    <x v="25"/>
    <x v="254"/>
    <s v="Rural"/>
    <n v="63090"/>
    <x v="0"/>
    <n v="1215"/>
  </r>
  <r>
    <x v="25"/>
    <x v="340"/>
    <s v="Rural"/>
    <n v="63640"/>
    <x v="0"/>
    <n v="1494"/>
  </r>
  <r>
    <x v="25"/>
    <x v="339"/>
    <s v="Rural"/>
    <n v="64801"/>
    <x v="3"/>
    <n v="1479"/>
  </r>
  <r>
    <x v="25"/>
    <x v="338"/>
    <s v="Rural"/>
    <n v="63116"/>
    <x v="1"/>
    <n v="959"/>
  </r>
  <r>
    <x v="25"/>
    <x v="341"/>
    <s v="Suburban"/>
    <n v="63376"/>
    <x v="1"/>
    <n v="1673"/>
  </r>
  <r>
    <x v="25"/>
    <x v="214"/>
    <s v="Suburban"/>
    <n v="64112"/>
    <x v="4"/>
    <n v="3220"/>
  </r>
  <r>
    <x v="25"/>
    <x v="214"/>
    <s v="Suburban"/>
    <n v="64055"/>
    <x v="1"/>
    <n v="1575"/>
  </r>
  <r>
    <x v="25"/>
    <x v="342"/>
    <s v="Suburban"/>
    <n v="65804"/>
    <x v="2"/>
    <n v="2838"/>
  </r>
  <r>
    <x v="25"/>
    <x v="214"/>
    <s v="Suburban"/>
    <n v="64081"/>
    <x v="3"/>
    <n v="1797"/>
  </r>
  <r>
    <x v="25"/>
    <x v="343"/>
    <s v="Suburban"/>
    <n v="63901"/>
    <x v="1"/>
    <n v="1444"/>
  </r>
  <r>
    <x v="25"/>
    <x v="344"/>
    <s v="Suburban"/>
    <n v="64151"/>
    <x v="0"/>
    <n v="1689"/>
  </r>
  <r>
    <x v="25"/>
    <x v="341"/>
    <s v="Suburban"/>
    <n v="63385"/>
    <x v="0"/>
    <n v="584"/>
  </r>
  <r>
    <x v="25"/>
    <x v="345"/>
    <s v="Suburban"/>
    <n v="64506"/>
    <x v="1"/>
    <n v="1926"/>
  </r>
  <r>
    <x v="25"/>
    <x v="342"/>
    <s v="Suburban"/>
    <n v="65804"/>
    <x v="1"/>
    <n v="3432"/>
  </r>
  <r>
    <x v="25"/>
    <x v="344"/>
    <s v="Suburban"/>
    <n v="64153"/>
    <x v="2"/>
    <n v="1332"/>
  </r>
  <r>
    <x v="25"/>
    <x v="342"/>
    <s v="Suburban"/>
    <n v="65802"/>
    <x v="3"/>
    <n v="308"/>
  </r>
  <r>
    <x v="25"/>
    <x v="214"/>
    <s v="Suburban"/>
    <n v="64111"/>
    <x v="1"/>
    <n v="1318"/>
  </r>
  <r>
    <x v="25"/>
    <x v="341"/>
    <s v="Suburban"/>
    <n v="63304"/>
    <x v="0"/>
    <n v="891"/>
  </r>
  <r>
    <x v="25"/>
    <x v="214"/>
    <s v="Suburban"/>
    <n v="64081"/>
    <x v="1"/>
    <n v="1864"/>
  </r>
  <r>
    <x v="25"/>
    <x v="341"/>
    <s v="Suburban"/>
    <n v="63366"/>
    <x v="0"/>
    <n v="1984"/>
  </r>
  <r>
    <x v="25"/>
    <x v="346"/>
    <s v="Suburban"/>
    <n v="63701"/>
    <x v="2"/>
    <n v="2580"/>
  </r>
  <r>
    <x v="25"/>
    <x v="214"/>
    <s v="Suburban"/>
    <n v="64014"/>
    <x v="1"/>
    <n v="2118"/>
  </r>
  <r>
    <x v="25"/>
    <x v="342"/>
    <s v="Suburban"/>
    <n v="65807"/>
    <x v="3"/>
    <n v="1033"/>
  </r>
  <r>
    <x v="25"/>
    <x v="333"/>
    <s v="Urban"/>
    <n v="63132"/>
    <x v="0"/>
    <n v="1131"/>
  </r>
  <r>
    <x v="25"/>
    <x v="141"/>
    <s v="Urban"/>
    <n v="64157"/>
    <x v="1"/>
    <n v="1731"/>
  </r>
  <r>
    <x v="25"/>
    <x v="333"/>
    <s v="Urban"/>
    <n v="63026"/>
    <x v="0"/>
    <n v="1590"/>
  </r>
  <r>
    <x v="25"/>
    <x v="333"/>
    <s v="Urban"/>
    <n v="63122"/>
    <x v="1"/>
    <n v="799"/>
  </r>
  <r>
    <x v="25"/>
    <x v="333"/>
    <s v="Urban"/>
    <n v="63117"/>
    <x v="1"/>
    <n v="1266"/>
  </r>
  <r>
    <x v="25"/>
    <x v="244"/>
    <s v="Urban"/>
    <n v="65203"/>
    <x v="1"/>
    <n v="632"/>
  </r>
  <r>
    <x v="25"/>
    <x v="333"/>
    <s v="Urban"/>
    <n v="63044"/>
    <x v="1"/>
    <n v="1197"/>
  </r>
  <r>
    <x v="25"/>
    <x v="141"/>
    <s v="Urban"/>
    <n v="64118"/>
    <x v="1"/>
    <n v="2369"/>
  </r>
  <r>
    <x v="25"/>
    <x v="333"/>
    <s v="Urban"/>
    <n v="63033"/>
    <x v="0"/>
    <n v="1792"/>
  </r>
  <r>
    <x v="25"/>
    <x v="333"/>
    <s v="Urban"/>
    <n v="63005"/>
    <x v="0"/>
    <n v="357"/>
  </r>
  <r>
    <x v="25"/>
    <x v="244"/>
    <s v="Urban"/>
    <n v="65201"/>
    <x v="2"/>
    <n v="1244"/>
  </r>
  <r>
    <x v="25"/>
    <x v="347"/>
    <s v="Urban"/>
    <n v="64083"/>
    <x v="0"/>
    <n v="1919"/>
  </r>
  <r>
    <x v="25"/>
    <x v="17"/>
    <s v="Urban"/>
    <n v="63010"/>
    <x v="1"/>
    <n v="1892"/>
  </r>
  <r>
    <x v="25"/>
    <x v="333"/>
    <s v="Urban"/>
    <n v="63011"/>
    <x v="3"/>
    <n v="1126"/>
  </r>
  <r>
    <x v="25"/>
    <x v="333"/>
    <s v="Urban"/>
    <n v="63119"/>
    <x v="3"/>
    <n v="485"/>
  </r>
  <r>
    <x v="25"/>
    <x v="333"/>
    <s v="Urban"/>
    <n v="63124"/>
    <x v="4"/>
    <n v="1020"/>
  </r>
  <r>
    <x v="25"/>
    <x v="333"/>
    <s v="Urban"/>
    <n v="63129"/>
    <x v="0"/>
    <n v="1055"/>
  </r>
  <r>
    <x v="25"/>
    <x v="333"/>
    <s v="Urban"/>
    <n v="63011"/>
    <x v="1"/>
    <n v="2729"/>
  </r>
  <r>
    <x v="25"/>
    <x v="333"/>
    <s v="Urban"/>
    <n v="63141"/>
    <x v="1"/>
    <n v="1273"/>
  </r>
  <r>
    <x v="25"/>
    <x v="141"/>
    <s v="Urban"/>
    <n v="64118"/>
    <x v="3"/>
    <n v="481"/>
  </r>
  <r>
    <x v="26"/>
    <x v="348"/>
    <s v="Rural"/>
    <n v="38671"/>
    <x v="1"/>
    <n v="3348"/>
  </r>
  <r>
    <x v="26"/>
    <x v="23"/>
    <s v="Rural"/>
    <n v="38701"/>
    <x v="1"/>
    <n v="884"/>
  </r>
  <r>
    <x v="26"/>
    <x v="4"/>
    <s v="Rural"/>
    <n v="39110"/>
    <x v="1"/>
    <n v="5945"/>
  </r>
  <r>
    <x v="26"/>
    <x v="349"/>
    <s v="Rural"/>
    <n v="38655"/>
    <x v="1"/>
    <n v="2263"/>
  </r>
  <r>
    <x v="26"/>
    <x v="214"/>
    <s v="Suburban"/>
    <n v="39581"/>
    <x v="1"/>
    <n v="2153"/>
  </r>
  <r>
    <x v="26"/>
    <x v="350"/>
    <s v="Suburban"/>
    <n v="39204"/>
    <x v="1"/>
    <n v="745"/>
  </r>
  <r>
    <x v="26"/>
    <x v="245"/>
    <s v="Suburban"/>
    <n v="39648"/>
    <x v="1"/>
    <n v="2334"/>
  </r>
  <r>
    <x v="26"/>
    <x v="351"/>
    <s v="Suburban"/>
    <n v="39208"/>
    <x v="1"/>
    <n v="2003"/>
  </r>
  <r>
    <x v="26"/>
    <x v="351"/>
    <s v="Suburban"/>
    <n v="39232"/>
    <x v="3"/>
    <n v="1669"/>
  </r>
  <r>
    <x v="26"/>
    <x v="350"/>
    <s v="Suburban"/>
    <n v="39211"/>
    <x v="1"/>
    <n v="3435"/>
  </r>
  <r>
    <x v="26"/>
    <x v="352"/>
    <s v="Suburban"/>
    <n v="39440"/>
    <x v="1"/>
    <n v="3034"/>
  </r>
  <r>
    <x v="26"/>
    <x v="252"/>
    <s v="Suburban"/>
    <n v="39180"/>
    <x v="0"/>
    <n v="4536"/>
  </r>
  <r>
    <x v="26"/>
    <x v="13"/>
    <s v="Suburban"/>
    <n v="39301"/>
    <x v="1"/>
    <n v="841"/>
  </r>
  <r>
    <x v="26"/>
    <x v="90"/>
    <s v="Urban"/>
    <n v="39120"/>
    <x v="1"/>
    <n v="1016"/>
  </r>
  <r>
    <x v="26"/>
    <x v="353"/>
    <s v="Urban"/>
    <n v="39531"/>
    <x v="1"/>
    <n v="2105"/>
  </r>
  <r>
    <x v="26"/>
    <x v="354"/>
    <s v="Urban"/>
    <n v="39402"/>
    <x v="1"/>
    <n v="2484"/>
  </r>
  <r>
    <x v="26"/>
    <x v="18"/>
    <s v="Urban"/>
    <n v="38804"/>
    <x v="0"/>
    <n v="4461"/>
  </r>
  <r>
    <x v="26"/>
    <x v="353"/>
    <s v="Urban"/>
    <n v="39503"/>
    <x v="1"/>
    <n v="2790"/>
  </r>
  <r>
    <x v="26"/>
    <x v="353"/>
    <s v="Urban"/>
    <n v="39540"/>
    <x v="1"/>
    <n v="1166"/>
  </r>
  <r>
    <x v="27"/>
    <x v="355"/>
    <s v="Suburban"/>
    <n v="59102"/>
    <x v="1"/>
    <n v="1372"/>
  </r>
  <r>
    <x v="27"/>
    <x v="356"/>
    <s v="Suburban"/>
    <n v="59404"/>
    <x v="2"/>
    <n v="790"/>
  </r>
  <r>
    <x v="27"/>
    <x v="357"/>
    <s v="Suburban"/>
    <n v="59701"/>
    <x v="2"/>
    <n v="337"/>
  </r>
  <r>
    <x v="27"/>
    <x v="358"/>
    <s v="Suburban"/>
    <n v="59718"/>
    <x v="1"/>
    <n v="666"/>
  </r>
  <r>
    <x v="27"/>
    <x v="359"/>
    <s v="Suburban"/>
    <n v="59602"/>
    <x v="2"/>
    <n v="209"/>
  </r>
  <r>
    <x v="27"/>
    <x v="355"/>
    <s v="Suburban"/>
    <n v="59105"/>
    <x v="1"/>
    <n v="853"/>
  </r>
  <r>
    <x v="27"/>
    <x v="358"/>
    <s v="Suburban"/>
    <n v="59718"/>
    <x v="2"/>
    <n v="1511"/>
  </r>
  <r>
    <x v="27"/>
    <x v="360"/>
    <s v="Urban"/>
    <n v="59808"/>
    <x v="2"/>
    <n v="2132"/>
  </r>
  <r>
    <x v="27"/>
    <x v="361"/>
    <s v="Urban"/>
    <n v="59901"/>
    <x v="2"/>
    <n v="1024"/>
  </r>
  <r>
    <x v="28"/>
    <x v="362"/>
    <s v="Rural"/>
    <n v="28043"/>
    <x v="2"/>
    <n v="2583"/>
  </r>
  <r>
    <x v="28"/>
    <x v="363"/>
    <s v="Rural"/>
    <n v="28792"/>
    <x v="2"/>
    <n v="2436"/>
  </r>
  <r>
    <x v="28"/>
    <x v="29"/>
    <s v="Rural"/>
    <n v="28110"/>
    <x v="0"/>
    <n v="1537"/>
  </r>
  <r>
    <x v="28"/>
    <x v="364"/>
    <s v="Rural"/>
    <n v="28117"/>
    <x v="2"/>
    <n v="2173"/>
  </r>
  <r>
    <x v="28"/>
    <x v="365"/>
    <s v="Rural"/>
    <n v="28602"/>
    <x v="3"/>
    <n v="2379"/>
  </r>
  <r>
    <x v="28"/>
    <x v="366"/>
    <s v="Rural"/>
    <n v="28056"/>
    <x v="1"/>
    <n v="5219"/>
  </r>
  <r>
    <x v="28"/>
    <x v="367"/>
    <s v="Rural"/>
    <n v="27893"/>
    <x v="2"/>
    <n v="1197"/>
  </r>
  <r>
    <x v="28"/>
    <x v="18"/>
    <s v="Rural"/>
    <n v="27330"/>
    <x v="0"/>
    <n v="1349"/>
  </r>
  <r>
    <x v="28"/>
    <x v="368"/>
    <s v="Rural"/>
    <n v="28786"/>
    <x v="2"/>
    <n v="829"/>
  </r>
  <r>
    <x v="28"/>
    <x v="369"/>
    <s v="Rural"/>
    <n v="28146"/>
    <x v="2"/>
    <n v="1771"/>
  </r>
  <r>
    <x v="28"/>
    <x v="297"/>
    <s v="Rural"/>
    <n v="28303"/>
    <x v="1"/>
    <n v="3376"/>
  </r>
  <r>
    <x v="28"/>
    <x v="370"/>
    <s v="Rural"/>
    <n v="27203"/>
    <x v="2"/>
    <n v="1818"/>
  </r>
  <r>
    <x v="28"/>
    <x v="297"/>
    <s v="Rural"/>
    <n v="28314"/>
    <x v="2"/>
    <n v="2628"/>
  </r>
  <r>
    <x v="28"/>
    <x v="364"/>
    <s v="Rural"/>
    <n v="28625"/>
    <x v="2"/>
    <n v="3668"/>
  </r>
  <r>
    <x v="28"/>
    <x v="371"/>
    <s v="Rural"/>
    <n v="28546"/>
    <x v="2"/>
    <n v="3655"/>
  </r>
  <r>
    <x v="28"/>
    <x v="369"/>
    <s v="Rural"/>
    <n v="28144"/>
    <x v="1"/>
    <n v="1614"/>
  </r>
  <r>
    <x v="28"/>
    <x v="365"/>
    <s v="Rural"/>
    <n v="28602"/>
    <x v="1"/>
    <n v="4085"/>
  </r>
  <r>
    <x v="28"/>
    <x v="372"/>
    <s v="Rural"/>
    <n v="28315"/>
    <x v="2"/>
    <n v="12"/>
  </r>
  <r>
    <x v="28"/>
    <x v="373"/>
    <s v="Suburban"/>
    <n v="27526"/>
    <x v="2"/>
    <n v="2367"/>
  </r>
  <r>
    <x v="28"/>
    <x v="373"/>
    <s v="Suburban"/>
    <n v="27609"/>
    <x v="4"/>
    <n v="249"/>
  </r>
  <r>
    <x v="28"/>
    <x v="374"/>
    <s v="Suburban"/>
    <n v="28403"/>
    <x v="1"/>
    <n v="1133"/>
  </r>
  <r>
    <x v="28"/>
    <x v="375"/>
    <s v="Suburban"/>
    <n v="27858"/>
    <x v="2"/>
    <n v="1530"/>
  </r>
  <r>
    <x v="28"/>
    <x v="375"/>
    <s v="Suburban"/>
    <n v="27858"/>
    <x v="1"/>
    <n v="1768"/>
  </r>
  <r>
    <x v="28"/>
    <x v="173"/>
    <s v="Suburban"/>
    <n v="27103"/>
    <x v="0"/>
    <n v="763"/>
  </r>
  <r>
    <x v="28"/>
    <x v="173"/>
    <s v="Suburban"/>
    <n v="27106"/>
    <x v="1"/>
    <n v="1479"/>
  </r>
  <r>
    <x v="28"/>
    <x v="373"/>
    <s v="Suburban"/>
    <n v="27529"/>
    <x v="2"/>
    <n v="1964"/>
  </r>
  <r>
    <x v="28"/>
    <x v="373"/>
    <s v="Suburban"/>
    <n v="27613"/>
    <x v="1"/>
    <n v="363"/>
  </r>
  <r>
    <x v="28"/>
    <x v="373"/>
    <s v="Suburban"/>
    <n v="27518"/>
    <x v="1"/>
    <n v="1290"/>
  </r>
  <r>
    <x v="28"/>
    <x v="376"/>
    <s v="Suburban"/>
    <n v="28801"/>
    <x v="2"/>
    <n v="1920"/>
  </r>
  <r>
    <x v="28"/>
    <x v="374"/>
    <s v="Suburban"/>
    <n v="28412"/>
    <x v="2"/>
    <n v="786"/>
  </r>
  <r>
    <x v="28"/>
    <x v="374"/>
    <s v="Suburban"/>
    <n v="28405"/>
    <x v="0"/>
    <n v="1174"/>
  </r>
  <r>
    <x v="28"/>
    <x v="173"/>
    <s v="Suburban"/>
    <n v="27127"/>
    <x v="1"/>
    <n v="3182"/>
  </r>
  <r>
    <x v="28"/>
    <x v="374"/>
    <s v="Suburban"/>
    <n v="28403"/>
    <x v="2"/>
    <n v="1509"/>
  </r>
  <r>
    <x v="28"/>
    <x v="376"/>
    <s v="Suburban"/>
    <n v="28704"/>
    <x v="0"/>
    <n v="1715"/>
  </r>
  <r>
    <x v="28"/>
    <x v="376"/>
    <s v="Suburban"/>
    <n v="28805"/>
    <x v="1"/>
    <n v="969"/>
  </r>
  <r>
    <x v="28"/>
    <x v="373"/>
    <s v="Suburban"/>
    <n v="27529"/>
    <x v="0"/>
    <n v="1569"/>
  </r>
  <r>
    <x v="28"/>
    <x v="373"/>
    <s v="Suburban"/>
    <n v="27545"/>
    <x v="0"/>
    <n v="834"/>
  </r>
  <r>
    <x v="28"/>
    <x v="373"/>
    <s v="Suburban"/>
    <n v="27617"/>
    <x v="2"/>
    <n v="117"/>
  </r>
  <r>
    <x v="28"/>
    <x v="373"/>
    <s v="Suburban"/>
    <n v="27587"/>
    <x v="2"/>
    <n v="3372"/>
  </r>
  <r>
    <x v="28"/>
    <x v="373"/>
    <s v="Suburban"/>
    <n v="27513"/>
    <x v="2"/>
    <n v="772"/>
  </r>
  <r>
    <x v="28"/>
    <x v="373"/>
    <s v="Suburban"/>
    <n v="27511"/>
    <x v="2"/>
    <n v="2360"/>
  </r>
  <r>
    <x v="28"/>
    <x v="373"/>
    <s v="Suburban"/>
    <n v="27502"/>
    <x v="0"/>
    <n v="904"/>
  </r>
  <r>
    <x v="28"/>
    <x v="377"/>
    <s v="Suburban"/>
    <n v="27889"/>
    <x v="1"/>
    <n v="1592"/>
  </r>
  <r>
    <x v="28"/>
    <x v="378"/>
    <s v="Suburban"/>
    <n v="27909"/>
    <x v="0"/>
    <n v="1293"/>
  </r>
  <r>
    <x v="28"/>
    <x v="373"/>
    <s v="Suburban"/>
    <n v="27609"/>
    <x v="1"/>
    <n v="536"/>
  </r>
  <r>
    <x v="28"/>
    <x v="173"/>
    <s v="Suburban"/>
    <n v="27012"/>
    <x v="2"/>
    <n v="1862"/>
  </r>
  <r>
    <x v="28"/>
    <x v="373"/>
    <s v="Suburban"/>
    <n v="27609"/>
    <x v="2"/>
    <n v="1142"/>
  </r>
  <r>
    <x v="28"/>
    <x v="379"/>
    <s v="Suburban"/>
    <n v="28655"/>
    <x v="2"/>
    <n v="1291"/>
  </r>
  <r>
    <x v="28"/>
    <x v="380"/>
    <s v="Suburban"/>
    <n v="28557"/>
    <x v="2"/>
    <n v="2795"/>
  </r>
  <r>
    <x v="28"/>
    <x v="173"/>
    <s v="Suburban"/>
    <n v="27284"/>
    <x v="2"/>
    <n v="1405"/>
  </r>
  <r>
    <x v="28"/>
    <x v="381"/>
    <s v="Suburban"/>
    <n v="28562"/>
    <x v="2"/>
    <n v="1555"/>
  </r>
  <r>
    <x v="28"/>
    <x v="382"/>
    <s v="Urban"/>
    <n v="28203"/>
    <x v="1"/>
    <n v="756"/>
  </r>
  <r>
    <x v="28"/>
    <x v="383"/>
    <s v="Urban"/>
    <n v="27560"/>
    <x v="1"/>
    <n v="1282"/>
  </r>
  <r>
    <x v="28"/>
    <x v="383"/>
    <s v="Urban"/>
    <n v="27713"/>
    <x v="3"/>
    <n v="16"/>
  </r>
  <r>
    <x v="28"/>
    <x v="382"/>
    <s v="Urban"/>
    <n v="28273"/>
    <x v="0"/>
    <n v="4226"/>
  </r>
  <r>
    <x v="28"/>
    <x v="382"/>
    <s v="Urban"/>
    <n v="28205"/>
    <x v="1"/>
    <n v="1155"/>
  </r>
  <r>
    <x v="28"/>
    <x v="382"/>
    <s v="Urban"/>
    <n v="28105"/>
    <x v="1"/>
    <n v="1689"/>
  </r>
  <r>
    <x v="28"/>
    <x v="382"/>
    <s v="Urban"/>
    <n v="28078"/>
    <x v="2"/>
    <n v="1641"/>
  </r>
  <r>
    <x v="28"/>
    <x v="382"/>
    <s v="Urban"/>
    <n v="28078"/>
    <x v="1"/>
    <n v="252"/>
  </r>
  <r>
    <x v="28"/>
    <x v="316"/>
    <s v="Urban"/>
    <n v="27534"/>
    <x v="2"/>
    <n v="868"/>
  </r>
  <r>
    <x v="28"/>
    <x v="384"/>
    <s v="Urban"/>
    <n v="27804"/>
    <x v="1"/>
    <n v="3334"/>
  </r>
  <r>
    <x v="28"/>
    <x v="316"/>
    <s v="Urban"/>
    <n v="27534"/>
    <x v="1"/>
    <n v="2978"/>
  </r>
  <r>
    <x v="28"/>
    <x v="383"/>
    <s v="Urban"/>
    <n v="27713"/>
    <x v="4"/>
    <n v="2917"/>
  </r>
  <r>
    <x v="28"/>
    <x v="382"/>
    <s v="Urban"/>
    <n v="28262"/>
    <x v="1"/>
    <n v="1854"/>
  </r>
  <r>
    <x v="28"/>
    <x v="385"/>
    <s v="Urban"/>
    <n v="27262"/>
    <x v="1"/>
    <n v="1834"/>
  </r>
  <r>
    <x v="28"/>
    <x v="382"/>
    <s v="Urban"/>
    <n v="28134"/>
    <x v="1"/>
    <n v="1081"/>
  </r>
  <r>
    <x v="28"/>
    <x v="386"/>
    <s v="Urban"/>
    <n v="27215"/>
    <x v="1"/>
    <n v="2459"/>
  </r>
  <r>
    <x v="28"/>
    <x v="385"/>
    <s v="Urban"/>
    <n v="27262"/>
    <x v="2"/>
    <n v="840"/>
  </r>
  <r>
    <x v="28"/>
    <x v="383"/>
    <s v="Urban"/>
    <n v="27704"/>
    <x v="2"/>
    <n v="1708"/>
  </r>
  <r>
    <x v="28"/>
    <x v="382"/>
    <s v="Urban"/>
    <n v="28210"/>
    <x v="4"/>
    <n v="197"/>
  </r>
  <r>
    <x v="28"/>
    <x v="387"/>
    <s v="Urban"/>
    <n v="28150"/>
    <x v="0"/>
    <n v="7744"/>
  </r>
  <r>
    <x v="28"/>
    <x v="382"/>
    <s v="Urban"/>
    <n v="28217"/>
    <x v="1"/>
    <n v="973"/>
  </r>
  <r>
    <x v="28"/>
    <x v="385"/>
    <s v="Urban"/>
    <n v="27408"/>
    <x v="1"/>
    <n v="1178"/>
  </r>
  <r>
    <x v="28"/>
    <x v="383"/>
    <s v="Urban"/>
    <n v="27707"/>
    <x v="1"/>
    <n v="689"/>
  </r>
  <r>
    <x v="28"/>
    <x v="51"/>
    <s v="Urban"/>
    <n v="27514"/>
    <x v="2"/>
    <n v="654"/>
  </r>
  <r>
    <x v="28"/>
    <x v="388"/>
    <s v="Urban"/>
    <n v="27030"/>
    <x v="2"/>
    <n v="3949"/>
  </r>
  <r>
    <x v="28"/>
    <x v="385"/>
    <s v="Urban"/>
    <n v="27407"/>
    <x v="2"/>
    <n v="3072"/>
  </r>
  <r>
    <x v="28"/>
    <x v="385"/>
    <s v="Urban"/>
    <n v="27265"/>
    <x v="1"/>
    <n v="2639"/>
  </r>
  <r>
    <x v="28"/>
    <x v="382"/>
    <s v="Urban"/>
    <n v="28226"/>
    <x v="2"/>
    <n v="892"/>
  </r>
  <r>
    <x v="28"/>
    <x v="382"/>
    <s v="Urban"/>
    <n v="28269"/>
    <x v="2"/>
    <n v="793"/>
  </r>
  <r>
    <x v="28"/>
    <x v="382"/>
    <s v="Urban"/>
    <n v="28277"/>
    <x v="2"/>
    <n v="206"/>
  </r>
  <r>
    <x v="28"/>
    <x v="385"/>
    <s v="Urban"/>
    <n v="27410"/>
    <x v="1"/>
    <n v="1222"/>
  </r>
  <r>
    <x v="28"/>
    <x v="389"/>
    <s v="Urban"/>
    <n v="28470"/>
    <x v="1"/>
    <n v="6983"/>
  </r>
  <r>
    <x v="28"/>
    <x v="390"/>
    <s v="Urban"/>
    <n v="27959"/>
    <x v="2"/>
    <n v="785"/>
  </r>
  <r>
    <x v="28"/>
    <x v="385"/>
    <s v="Urban"/>
    <n v="27401"/>
    <x v="1"/>
    <n v="1782"/>
  </r>
  <r>
    <x v="28"/>
    <x v="391"/>
    <s v="Urban"/>
    <n v="28607"/>
    <x v="2"/>
    <n v="2061"/>
  </r>
  <r>
    <x v="29"/>
    <x v="347"/>
    <s v="Rural"/>
    <n v="58103"/>
    <x v="3"/>
    <n v="434"/>
  </r>
  <r>
    <x v="29"/>
    <x v="347"/>
    <s v="Rural"/>
    <n v="58103"/>
    <x v="1"/>
    <n v="2772"/>
  </r>
  <r>
    <x v="29"/>
    <x v="392"/>
    <s v="Rural"/>
    <n v="58201"/>
    <x v="0"/>
    <n v="1905"/>
  </r>
  <r>
    <x v="29"/>
    <x v="393"/>
    <s v="Rural"/>
    <n v="58504"/>
    <x v="1"/>
    <n v="507"/>
  </r>
  <r>
    <x v="29"/>
    <x v="394"/>
    <s v="Urban"/>
    <n v="58701"/>
    <x v="0"/>
    <n v="1442"/>
  </r>
  <r>
    <x v="30"/>
    <x v="395"/>
    <s v="Rural"/>
    <n v="68025"/>
    <x v="2"/>
    <n v="461"/>
  </r>
  <r>
    <x v="30"/>
    <x v="161"/>
    <s v="Rural"/>
    <n v="68803"/>
    <x v="0"/>
    <n v="1634"/>
  </r>
  <r>
    <x v="30"/>
    <x v="396"/>
    <s v="Suburban"/>
    <n v="69361"/>
    <x v="2"/>
    <n v="1131"/>
  </r>
  <r>
    <x v="30"/>
    <x v="397"/>
    <s v="Urban"/>
    <n v="68128"/>
    <x v="1"/>
    <n v="1068"/>
  </r>
  <r>
    <x v="30"/>
    <x v="398"/>
    <s v="Urban"/>
    <n v="68510"/>
    <x v="2"/>
    <n v="1681"/>
  </r>
  <r>
    <x v="30"/>
    <x v="398"/>
    <s v="Urban"/>
    <n v="68516"/>
    <x v="3"/>
    <n v="5858"/>
  </r>
  <r>
    <x v="30"/>
    <x v="82"/>
    <s v="Urban"/>
    <n v="68164"/>
    <x v="1"/>
    <n v="1542"/>
  </r>
  <r>
    <x v="30"/>
    <x v="4"/>
    <s v="Urban"/>
    <n v="68701"/>
    <x v="0"/>
    <n v="604"/>
  </r>
  <r>
    <x v="30"/>
    <x v="4"/>
    <s v="Urban"/>
    <n v="68701"/>
    <x v="3"/>
    <n v="834"/>
  </r>
  <r>
    <x v="30"/>
    <x v="82"/>
    <s v="Urban"/>
    <n v="68132"/>
    <x v="0"/>
    <n v="1685"/>
  </r>
  <r>
    <x v="30"/>
    <x v="399"/>
    <s v="Urban"/>
    <n v="68845"/>
    <x v="0"/>
    <n v="2299"/>
  </r>
  <r>
    <x v="30"/>
    <x v="398"/>
    <s v="Urban"/>
    <n v="68504"/>
    <x v="1"/>
    <n v="1543"/>
  </r>
  <r>
    <x v="30"/>
    <x v="398"/>
    <s v="Urban"/>
    <n v="68516"/>
    <x v="1"/>
    <n v="6370"/>
  </r>
  <r>
    <x v="30"/>
    <x v="82"/>
    <s v="Urban"/>
    <n v="68144"/>
    <x v="1"/>
    <n v="2029"/>
  </r>
  <r>
    <x v="31"/>
    <x v="400"/>
    <s v="Rural"/>
    <n v="3839"/>
    <x v="2"/>
    <n v="1635"/>
  </r>
  <r>
    <x v="31"/>
    <x v="401"/>
    <s v="Rural"/>
    <n v="3885"/>
    <x v="2"/>
    <n v="102"/>
  </r>
  <r>
    <x v="31"/>
    <x v="401"/>
    <s v="Rural"/>
    <n v="3801"/>
    <x v="2"/>
    <n v="1581"/>
  </r>
  <r>
    <x v="31"/>
    <x v="401"/>
    <s v="Rural"/>
    <n v="3053"/>
    <x v="2"/>
    <n v="1687"/>
  </r>
  <r>
    <x v="31"/>
    <x v="401"/>
    <s v="Rural"/>
    <n v="3079"/>
    <x v="2"/>
    <n v="5290"/>
  </r>
  <r>
    <x v="31"/>
    <x v="401"/>
    <s v="Rural"/>
    <n v="3865"/>
    <x v="2"/>
    <n v="1552"/>
  </r>
  <r>
    <x v="31"/>
    <x v="400"/>
    <s v="Rural"/>
    <n v="3878"/>
    <x v="2"/>
    <n v="84"/>
  </r>
  <r>
    <x v="31"/>
    <x v="401"/>
    <s v="Rural"/>
    <n v="3865"/>
    <x v="3"/>
    <n v="951"/>
  </r>
  <r>
    <x v="31"/>
    <x v="401"/>
    <s v="Rural"/>
    <n v="3079"/>
    <x v="3"/>
    <n v="310"/>
  </r>
  <r>
    <x v="31"/>
    <x v="401"/>
    <s v="Rural"/>
    <n v="3874"/>
    <x v="2"/>
    <n v="935"/>
  </r>
  <r>
    <x v="31"/>
    <x v="402"/>
    <s v="Suburban"/>
    <n v="3301"/>
    <x v="2"/>
    <n v="1793"/>
  </r>
  <r>
    <x v="31"/>
    <x v="403"/>
    <s v="Suburban"/>
    <n v="3431"/>
    <x v="2"/>
    <n v="753"/>
  </r>
  <r>
    <x v="31"/>
    <x v="174"/>
    <s v="Suburban"/>
    <n v="3860"/>
    <x v="2"/>
    <n v="761"/>
  </r>
  <r>
    <x v="31"/>
    <x v="121"/>
    <s v="Urban"/>
    <n v="3060"/>
    <x v="2"/>
    <n v="1208"/>
  </r>
  <r>
    <x v="31"/>
    <x v="121"/>
    <s v="Urban"/>
    <n v="3110"/>
    <x v="2"/>
    <n v="1075"/>
  </r>
  <r>
    <x v="31"/>
    <x v="121"/>
    <s v="Urban"/>
    <n v="3103"/>
    <x v="2"/>
    <n v="2148"/>
  </r>
  <r>
    <x v="31"/>
    <x v="121"/>
    <s v="Urban"/>
    <n v="3101"/>
    <x v="3"/>
    <n v="126"/>
  </r>
  <r>
    <x v="31"/>
    <x v="121"/>
    <s v="Urban"/>
    <n v="3031"/>
    <x v="2"/>
    <n v="1412"/>
  </r>
  <r>
    <x v="31"/>
    <x v="404"/>
    <s v="Urban"/>
    <n v="3276"/>
    <x v="2"/>
    <n v="793"/>
  </r>
  <r>
    <x v="31"/>
    <x v="405"/>
    <s v="Urban"/>
    <n v="3561"/>
    <x v="2"/>
    <n v="2066"/>
  </r>
  <r>
    <x v="31"/>
    <x v="405"/>
    <s v="Urban"/>
    <n v="3784"/>
    <x v="2"/>
    <n v="407"/>
  </r>
  <r>
    <x v="32"/>
    <x v="406"/>
    <s v="Rural"/>
    <n v="7726"/>
    <x v="2"/>
    <n v="4997"/>
  </r>
  <r>
    <x v="32"/>
    <x v="407"/>
    <s v="Rural"/>
    <n v="8869"/>
    <x v="2"/>
    <n v="964"/>
  </r>
  <r>
    <x v="32"/>
    <x v="408"/>
    <s v="Rural"/>
    <n v="7310"/>
    <x v="2"/>
    <n v="1528"/>
  </r>
  <r>
    <x v="32"/>
    <x v="407"/>
    <s v="Rural"/>
    <n v="7069"/>
    <x v="2"/>
    <n v="1440"/>
  </r>
  <r>
    <x v="32"/>
    <x v="409"/>
    <s v="Rural"/>
    <n v="8080"/>
    <x v="3"/>
    <n v="136"/>
  </r>
  <r>
    <x v="32"/>
    <x v="407"/>
    <s v="Rural"/>
    <n v="8873"/>
    <x v="3"/>
    <n v="1213"/>
  </r>
  <r>
    <x v="32"/>
    <x v="407"/>
    <s v="Rural"/>
    <n v="8844"/>
    <x v="2"/>
    <n v="1235"/>
  </r>
  <r>
    <x v="32"/>
    <x v="410"/>
    <s v="Rural"/>
    <n v="8002"/>
    <x v="2"/>
    <n v="928"/>
  </r>
  <r>
    <x v="32"/>
    <x v="409"/>
    <s v="Rural"/>
    <n v="8028"/>
    <x v="2"/>
    <n v="1022"/>
  </r>
  <r>
    <x v="32"/>
    <x v="410"/>
    <s v="Rural"/>
    <n v="8091"/>
    <x v="2"/>
    <n v="1053"/>
  </r>
  <r>
    <x v="32"/>
    <x v="406"/>
    <s v="Rural"/>
    <n v="8750"/>
    <x v="2"/>
    <n v="1236"/>
  </r>
  <r>
    <x v="32"/>
    <x v="406"/>
    <s v="Rural"/>
    <n v="7731"/>
    <x v="3"/>
    <n v="158"/>
  </r>
  <r>
    <x v="32"/>
    <x v="406"/>
    <s v="Rural"/>
    <n v="7728"/>
    <x v="2"/>
    <n v="703"/>
  </r>
  <r>
    <x v="32"/>
    <x v="406"/>
    <s v="Rural"/>
    <n v="7731"/>
    <x v="2"/>
    <n v="2244"/>
  </r>
  <r>
    <x v="32"/>
    <x v="406"/>
    <s v="Rural"/>
    <n v="7730"/>
    <x v="2"/>
    <n v="4644"/>
  </r>
  <r>
    <x v="32"/>
    <x v="406"/>
    <s v="Rural"/>
    <n v="7748"/>
    <x v="2"/>
    <n v="2263"/>
  </r>
  <r>
    <x v="32"/>
    <x v="406"/>
    <s v="Rural"/>
    <n v="7702"/>
    <x v="2"/>
    <n v="3599"/>
  </r>
  <r>
    <x v="32"/>
    <x v="410"/>
    <s v="Rural"/>
    <n v="8003"/>
    <x v="3"/>
    <n v="461"/>
  </r>
  <r>
    <x v="32"/>
    <x v="406"/>
    <s v="Rural"/>
    <n v="7712"/>
    <x v="2"/>
    <n v="2331"/>
  </r>
  <r>
    <x v="32"/>
    <x v="408"/>
    <s v="Rural"/>
    <n v="7030"/>
    <x v="4"/>
    <n v="686"/>
  </r>
  <r>
    <x v="32"/>
    <x v="409"/>
    <s v="Rural"/>
    <n v="8096"/>
    <x v="2"/>
    <n v="1445"/>
  </r>
  <r>
    <x v="32"/>
    <x v="409"/>
    <s v="Rural"/>
    <n v="8012"/>
    <x v="2"/>
    <n v="2101"/>
  </r>
  <r>
    <x v="32"/>
    <x v="94"/>
    <s v="Suburban"/>
    <n v="8840"/>
    <x v="3"/>
    <n v="242"/>
  </r>
  <r>
    <x v="32"/>
    <x v="411"/>
    <s v="Suburban"/>
    <n v="8057"/>
    <x v="2"/>
    <n v="703"/>
  </r>
  <r>
    <x v="32"/>
    <x v="412"/>
    <s v="Suburban"/>
    <n v="8648"/>
    <x v="2"/>
    <n v="739"/>
  </r>
  <r>
    <x v="32"/>
    <x v="411"/>
    <s v="Suburban"/>
    <n v="8053"/>
    <x v="4"/>
    <n v="1801"/>
  </r>
  <r>
    <x v="32"/>
    <x v="252"/>
    <s v="Suburban"/>
    <n v="7840"/>
    <x v="2"/>
    <n v="4146"/>
  </r>
  <r>
    <x v="32"/>
    <x v="413"/>
    <s v="Suburban"/>
    <n v="7436"/>
    <x v="2"/>
    <n v="4641"/>
  </r>
  <r>
    <x v="32"/>
    <x v="413"/>
    <s v="Suburban"/>
    <n v="7430"/>
    <x v="3"/>
    <n v="180"/>
  </r>
  <r>
    <x v="32"/>
    <x v="413"/>
    <s v="Suburban"/>
    <n v="7652"/>
    <x v="2"/>
    <n v="1148"/>
  </r>
  <r>
    <x v="32"/>
    <x v="29"/>
    <s v="Suburban"/>
    <n v="7901"/>
    <x v="4"/>
    <n v="287"/>
  </r>
  <r>
    <x v="32"/>
    <x v="414"/>
    <s v="Suburban"/>
    <n v="7470"/>
    <x v="3"/>
    <n v="1917"/>
  </r>
  <r>
    <x v="32"/>
    <x v="29"/>
    <s v="Suburban"/>
    <n v="7083"/>
    <x v="1"/>
    <n v="4673"/>
  </r>
  <r>
    <x v="32"/>
    <x v="412"/>
    <s v="Suburban"/>
    <n v="8540"/>
    <x v="2"/>
    <n v="758"/>
  </r>
  <r>
    <x v="32"/>
    <x v="412"/>
    <s v="Suburban"/>
    <n v="8534"/>
    <x v="3"/>
    <n v="256"/>
  </r>
  <r>
    <x v="32"/>
    <x v="413"/>
    <s v="Suburban"/>
    <n v="7656"/>
    <x v="2"/>
    <n v="2479"/>
  </r>
  <r>
    <x v="32"/>
    <x v="281"/>
    <s v="Suburban"/>
    <n v="7052"/>
    <x v="3"/>
    <n v="608"/>
  </r>
  <r>
    <x v="32"/>
    <x v="411"/>
    <s v="Suburban"/>
    <n v="8053"/>
    <x v="2"/>
    <n v="242"/>
  </r>
  <r>
    <x v="32"/>
    <x v="411"/>
    <s v="Suburban"/>
    <n v="8075"/>
    <x v="2"/>
    <n v="518"/>
  </r>
  <r>
    <x v="32"/>
    <x v="413"/>
    <s v="Suburban"/>
    <n v="7621"/>
    <x v="2"/>
    <n v="3417"/>
  </r>
  <r>
    <x v="32"/>
    <x v="412"/>
    <s v="Suburban"/>
    <n v="8542"/>
    <x v="4"/>
    <n v="25"/>
  </r>
  <r>
    <x v="32"/>
    <x v="412"/>
    <s v="Suburban"/>
    <n v="8520"/>
    <x v="2"/>
    <n v="2237"/>
  </r>
  <r>
    <x v="32"/>
    <x v="29"/>
    <s v="Suburban"/>
    <n v="7974"/>
    <x v="3"/>
    <n v="1403"/>
  </r>
  <r>
    <x v="32"/>
    <x v="413"/>
    <s v="Suburban"/>
    <n v="7663"/>
    <x v="2"/>
    <n v="1488"/>
  </r>
  <r>
    <x v="32"/>
    <x v="413"/>
    <s v="Suburban"/>
    <n v="7450"/>
    <x v="5"/>
    <n v="512"/>
  </r>
  <r>
    <x v="32"/>
    <x v="281"/>
    <s v="Suburban"/>
    <n v="7004"/>
    <x v="3"/>
    <n v="960"/>
  </r>
  <r>
    <x v="32"/>
    <x v="414"/>
    <s v="Suburban"/>
    <n v="7512"/>
    <x v="2"/>
    <n v="3861"/>
  </r>
  <r>
    <x v="32"/>
    <x v="281"/>
    <s v="Suburban"/>
    <n v="7039"/>
    <x v="2"/>
    <n v="913"/>
  </r>
  <r>
    <x v="32"/>
    <x v="281"/>
    <s v="Suburban"/>
    <n v="7052"/>
    <x v="2"/>
    <n v="580"/>
  </r>
  <r>
    <x v="32"/>
    <x v="414"/>
    <s v="Suburban"/>
    <n v="7470"/>
    <x v="2"/>
    <n v="1543"/>
  </r>
  <r>
    <x v="32"/>
    <x v="29"/>
    <s v="Suburban"/>
    <n v="7036"/>
    <x v="2"/>
    <n v="3405"/>
  </r>
  <r>
    <x v="32"/>
    <x v="413"/>
    <s v="Suburban"/>
    <n v="7020"/>
    <x v="2"/>
    <n v="163"/>
  </r>
  <r>
    <x v="32"/>
    <x v="411"/>
    <s v="Suburban"/>
    <n v="8060"/>
    <x v="2"/>
    <n v="671"/>
  </r>
  <r>
    <x v="32"/>
    <x v="94"/>
    <s v="Suburban"/>
    <n v="8837"/>
    <x v="1"/>
    <n v="1561"/>
  </r>
  <r>
    <x v="32"/>
    <x v="413"/>
    <s v="Suburban"/>
    <n v="7031"/>
    <x v="3"/>
    <n v="662"/>
  </r>
  <r>
    <x v="32"/>
    <x v="29"/>
    <s v="Suburban"/>
    <n v="7088"/>
    <x v="2"/>
    <n v="427"/>
  </r>
  <r>
    <x v="32"/>
    <x v="412"/>
    <s v="Suburban"/>
    <n v="8691"/>
    <x v="2"/>
    <n v="2833"/>
  </r>
  <r>
    <x v="32"/>
    <x v="413"/>
    <s v="Suburban"/>
    <n v="7446"/>
    <x v="2"/>
    <n v="2393"/>
  </r>
  <r>
    <x v="32"/>
    <x v="413"/>
    <s v="Suburban"/>
    <n v="7417"/>
    <x v="3"/>
    <n v="302"/>
  </r>
  <r>
    <x v="32"/>
    <x v="29"/>
    <s v="Suburban"/>
    <n v="7081"/>
    <x v="2"/>
    <n v="846"/>
  </r>
  <r>
    <x v="32"/>
    <x v="413"/>
    <s v="Suburban"/>
    <n v="7073"/>
    <x v="2"/>
    <n v="4573"/>
  </r>
  <r>
    <x v="32"/>
    <x v="281"/>
    <s v="Suburban"/>
    <n v="7009"/>
    <x v="2"/>
    <n v="888"/>
  </r>
  <r>
    <x v="32"/>
    <x v="414"/>
    <s v="Suburban"/>
    <n v="7014"/>
    <x v="2"/>
    <n v="4848"/>
  </r>
  <r>
    <x v="32"/>
    <x v="411"/>
    <s v="Suburban"/>
    <n v="8053"/>
    <x v="5"/>
    <n v="403"/>
  </r>
  <r>
    <x v="32"/>
    <x v="94"/>
    <s v="Suburban"/>
    <n v="8902"/>
    <x v="2"/>
    <n v="1826"/>
  </r>
  <r>
    <x v="32"/>
    <x v="413"/>
    <s v="Suburban"/>
    <n v="7601"/>
    <x v="2"/>
    <n v="845"/>
  </r>
  <r>
    <x v="32"/>
    <x v="413"/>
    <s v="Suburban"/>
    <n v="7024"/>
    <x v="2"/>
    <n v="1176"/>
  </r>
  <r>
    <x v="32"/>
    <x v="281"/>
    <s v="Suburban"/>
    <n v="7003"/>
    <x v="2"/>
    <n v="2662"/>
  </r>
  <r>
    <x v="32"/>
    <x v="414"/>
    <s v="Suburban"/>
    <n v="7424"/>
    <x v="3"/>
    <n v="306"/>
  </r>
  <r>
    <x v="32"/>
    <x v="94"/>
    <s v="Suburban"/>
    <n v="7080"/>
    <x v="2"/>
    <n v="973"/>
  </r>
  <r>
    <x v="32"/>
    <x v="94"/>
    <s v="Suburban"/>
    <n v="8830"/>
    <x v="2"/>
    <n v="1590"/>
  </r>
  <r>
    <x v="32"/>
    <x v="415"/>
    <s v="Urban"/>
    <n v="8753"/>
    <x v="2"/>
    <n v="4044"/>
  </r>
  <r>
    <x v="32"/>
    <x v="103"/>
    <s v="Urban"/>
    <n v="7860"/>
    <x v="2"/>
    <n v="1132"/>
  </r>
  <r>
    <x v="32"/>
    <x v="297"/>
    <s v="Urban"/>
    <n v="8332"/>
    <x v="2"/>
    <n v="808"/>
  </r>
  <r>
    <x v="32"/>
    <x v="416"/>
    <s v="Urban"/>
    <n v="7054"/>
    <x v="2"/>
    <n v="1905"/>
  </r>
  <r>
    <x v="32"/>
    <x v="416"/>
    <s v="Urban"/>
    <n v="7457"/>
    <x v="2"/>
    <n v="2132"/>
  </r>
  <r>
    <x v="32"/>
    <x v="417"/>
    <s v="Urban"/>
    <n v="8244"/>
    <x v="2"/>
    <n v="458"/>
  </r>
  <r>
    <x v="32"/>
    <x v="418"/>
    <s v="Urban"/>
    <n v="8822"/>
    <x v="2"/>
    <n v="1607"/>
  </r>
  <r>
    <x v="32"/>
    <x v="415"/>
    <s v="Urban"/>
    <n v="8723"/>
    <x v="2"/>
    <n v="1637"/>
  </r>
  <r>
    <x v="32"/>
    <x v="415"/>
    <s v="Urban"/>
    <n v="8050"/>
    <x v="2"/>
    <n v="1331"/>
  </r>
  <r>
    <x v="32"/>
    <x v="416"/>
    <s v="Urban"/>
    <n v="7876"/>
    <x v="2"/>
    <n v="2125"/>
  </r>
  <r>
    <x v="32"/>
    <x v="419"/>
    <s v="Urban"/>
    <n v="8210"/>
    <x v="2"/>
    <n v="948"/>
  </r>
  <r>
    <x v="32"/>
    <x v="297"/>
    <s v="Urban"/>
    <n v="8360"/>
    <x v="3"/>
    <n v="1656"/>
  </r>
  <r>
    <x v="32"/>
    <x v="417"/>
    <s v="Urban"/>
    <n v="8330"/>
    <x v="2"/>
    <n v="1585"/>
  </r>
  <r>
    <x v="32"/>
    <x v="416"/>
    <s v="Urban"/>
    <n v="7869"/>
    <x v="2"/>
    <n v="1214"/>
  </r>
  <r>
    <x v="32"/>
    <x v="416"/>
    <s v="Urban"/>
    <n v="7960"/>
    <x v="2"/>
    <n v="472"/>
  </r>
  <r>
    <x v="32"/>
    <x v="419"/>
    <s v="Urban"/>
    <n v="8242"/>
    <x v="3"/>
    <n v="424"/>
  </r>
  <r>
    <x v="32"/>
    <x v="416"/>
    <s v="Urban"/>
    <n v="7405"/>
    <x v="3"/>
    <n v="1741"/>
  </r>
  <r>
    <x v="32"/>
    <x v="416"/>
    <s v="Urban"/>
    <n v="7940"/>
    <x v="2"/>
    <n v="306"/>
  </r>
  <r>
    <x v="32"/>
    <x v="416"/>
    <s v="Urban"/>
    <n v="7930"/>
    <x v="5"/>
    <n v="1043"/>
  </r>
  <r>
    <x v="33"/>
    <x v="420"/>
    <s v="Rural"/>
    <n v="88310"/>
    <x v="2"/>
    <n v="1716"/>
  </r>
  <r>
    <x v="33"/>
    <x v="421"/>
    <s v="Rural"/>
    <n v="88240"/>
    <x v="2"/>
    <n v="1232"/>
  </r>
  <r>
    <x v="33"/>
    <x v="422"/>
    <s v="Suburban"/>
    <n v="88201"/>
    <x v="0"/>
    <n v="1028"/>
  </r>
  <r>
    <x v="33"/>
    <x v="423"/>
    <s v="Suburban"/>
    <n v="88001"/>
    <x v="2"/>
    <n v="879"/>
  </r>
  <r>
    <x v="33"/>
    <x v="424"/>
    <s v="Suburban"/>
    <n v="87505"/>
    <x v="1"/>
    <n v="619"/>
  </r>
  <r>
    <x v="33"/>
    <x v="423"/>
    <s v="Suburban"/>
    <n v="88011"/>
    <x v="0"/>
    <n v="2176"/>
  </r>
  <r>
    <x v="33"/>
    <x v="424"/>
    <s v="Suburban"/>
    <n v="87501"/>
    <x v="1"/>
    <n v="858"/>
  </r>
  <r>
    <x v="33"/>
    <x v="425"/>
    <s v="Urban"/>
    <n v="87402"/>
    <x v="0"/>
    <n v="1411"/>
  </r>
  <r>
    <x v="33"/>
    <x v="426"/>
    <s v="Urban"/>
    <n v="88101"/>
    <x v="0"/>
    <n v="1192"/>
  </r>
  <r>
    <x v="33"/>
    <x v="427"/>
    <s v="Urban"/>
    <n v="87123"/>
    <x v="1"/>
    <n v="747"/>
  </r>
  <r>
    <x v="33"/>
    <x v="427"/>
    <s v="Urban"/>
    <n v="87114"/>
    <x v="2"/>
    <n v="1727"/>
  </r>
  <r>
    <x v="33"/>
    <x v="425"/>
    <s v="Urban"/>
    <n v="87402"/>
    <x v="2"/>
    <n v="1131"/>
  </r>
  <r>
    <x v="33"/>
    <x v="427"/>
    <s v="Urban"/>
    <n v="87109"/>
    <x v="1"/>
    <n v="1375"/>
  </r>
  <r>
    <x v="33"/>
    <x v="427"/>
    <s v="Urban"/>
    <n v="87110"/>
    <x v="1"/>
    <n v="698"/>
  </r>
  <r>
    <x v="33"/>
    <x v="427"/>
    <s v="Urban"/>
    <n v="87110"/>
    <x v="2"/>
    <n v="1745"/>
  </r>
  <r>
    <x v="33"/>
    <x v="427"/>
    <s v="Urban"/>
    <n v="87111"/>
    <x v="2"/>
    <n v="1208"/>
  </r>
  <r>
    <x v="33"/>
    <x v="427"/>
    <s v="Urban"/>
    <n v="87107"/>
    <x v="1"/>
    <n v="875"/>
  </r>
  <r>
    <x v="33"/>
    <x v="427"/>
    <s v="Urban"/>
    <n v="87114"/>
    <x v="0"/>
    <n v="888"/>
  </r>
  <r>
    <x v="34"/>
    <x v="428"/>
    <s v="Rural"/>
    <n v="89801"/>
    <x v="0"/>
    <n v="1405"/>
  </r>
  <r>
    <x v="34"/>
    <x v="429"/>
    <s v="Rural"/>
    <n v="89701"/>
    <x v="1"/>
    <n v="1904"/>
  </r>
  <r>
    <x v="34"/>
    <x v="430"/>
    <s v="Suburban"/>
    <n v="89512"/>
    <x v="1"/>
    <n v="1043"/>
  </r>
  <r>
    <x v="34"/>
    <x v="430"/>
    <s v="Suburban"/>
    <n v="89502"/>
    <x v="2"/>
    <n v="1900"/>
  </r>
  <r>
    <x v="34"/>
    <x v="236"/>
    <s v="Suburban"/>
    <n v="89117"/>
    <x v="0"/>
    <n v="1302"/>
  </r>
  <r>
    <x v="34"/>
    <x v="236"/>
    <s v="Suburban"/>
    <n v="89119"/>
    <x v="1"/>
    <n v="970"/>
  </r>
  <r>
    <x v="34"/>
    <x v="430"/>
    <s v="Suburban"/>
    <n v="89436"/>
    <x v="1"/>
    <n v="954"/>
  </r>
  <r>
    <x v="34"/>
    <x v="236"/>
    <s v="Suburban"/>
    <n v="89032"/>
    <x v="1"/>
    <n v="3166"/>
  </r>
  <r>
    <x v="34"/>
    <x v="236"/>
    <s v="Suburban"/>
    <n v="89108"/>
    <x v="1"/>
    <n v="380"/>
  </r>
  <r>
    <x v="34"/>
    <x v="236"/>
    <s v="Suburban"/>
    <n v="89084"/>
    <x v="2"/>
    <n v="910"/>
  </r>
  <r>
    <x v="34"/>
    <x v="430"/>
    <s v="Suburban"/>
    <n v="89521"/>
    <x v="1"/>
    <n v="1250"/>
  </r>
  <r>
    <x v="34"/>
    <x v="236"/>
    <s v="Suburban"/>
    <n v="89052"/>
    <x v="2"/>
    <n v="2497"/>
  </r>
  <r>
    <x v="34"/>
    <x v="430"/>
    <s v="Suburban"/>
    <n v="89509"/>
    <x v="1"/>
    <n v="3092"/>
  </r>
  <r>
    <x v="34"/>
    <x v="430"/>
    <s v="Suburban"/>
    <n v="89503"/>
    <x v="2"/>
    <n v="1009"/>
  </r>
  <r>
    <x v="34"/>
    <x v="236"/>
    <s v="Suburban"/>
    <n v="89183"/>
    <x v="1"/>
    <n v="2199"/>
  </r>
  <r>
    <x v="34"/>
    <x v="236"/>
    <s v="Suburban"/>
    <n v="89148"/>
    <x v="1"/>
    <n v="1286"/>
  </r>
  <r>
    <x v="34"/>
    <x v="236"/>
    <s v="Suburban"/>
    <n v="89135"/>
    <x v="1"/>
    <n v="1168"/>
  </r>
  <r>
    <x v="34"/>
    <x v="236"/>
    <s v="Suburban"/>
    <n v="89113"/>
    <x v="1"/>
    <n v="1689"/>
  </r>
  <r>
    <x v="34"/>
    <x v="236"/>
    <s v="Suburban"/>
    <n v="89102"/>
    <x v="3"/>
    <n v="262"/>
  </r>
  <r>
    <x v="34"/>
    <x v="236"/>
    <s v="Suburban"/>
    <n v="89123"/>
    <x v="3"/>
    <n v="866"/>
  </r>
  <r>
    <x v="34"/>
    <x v="236"/>
    <s v="Suburban"/>
    <n v="89145"/>
    <x v="4"/>
    <n v="75"/>
  </r>
  <r>
    <x v="34"/>
    <x v="236"/>
    <s v="Suburban"/>
    <n v="89149"/>
    <x v="1"/>
    <n v="2263"/>
  </r>
  <r>
    <x v="34"/>
    <x v="236"/>
    <s v="Suburban"/>
    <n v="89014"/>
    <x v="0"/>
    <n v="1075"/>
  </r>
  <r>
    <x v="34"/>
    <x v="236"/>
    <s v="Suburban"/>
    <n v="89015"/>
    <x v="2"/>
    <n v="586"/>
  </r>
  <r>
    <x v="34"/>
    <x v="236"/>
    <s v="Suburban"/>
    <n v="89109"/>
    <x v="1"/>
    <n v="997"/>
  </r>
  <r>
    <x v="34"/>
    <x v="236"/>
    <s v="Suburban"/>
    <n v="89119"/>
    <x v="4"/>
    <n v="1781"/>
  </r>
  <r>
    <x v="34"/>
    <x v="236"/>
    <s v="Suburban"/>
    <n v="89139"/>
    <x v="1"/>
    <n v="1448"/>
  </r>
  <r>
    <x v="34"/>
    <x v="236"/>
    <s v="Suburban"/>
    <n v="89102"/>
    <x v="1"/>
    <n v="3662"/>
  </r>
  <r>
    <x v="35"/>
    <x v="431"/>
    <s v="Rural"/>
    <n v="10033"/>
    <x v="2"/>
    <n v="1104"/>
  </r>
  <r>
    <x v="35"/>
    <x v="431"/>
    <s v="Rural"/>
    <n v="10017"/>
    <x v="2"/>
    <n v="1702"/>
  </r>
  <r>
    <x v="35"/>
    <x v="431"/>
    <s v="Rural"/>
    <n v="10021"/>
    <x v="5"/>
    <n v="1762"/>
  </r>
  <r>
    <x v="35"/>
    <x v="431"/>
    <s v="Rural"/>
    <n v="10022"/>
    <x v="5"/>
    <n v="934"/>
  </r>
  <r>
    <x v="35"/>
    <x v="431"/>
    <s v="Rural"/>
    <n v="10029"/>
    <x v="5"/>
    <n v="796"/>
  </r>
  <r>
    <x v="35"/>
    <x v="431"/>
    <s v="Rural"/>
    <n v="10170"/>
    <x v="4"/>
    <n v="757"/>
  </r>
  <r>
    <x v="35"/>
    <x v="431"/>
    <s v="Rural"/>
    <n v="10004"/>
    <x v="4"/>
    <n v="713"/>
  </r>
  <r>
    <x v="35"/>
    <x v="431"/>
    <s v="Rural"/>
    <n v="10010"/>
    <x v="4"/>
    <n v="5382"/>
  </r>
  <r>
    <x v="35"/>
    <x v="431"/>
    <s v="Rural"/>
    <n v="10007"/>
    <x v="5"/>
    <n v="22848"/>
  </r>
  <r>
    <x v="35"/>
    <x v="431"/>
    <s v="Rural"/>
    <n v="10007"/>
    <x v="3"/>
    <n v="5472"/>
  </r>
  <r>
    <x v="35"/>
    <x v="431"/>
    <s v="Rural"/>
    <n v="10010"/>
    <x v="5"/>
    <n v="2264"/>
  </r>
  <r>
    <x v="35"/>
    <x v="431"/>
    <s v="Rural"/>
    <n v="10011"/>
    <x v="2"/>
    <n v="1241"/>
  </r>
  <r>
    <x v="35"/>
    <x v="432"/>
    <s v="Rural"/>
    <n v="14903"/>
    <x v="2"/>
    <n v="720"/>
  </r>
  <r>
    <x v="35"/>
    <x v="433"/>
    <s v="Rural"/>
    <n v="10954"/>
    <x v="2"/>
    <n v="1306"/>
  </r>
  <r>
    <x v="35"/>
    <x v="431"/>
    <s v="Rural"/>
    <n v="10012"/>
    <x v="4"/>
    <n v="656"/>
  </r>
  <r>
    <x v="35"/>
    <x v="431"/>
    <s v="Rural"/>
    <n v="10003"/>
    <x v="2"/>
    <n v="1201"/>
  </r>
  <r>
    <x v="35"/>
    <x v="431"/>
    <s v="Rural"/>
    <n v="10001"/>
    <x v="3"/>
    <n v="1182"/>
  </r>
  <r>
    <x v="35"/>
    <x v="431"/>
    <s v="Rural"/>
    <n v="10013"/>
    <x v="4"/>
    <n v="96"/>
  </r>
  <r>
    <x v="35"/>
    <x v="431"/>
    <s v="Rural"/>
    <n v="10019"/>
    <x v="5"/>
    <n v="80"/>
  </r>
  <r>
    <x v="35"/>
    <x v="51"/>
    <s v="Rural"/>
    <n v="10940"/>
    <x v="2"/>
    <n v="1677"/>
  </r>
  <r>
    <x v="35"/>
    <x v="434"/>
    <s v="Rural"/>
    <n v="14456"/>
    <x v="2"/>
    <n v="2043"/>
  </r>
  <r>
    <x v="35"/>
    <x v="433"/>
    <s v="Rural"/>
    <n v="10954"/>
    <x v="4"/>
    <n v="2345"/>
  </r>
  <r>
    <x v="35"/>
    <x v="431"/>
    <s v="Rural"/>
    <n v="10003"/>
    <x v="5"/>
    <n v="2583"/>
  </r>
  <r>
    <x v="35"/>
    <x v="431"/>
    <s v="Rural"/>
    <n v="10007"/>
    <x v="2"/>
    <n v="2503"/>
  </r>
  <r>
    <x v="35"/>
    <x v="431"/>
    <s v="Rural"/>
    <n v="10012"/>
    <x v="5"/>
    <n v="474"/>
  </r>
  <r>
    <x v="35"/>
    <x v="431"/>
    <s v="Rural"/>
    <n v="10001"/>
    <x v="5"/>
    <n v="1442"/>
  </r>
  <r>
    <x v="35"/>
    <x v="431"/>
    <s v="Rural"/>
    <n v="10019"/>
    <x v="2"/>
    <n v="715"/>
  </r>
  <r>
    <x v="35"/>
    <x v="431"/>
    <s v="Rural"/>
    <n v="10020"/>
    <x v="5"/>
    <n v="559"/>
  </r>
  <r>
    <x v="35"/>
    <x v="431"/>
    <s v="Rural"/>
    <n v="10021"/>
    <x v="4"/>
    <n v="848"/>
  </r>
  <r>
    <x v="35"/>
    <x v="431"/>
    <s v="Rural"/>
    <n v="10023"/>
    <x v="5"/>
    <n v="1034"/>
  </r>
  <r>
    <x v="35"/>
    <x v="431"/>
    <s v="Rural"/>
    <n v="10024"/>
    <x v="2"/>
    <n v="900"/>
  </r>
  <r>
    <x v="35"/>
    <x v="431"/>
    <s v="Rural"/>
    <n v="10027"/>
    <x v="2"/>
    <n v="1443"/>
  </r>
  <r>
    <x v="35"/>
    <x v="431"/>
    <s v="Rural"/>
    <n v="10028"/>
    <x v="5"/>
    <n v="1232"/>
  </r>
  <r>
    <x v="35"/>
    <x v="431"/>
    <s v="Rural"/>
    <n v="10112"/>
    <x v="4"/>
    <n v="2342"/>
  </r>
  <r>
    <x v="35"/>
    <x v="431"/>
    <s v="Rural"/>
    <n v="10279"/>
    <x v="5"/>
    <n v="1103"/>
  </r>
  <r>
    <x v="35"/>
    <x v="431"/>
    <s v="Rural"/>
    <n v="10028"/>
    <x v="2"/>
    <n v="293"/>
  </r>
  <r>
    <x v="35"/>
    <x v="431"/>
    <s v="Rural"/>
    <n v="10013"/>
    <x v="5"/>
    <n v="235"/>
  </r>
  <r>
    <x v="35"/>
    <x v="431"/>
    <s v="Rural"/>
    <n v="10014"/>
    <x v="4"/>
    <n v="651"/>
  </r>
  <r>
    <x v="35"/>
    <x v="431"/>
    <s v="Rural"/>
    <n v="10017"/>
    <x v="5"/>
    <n v="8454"/>
  </r>
  <r>
    <x v="35"/>
    <x v="431"/>
    <s v="Rural"/>
    <n v="10018"/>
    <x v="5"/>
    <n v="1961"/>
  </r>
  <r>
    <x v="35"/>
    <x v="431"/>
    <s v="Rural"/>
    <n v="10022"/>
    <x v="2"/>
    <n v="2763"/>
  </r>
  <r>
    <x v="35"/>
    <x v="431"/>
    <s v="Rural"/>
    <n v="10023"/>
    <x v="4"/>
    <n v="415"/>
  </r>
  <r>
    <x v="35"/>
    <x v="431"/>
    <s v="Rural"/>
    <n v="10065"/>
    <x v="5"/>
    <n v="953"/>
  </r>
  <r>
    <x v="35"/>
    <x v="435"/>
    <s v="Rural"/>
    <n v="13850"/>
    <x v="2"/>
    <n v="1897"/>
  </r>
  <r>
    <x v="35"/>
    <x v="51"/>
    <s v="Rural"/>
    <n v="10917"/>
    <x v="2"/>
    <n v="527"/>
  </r>
  <r>
    <x v="35"/>
    <x v="431"/>
    <s v="Rural"/>
    <n v="10003"/>
    <x v="4"/>
    <n v="689"/>
  </r>
  <r>
    <x v="35"/>
    <x v="431"/>
    <s v="Rural"/>
    <n v="10018"/>
    <x v="2"/>
    <n v="2198"/>
  </r>
  <r>
    <x v="35"/>
    <x v="431"/>
    <s v="Rural"/>
    <n v="10119"/>
    <x v="5"/>
    <n v="111"/>
  </r>
  <r>
    <x v="35"/>
    <x v="431"/>
    <s v="Rural"/>
    <n v="10036"/>
    <x v="2"/>
    <n v="441"/>
  </r>
  <r>
    <x v="35"/>
    <x v="436"/>
    <s v="Suburban"/>
    <n v="13041"/>
    <x v="2"/>
    <n v="918"/>
  </r>
  <r>
    <x v="35"/>
    <x v="273"/>
    <s v="Suburban"/>
    <n v="11746"/>
    <x v="2"/>
    <n v="1609"/>
  </r>
  <r>
    <x v="35"/>
    <x v="273"/>
    <s v="Suburban"/>
    <n v="11706"/>
    <x v="2"/>
    <n v="2012"/>
  </r>
  <r>
    <x v="35"/>
    <x v="437"/>
    <s v="Suburban"/>
    <n v="14750"/>
    <x v="0"/>
    <n v="4129"/>
  </r>
  <r>
    <x v="35"/>
    <x v="438"/>
    <s v="Suburban"/>
    <n v="12306"/>
    <x v="0"/>
    <n v="1510"/>
  </r>
  <r>
    <x v="35"/>
    <x v="439"/>
    <s v="Suburban"/>
    <n v="12401"/>
    <x v="2"/>
    <n v="849"/>
  </r>
  <r>
    <x v="35"/>
    <x v="115"/>
    <s v="Suburban"/>
    <n v="11010"/>
    <x v="3"/>
    <n v="16"/>
  </r>
  <r>
    <x v="35"/>
    <x v="115"/>
    <s v="Suburban"/>
    <n v="11590"/>
    <x v="2"/>
    <n v="2404"/>
  </r>
  <r>
    <x v="35"/>
    <x v="128"/>
    <s v="Suburban"/>
    <n v="12534"/>
    <x v="2"/>
    <n v="467"/>
  </r>
  <r>
    <x v="35"/>
    <x v="115"/>
    <s v="Suburban"/>
    <n v="11758"/>
    <x v="2"/>
    <n v="1972"/>
  </r>
  <r>
    <x v="35"/>
    <x v="440"/>
    <s v="Suburban"/>
    <n v="13820"/>
    <x v="0"/>
    <n v="479"/>
  </r>
  <r>
    <x v="35"/>
    <x v="441"/>
    <s v="Suburban"/>
    <n v="10463"/>
    <x v="2"/>
    <n v="1660"/>
  </r>
  <r>
    <x v="35"/>
    <x v="115"/>
    <s v="Suburban"/>
    <n v="11542"/>
    <x v="2"/>
    <n v="1554"/>
  </r>
  <r>
    <x v="35"/>
    <x v="273"/>
    <s v="Suburban"/>
    <n v="11932"/>
    <x v="2"/>
    <n v="1122"/>
  </r>
  <r>
    <x v="35"/>
    <x v="441"/>
    <s v="Suburban"/>
    <n v="10462"/>
    <x v="2"/>
    <n v="4218"/>
  </r>
  <r>
    <x v="35"/>
    <x v="115"/>
    <s v="Suburban"/>
    <n v="11548"/>
    <x v="4"/>
    <n v="484"/>
  </r>
  <r>
    <x v="35"/>
    <x v="115"/>
    <s v="Suburban"/>
    <n v="11550"/>
    <x v="2"/>
    <n v="2564"/>
  </r>
  <r>
    <x v="35"/>
    <x v="115"/>
    <s v="Suburban"/>
    <n v="11572"/>
    <x v="2"/>
    <n v="1750"/>
  </r>
  <r>
    <x v="35"/>
    <x v="115"/>
    <s v="Suburban"/>
    <n v="11581"/>
    <x v="2"/>
    <n v="2496"/>
  </r>
  <r>
    <x v="35"/>
    <x v="115"/>
    <s v="Suburban"/>
    <n v="11596"/>
    <x v="3"/>
    <n v="138"/>
  </r>
  <r>
    <x v="35"/>
    <x v="441"/>
    <s v="Suburban"/>
    <n v="10475"/>
    <x v="2"/>
    <n v="2350"/>
  </r>
  <r>
    <x v="35"/>
    <x v="115"/>
    <s v="Suburban"/>
    <n v="11030"/>
    <x v="2"/>
    <n v="2218"/>
  </r>
  <r>
    <x v="35"/>
    <x v="115"/>
    <s v="Suburban"/>
    <n v="11520"/>
    <x v="2"/>
    <n v="3347"/>
  </r>
  <r>
    <x v="35"/>
    <x v="115"/>
    <s v="Suburban"/>
    <n v="11756"/>
    <x v="2"/>
    <n v="2107"/>
  </r>
  <r>
    <x v="35"/>
    <x v="115"/>
    <s v="Suburban"/>
    <n v="11040"/>
    <x v="2"/>
    <n v="1084"/>
  </r>
  <r>
    <x v="35"/>
    <x v="115"/>
    <s v="Suburban"/>
    <n v="11530"/>
    <x v="4"/>
    <n v="631"/>
  </r>
  <r>
    <x v="35"/>
    <x v="177"/>
    <s v="Suburban"/>
    <n v="10314"/>
    <x v="2"/>
    <n v="3695"/>
  </r>
  <r>
    <x v="35"/>
    <x v="252"/>
    <s v="Suburban"/>
    <n v="12804"/>
    <x v="2"/>
    <n v="908"/>
  </r>
  <r>
    <x v="35"/>
    <x v="436"/>
    <s v="Suburban"/>
    <n v="13039"/>
    <x v="0"/>
    <n v="765"/>
  </r>
  <r>
    <x v="35"/>
    <x v="436"/>
    <s v="Suburban"/>
    <n v="13031"/>
    <x v="2"/>
    <n v="662"/>
  </r>
  <r>
    <x v="35"/>
    <x v="436"/>
    <s v="Suburban"/>
    <n v="13057"/>
    <x v="2"/>
    <n v="1006"/>
  </r>
  <r>
    <x v="35"/>
    <x v="273"/>
    <s v="Suburban"/>
    <n v="11790"/>
    <x v="2"/>
    <n v="1979"/>
  </r>
  <r>
    <x v="35"/>
    <x v="273"/>
    <s v="Suburban"/>
    <n v="11735"/>
    <x v="2"/>
    <n v="2162"/>
  </r>
  <r>
    <x v="35"/>
    <x v="273"/>
    <s v="Suburban"/>
    <n v="11730"/>
    <x v="2"/>
    <n v="1386"/>
  </r>
  <r>
    <x v="35"/>
    <x v="273"/>
    <s v="Suburban"/>
    <n v="11703"/>
    <x v="2"/>
    <n v="428"/>
  </r>
  <r>
    <x v="35"/>
    <x v="115"/>
    <s v="Suburban"/>
    <n v="11801"/>
    <x v="2"/>
    <n v="4492"/>
  </r>
  <r>
    <x v="35"/>
    <x v="273"/>
    <s v="Suburban"/>
    <n v="11901"/>
    <x v="2"/>
    <n v="1862"/>
  </r>
  <r>
    <x v="35"/>
    <x v="273"/>
    <s v="Suburban"/>
    <n v="11776"/>
    <x v="2"/>
    <n v="11228"/>
  </r>
  <r>
    <x v="35"/>
    <x v="177"/>
    <s v="Suburban"/>
    <n v="10305"/>
    <x v="2"/>
    <n v="2422"/>
  </r>
  <r>
    <x v="35"/>
    <x v="273"/>
    <s v="Suburban"/>
    <n v="11772"/>
    <x v="2"/>
    <n v="2639"/>
  </r>
  <r>
    <x v="35"/>
    <x v="273"/>
    <s v="Suburban"/>
    <n v="11725"/>
    <x v="2"/>
    <n v="3326"/>
  </r>
  <r>
    <x v="35"/>
    <x v="442"/>
    <s v="Urban"/>
    <n v="12866"/>
    <x v="2"/>
    <n v="73"/>
  </r>
  <r>
    <x v="35"/>
    <x v="443"/>
    <s v="Urban"/>
    <n v="10523"/>
    <x v="2"/>
    <n v="513"/>
  </r>
  <r>
    <x v="35"/>
    <x v="443"/>
    <s v="Urban"/>
    <n v="10538"/>
    <x v="2"/>
    <n v="734"/>
  </r>
  <r>
    <x v="35"/>
    <x v="443"/>
    <s v="Urban"/>
    <n v="10598"/>
    <x v="2"/>
    <n v="217"/>
  </r>
  <r>
    <x v="35"/>
    <x v="58"/>
    <s v="Urban"/>
    <n v="11201"/>
    <x v="4"/>
    <n v="311"/>
  </r>
  <r>
    <x v="35"/>
    <x v="58"/>
    <s v="Urban"/>
    <n v="11209"/>
    <x v="2"/>
    <n v="2542"/>
  </r>
  <r>
    <x v="35"/>
    <x v="58"/>
    <s v="Urban"/>
    <n v="11234"/>
    <x v="2"/>
    <n v="3160"/>
  </r>
  <r>
    <x v="35"/>
    <x v="58"/>
    <s v="Urban"/>
    <n v="11215"/>
    <x v="2"/>
    <n v="1212"/>
  </r>
  <r>
    <x v="35"/>
    <x v="58"/>
    <s v="Urban"/>
    <n v="11217"/>
    <x v="4"/>
    <n v="297"/>
  </r>
  <r>
    <x v="35"/>
    <x v="58"/>
    <s v="Urban"/>
    <n v="11222"/>
    <x v="2"/>
    <n v="1293"/>
  </r>
  <r>
    <x v="35"/>
    <x v="58"/>
    <s v="Urban"/>
    <n v="11230"/>
    <x v="2"/>
    <n v="2388"/>
  </r>
  <r>
    <x v="35"/>
    <x v="444"/>
    <s v="Urban"/>
    <n v="14225"/>
    <x v="1"/>
    <n v="1142"/>
  </r>
  <r>
    <x v="35"/>
    <x v="445"/>
    <s v="Urban"/>
    <n v="12205"/>
    <x v="2"/>
    <n v="949"/>
  </r>
  <r>
    <x v="35"/>
    <x v="112"/>
    <s v="Urban"/>
    <n v="14623"/>
    <x v="2"/>
    <n v="1122"/>
  </r>
  <r>
    <x v="35"/>
    <x v="444"/>
    <s v="Urban"/>
    <n v="14221"/>
    <x v="1"/>
    <n v="2232"/>
  </r>
  <r>
    <x v="35"/>
    <x v="444"/>
    <s v="Urban"/>
    <n v="14219"/>
    <x v="0"/>
    <n v="627"/>
  </r>
  <r>
    <x v="35"/>
    <x v="446"/>
    <s v="Urban"/>
    <n v="13413"/>
    <x v="2"/>
    <n v="1535"/>
  </r>
  <r>
    <x v="35"/>
    <x v="58"/>
    <s v="Urban"/>
    <n v="11234"/>
    <x v="3"/>
    <n v="498"/>
  </r>
  <r>
    <x v="35"/>
    <x v="443"/>
    <s v="Urban"/>
    <n v="10710"/>
    <x v="5"/>
    <n v="878"/>
  </r>
  <r>
    <x v="35"/>
    <x v="443"/>
    <s v="Urban"/>
    <n v="10583"/>
    <x v="5"/>
    <n v="831"/>
  </r>
  <r>
    <x v="35"/>
    <x v="443"/>
    <s v="Urban"/>
    <n v="10580"/>
    <x v="5"/>
    <n v="388"/>
  </r>
  <r>
    <x v="35"/>
    <x v="58"/>
    <s v="Urban"/>
    <n v="11239"/>
    <x v="2"/>
    <n v="3879"/>
  </r>
  <r>
    <x v="35"/>
    <x v="444"/>
    <s v="Urban"/>
    <n v="14224"/>
    <x v="0"/>
    <n v="1496"/>
  </r>
  <r>
    <x v="35"/>
    <x v="444"/>
    <s v="Urban"/>
    <n v="14216"/>
    <x v="0"/>
    <n v="783"/>
  </r>
  <r>
    <x v="35"/>
    <x v="443"/>
    <s v="Urban"/>
    <n v="10549"/>
    <x v="2"/>
    <n v="1027"/>
  </r>
  <r>
    <x v="35"/>
    <x v="443"/>
    <s v="Urban"/>
    <n v="10547"/>
    <x v="0"/>
    <n v="1959"/>
  </r>
  <r>
    <x v="35"/>
    <x v="447"/>
    <s v="Urban"/>
    <n v="12144"/>
    <x v="2"/>
    <n v="646"/>
  </r>
  <r>
    <x v="35"/>
    <x v="448"/>
    <s v="Urban"/>
    <n v="13021"/>
    <x v="2"/>
    <n v="626"/>
  </r>
  <r>
    <x v="35"/>
    <x v="444"/>
    <s v="Urban"/>
    <n v="14228"/>
    <x v="0"/>
    <n v="3200"/>
  </r>
  <r>
    <x v="35"/>
    <x v="449"/>
    <s v="Urban"/>
    <n v="11102"/>
    <x v="2"/>
    <n v="1785"/>
  </r>
  <r>
    <x v="35"/>
    <x v="449"/>
    <s v="Urban"/>
    <n v="11418"/>
    <x v="2"/>
    <n v="4227"/>
  </r>
  <r>
    <x v="35"/>
    <x v="450"/>
    <s v="Urban"/>
    <n v="12590"/>
    <x v="2"/>
    <n v="1886"/>
  </r>
  <r>
    <x v="35"/>
    <x v="451"/>
    <s v="Urban"/>
    <n v="14850"/>
    <x v="2"/>
    <n v="593"/>
  </r>
  <r>
    <x v="35"/>
    <x v="452"/>
    <s v="Urban"/>
    <n v="12901"/>
    <x v="2"/>
    <n v="393"/>
  </r>
  <r>
    <x v="35"/>
    <x v="453"/>
    <s v="Urban"/>
    <n v="14094"/>
    <x v="0"/>
    <n v="1323"/>
  </r>
  <r>
    <x v="35"/>
    <x v="58"/>
    <s v="Urban"/>
    <n v="11235"/>
    <x v="2"/>
    <n v="7227"/>
  </r>
  <r>
    <x v="35"/>
    <x v="17"/>
    <s v="Urban"/>
    <n v="13601"/>
    <x v="2"/>
    <n v="551"/>
  </r>
  <r>
    <x v="35"/>
    <x v="442"/>
    <s v="Urban"/>
    <n v="12065"/>
    <x v="3"/>
    <n v="160"/>
  </r>
  <r>
    <x v="35"/>
    <x v="443"/>
    <s v="Urban"/>
    <n v="10708"/>
    <x v="5"/>
    <n v="13"/>
  </r>
  <r>
    <x v="35"/>
    <x v="443"/>
    <s v="Urban"/>
    <n v="10583"/>
    <x v="4"/>
    <n v="1091"/>
  </r>
  <r>
    <x v="35"/>
    <x v="442"/>
    <s v="Urban"/>
    <n v="12065"/>
    <x v="2"/>
    <n v="1004"/>
  </r>
  <r>
    <x v="35"/>
    <x v="450"/>
    <s v="Urban"/>
    <n v="12601"/>
    <x v="2"/>
    <n v="212"/>
  </r>
  <r>
    <x v="35"/>
    <x v="449"/>
    <s v="Urban"/>
    <n v="11377"/>
    <x v="2"/>
    <n v="6775"/>
  </r>
  <r>
    <x v="35"/>
    <x v="449"/>
    <s v="Urban"/>
    <n v="11361"/>
    <x v="2"/>
    <n v="3843"/>
  </r>
  <r>
    <x v="35"/>
    <x v="443"/>
    <s v="Urban"/>
    <n v="10573"/>
    <x v="2"/>
    <n v="619"/>
  </r>
  <r>
    <x v="35"/>
    <x v="443"/>
    <s v="Urban"/>
    <n v="10550"/>
    <x v="2"/>
    <n v="1458"/>
  </r>
  <r>
    <x v="35"/>
    <x v="453"/>
    <s v="Urban"/>
    <n v="14304"/>
    <x v="1"/>
    <n v="666"/>
  </r>
  <r>
    <x v="35"/>
    <x v="449"/>
    <s v="Urban"/>
    <n v="11374"/>
    <x v="2"/>
    <n v="8151"/>
  </r>
  <r>
    <x v="35"/>
    <x v="445"/>
    <s v="Urban"/>
    <n v="12110"/>
    <x v="2"/>
    <n v="3316"/>
  </r>
  <r>
    <x v="35"/>
    <x v="112"/>
    <s v="Urban"/>
    <n v="14625"/>
    <x v="2"/>
    <n v="457"/>
  </r>
  <r>
    <x v="35"/>
    <x v="449"/>
    <s v="Urban"/>
    <n v="11372"/>
    <x v="2"/>
    <n v="1612"/>
  </r>
  <r>
    <x v="35"/>
    <x v="449"/>
    <s v="Urban"/>
    <n v="11426"/>
    <x v="2"/>
    <n v="1953"/>
  </r>
  <r>
    <x v="35"/>
    <x v="112"/>
    <s v="Urban"/>
    <n v="14615"/>
    <x v="2"/>
    <n v="1186"/>
  </r>
  <r>
    <x v="35"/>
    <x v="112"/>
    <s v="Urban"/>
    <n v="14580"/>
    <x v="2"/>
    <n v="1180"/>
  </r>
  <r>
    <x v="35"/>
    <x v="445"/>
    <s v="Urban"/>
    <n v="12077"/>
    <x v="2"/>
    <n v="1084"/>
  </r>
  <r>
    <x v="35"/>
    <x v="445"/>
    <s v="Urban"/>
    <n v="12205"/>
    <x v="0"/>
    <n v="515"/>
  </r>
  <r>
    <x v="35"/>
    <x v="443"/>
    <s v="Urban"/>
    <n v="10710"/>
    <x v="2"/>
    <n v="534"/>
  </r>
  <r>
    <x v="35"/>
    <x v="454"/>
    <s v="Urban"/>
    <n v="14760"/>
    <x v="2"/>
    <n v="2929"/>
  </r>
  <r>
    <x v="36"/>
    <x v="224"/>
    <s v="Rural"/>
    <n v="45246"/>
    <x v="3"/>
    <n v="604"/>
  </r>
  <r>
    <x v="36"/>
    <x v="455"/>
    <s v="Rural"/>
    <n v="45150"/>
    <x v="1"/>
    <n v="1564"/>
  </r>
  <r>
    <x v="36"/>
    <x v="224"/>
    <s v="Rural"/>
    <n v="45211"/>
    <x v="2"/>
    <n v="1464"/>
  </r>
  <r>
    <x v="36"/>
    <x v="224"/>
    <s v="Rural"/>
    <n v="45030"/>
    <x v="2"/>
    <n v="4103"/>
  </r>
  <r>
    <x v="36"/>
    <x v="456"/>
    <s v="Rural"/>
    <n v="43056"/>
    <x v="2"/>
    <n v="1058"/>
  </r>
  <r>
    <x v="36"/>
    <x v="457"/>
    <s v="Rural"/>
    <n v="44134"/>
    <x v="0"/>
    <n v="1620"/>
  </r>
  <r>
    <x v="36"/>
    <x v="343"/>
    <s v="Rural"/>
    <n v="45069"/>
    <x v="1"/>
    <n v="2482"/>
  </r>
  <r>
    <x v="36"/>
    <x v="457"/>
    <s v="Rural"/>
    <n v="44070"/>
    <x v="0"/>
    <n v="1582"/>
  </r>
  <r>
    <x v="36"/>
    <x v="457"/>
    <s v="Rural"/>
    <n v="44116"/>
    <x v="0"/>
    <n v="1040"/>
  </r>
  <r>
    <x v="36"/>
    <x v="457"/>
    <s v="Rural"/>
    <n v="44130"/>
    <x v="0"/>
    <n v="442"/>
  </r>
  <r>
    <x v="36"/>
    <x v="458"/>
    <s v="Rural"/>
    <n v="44646"/>
    <x v="0"/>
    <n v="1306"/>
  </r>
  <r>
    <x v="36"/>
    <x v="224"/>
    <s v="Rural"/>
    <n v="45202"/>
    <x v="2"/>
    <n v="1688"/>
  </r>
  <r>
    <x v="36"/>
    <x v="457"/>
    <s v="Rural"/>
    <n v="44136"/>
    <x v="2"/>
    <n v="194"/>
  </r>
  <r>
    <x v="36"/>
    <x v="457"/>
    <s v="Rural"/>
    <n v="44139"/>
    <x v="0"/>
    <n v="1369"/>
  </r>
  <r>
    <x v="36"/>
    <x v="457"/>
    <s v="Rural"/>
    <n v="44118"/>
    <x v="0"/>
    <n v="1518"/>
  </r>
  <r>
    <x v="36"/>
    <x v="457"/>
    <s v="Rural"/>
    <n v="44122"/>
    <x v="4"/>
    <n v="995"/>
  </r>
  <r>
    <x v="36"/>
    <x v="457"/>
    <s v="Rural"/>
    <n v="44124"/>
    <x v="2"/>
    <n v="582"/>
  </r>
  <r>
    <x v="36"/>
    <x v="459"/>
    <s v="Rural"/>
    <n v="45601"/>
    <x v="0"/>
    <n v="7568"/>
  </r>
  <r>
    <x v="36"/>
    <x v="457"/>
    <s v="Rural"/>
    <n v="44145"/>
    <x v="5"/>
    <n v="3594"/>
  </r>
  <r>
    <x v="36"/>
    <x v="458"/>
    <s v="Rural"/>
    <n v="44720"/>
    <x v="0"/>
    <n v="3297"/>
  </r>
  <r>
    <x v="36"/>
    <x v="458"/>
    <s v="Rural"/>
    <n v="44720"/>
    <x v="3"/>
    <n v="2106"/>
  </r>
  <r>
    <x v="36"/>
    <x v="457"/>
    <s v="Rural"/>
    <n v="44136"/>
    <x v="0"/>
    <n v="975"/>
  </r>
  <r>
    <x v="36"/>
    <x v="460"/>
    <s v="Rural"/>
    <n v="44004"/>
    <x v="0"/>
    <n v="556"/>
  </r>
  <r>
    <x v="36"/>
    <x v="224"/>
    <s v="Rural"/>
    <n v="45209"/>
    <x v="2"/>
    <n v="1806"/>
  </r>
  <r>
    <x v="36"/>
    <x v="224"/>
    <s v="Rural"/>
    <n v="45239"/>
    <x v="2"/>
    <n v="1558"/>
  </r>
  <r>
    <x v="36"/>
    <x v="224"/>
    <s v="Rural"/>
    <n v="45246"/>
    <x v="1"/>
    <n v="1655"/>
  </r>
  <r>
    <x v="36"/>
    <x v="457"/>
    <s v="Rural"/>
    <n v="44122"/>
    <x v="0"/>
    <n v="1036"/>
  </r>
  <r>
    <x v="36"/>
    <x v="457"/>
    <s v="Rural"/>
    <n v="44111"/>
    <x v="2"/>
    <n v="2831"/>
  </r>
  <r>
    <x v="36"/>
    <x v="461"/>
    <s v="Rural"/>
    <n v="43420"/>
    <x v="2"/>
    <n v="1624"/>
  </r>
  <r>
    <x v="36"/>
    <x v="316"/>
    <s v="Rural"/>
    <n v="44691"/>
    <x v="2"/>
    <n v="1301"/>
  </r>
  <r>
    <x v="36"/>
    <x v="462"/>
    <s v="Rural"/>
    <n v="44241"/>
    <x v="2"/>
    <n v="559"/>
  </r>
  <r>
    <x v="36"/>
    <x v="457"/>
    <s v="Rural"/>
    <n v="44145"/>
    <x v="0"/>
    <n v="431"/>
  </r>
  <r>
    <x v="36"/>
    <x v="343"/>
    <s v="Rural"/>
    <n v="45011"/>
    <x v="2"/>
    <n v="2651"/>
  </r>
  <r>
    <x v="36"/>
    <x v="224"/>
    <s v="Rural"/>
    <n v="45255"/>
    <x v="2"/>
    <n v="1765"/>
  </r>
  <r>
    <x v="36"/>
    <x v="455"/>
    <s v="Rural"/>
    <n v="45245"/>
    <x v="0"/>
    <n v="1632"/>
  </r>
  <r>
    <x v="36"/>
    <x v="444"/>
    <s v="Rural"/>
    <n v="44870"/>
    <x v="2"/>
    <n v="926"/>
  </r>
  <r>
    <x v="36"/>
    <x v="458"/>
    <s v="Rural"/>
    <n v="44601"/>
    <x v="2"/>
    <n v="1058"/>
  </r>
  <r>
    <x v="36"/>
    <x v="224"/>
    <s v="Rural"/>
    <n v="45236"/>
    <x v="2"/>
    <n v="1149"/>
  </r>
  <r>
    <x v="36"/>
    <x v="463"/>
    <s v="Suburban"/>
    <n v="44035"/>
    <x v="2"/>
    <n v="988"/>
  </r>
  <r>
    <x v="36"/>
    <x v="254"/>
    <s v="Suburban"/>
    <n v="43068"/>
    <x v="0"/>
    <n v="1194"/>
  </r>
  <r>
    <x v="36"/>
    <x v="254"/>
    <s v="Suburban"/>
    <n v="43230"/>
    <x v="3"/>
    <n v="925"/>
  </r>
  <r>
    <x v="36"/>
    <x v="229"/>
    <s v="Suburban"/>
    <n v="45805"/>
    <x v="0"/>
    <n v="2924"/>
  </r>
  <r>
    <x v="36"/>
    <x v="254"/>
    <s v="Suburban"/>
    <n v="43235"/>
    <x v="2"/>
    <n v="1939"/>
  </r>
  <r>
    <x v="36"/>
    <x v="254"/>
    <s v="Suburban"/>
    <n v="43220"/>
    <x v="2"/>
    <n v="799"/>
  </r>
  <r>
    <x v="36"/>
    <x v="254"/>
    <s v="Suburban"/>
    <n v="43068"/>
    <x v="2"/>
    <n v="1483"/>
  </r>
  <r>
    <x v="36"/>
    <x v="252"/>
    <s v="Suburban"/>
    <n v="45005"/>
    <x v="2"/>
    <n v="1920"/>
  </r>
  <r>
    <x v="36"/>
    <x v="254"/>
    <s v="Suburban"/>
    <n v="43219"/>
    <x v="0"/>
    <n v="1387"/>
  </r>
  <r>
    <x v="36"/>
    <x v="254"/>
    <s v="Suburban"/>
    <n v="43213"/>
    <x v="2"/>
    <n v="809"/>
  </r>
  <r>
    <x v="36"/>
    <x v="254"/>
    <s v="Suburban"/>
    <n v="43212"/>
    <x v="2"/>
    <n v="2404"/>
  </r>
  <r>
    <x v="36"/>
    <x v="221"/>
    <s v="Suburban"/>
    <n v="43015"/>
    <x v="0"/>
    <n v="513"/>
  </r>
  <r>
    <x v="36"/>
    <x v="108"/>
    <s v="Suburban"/>
    <n v="44094"/>
    <x v="0"/>
    <n v="3884"/>
  </r>
  <r>
    <x v="36"/>
    <x v="342"/>
    <s v="Suburban"/>
    <n v="45459"/>
    <x v="1"/>
    <n v="742"/>
  </r>
  <r>
    <x v="36"/>
    <x v="252"/>
    <s v="Suburban"/>
    <n v="45140"/>
    <x v="1"/>
    <n v="1013"/>
  </r>
  <r>
    <x v="36"/>
    <x v="342"/>
    <s v="Suburban"/>
    <n v="45459"/>
    <x v="2"/>
    <n v="607"/>
  </r>
  <r>
    <x v="36"/>
    <x v="221"/>
    <s v="Suburban"/>
    <n v="43035"/>
    <x v="2"/>
    <n v="3277"/>
  </r>
  <r>
    <x v="36"/>
    <x v="254"/>
    <s v="Suburban"/>
    <n v="43017"/>
    <x v="3"/>
    <n v="105"/>
  </r>
  <r>
    <x v="36"/>
    <x v="252"/>
    <s v="Suburban"/>
    <n v="45040"/>
    <x v="2"/>
    <n v="1696"/>
  </r>
  <r>
    <x v="36"/>
    <x v="254"/>
    <s v="Suburban"/>
    <n v="43026"/>
    <x v="2"/>
    <n v="1503"/>
  </r>
  <r>
    <x v="36"/>
    <x v="342"/>
    <s v="Suburban"/>
    <n v="45431"/>
    <x v="1"/>
    <n v="1050"/>
  </r>
  <r>
    <x v="36"/>
    <x v="16"/>
    <s v="Suburban"/>
    <n v="45459"/>
    <x v="2"/>
    <n v="607"/>
  </r>
  <r>
    <x v="36"/>
    <x v="16"/>
    <s v="Suburban"/>
    <n v="45414"/>
    <x v="1"/>
    <n v="993"/>
  </r>
  <r>
    <x v="36"/>
    <x v="16"/>
    <s v="Suburban"/>
    <n v="45424"/>
    <x v="2"/>
    <n v="853"/>
  </r>
  <r>
    <x v="36"/>
    <x v="16"/>
    <s v="Suburban"/>
    <n v="45459"/>
    <x v="1"/>
    <n v="742"/>
  </r>
  <r>
    <x v="36"/>
    <x v="464"/>
    <s v="Suburban"/>
    <n v="44281"/>
    <x v="0"/>
    <n v="564"/>
  </r>
  <r>
    <x v="36"/>
    <x v="254"/>
    <s v="Suburban"/>
    <n v="43219"/>
    <x v="2"/>
    <n v="1467"/>
  </r>
  <r>
    <x v="36"/>
    <x v="465"/>
    <s v="Suburban"/>
    <n v="44906"/>
    <x v="0"/>
    <n v="879"/>
  </r>
  <r>
    <x v="36"/>
    <x v="254"/>
    <s v="Suburban"/>
    <n v="43026"/>
    <x v="0"/>
    <n v="1127"/>
  </r>
  <r>
    <x v="36"/>
    <x v="466"/>
    <s v="Suburban"/>
    <n v="43612"/>
    <x v="0"/>
    <n v="3543"/>
  </r>
  <r>
    <x v="36"/>
    <x v="254"/>
    <s v="Suburban"/>
    <n v="43219"/>
    <x v="4"/>
    <n v="1592"/>
  </r>
  <r>
    <x v="36"/>
    <x v="467"/>
    <s v="Suburban"/>
    <n v="43950"/>
    <x v="2"/>
    <n v="1458"/>
  </r>
  <r>
    <x v="36"/>
    <x v="16"/>
    <s v="Suburban"/>
    <n v="45424"/>
    <x v="3"/>
    <n v="746"/>
  </r>
  <r>
    <x v="36"/>
    <x v="221"/>
    <s v="Suburban"/>
    <n v="43240"/>
    <x v="0"/>
    <n v="1491"/>
  </r>
  <r>
    <x v="36"/>
    <x v="466"/>
    <s v="Suburban"/>
    <n v="43528"/>
    <x v="0"/>
    <n v="1558"/>
  </r>
  <r>
    <x v="36"/>
    <x v="464"/>
    <s v="Suburban"/>
    <n v="44256"/>
    <x v="2"/>
    <n v="1296"/>
  </r>
  <r>
    <x v="36"/>
    <x v="468"/>
    <s v="Suburban"/>
    <n v="44663"/>
    <x v="2"/>
    <n v="1635"/>
  </r>
  <r>
    <x v="36"/>
    <x v="254"/>
    <s v="Suburban"/>
    <n v="43026"/>
    <x v="3"/>
    <n v="369"/>
  </r>
  <r>
    <x v="36"/>
    <x v="466"/>
    <s v="Suburban"/>
    <n v="43623"/>
    <x v="0"/>
    <n v="1665"/>
  </r>
  <r>
    <x v="36"/>
    <x v="16"/>
    <s v="Suburban"/>
    <n v="45426"/>
    <x v="1"/>
    <n v="652"/>
  </r>
  <r>
    <x v="36"/>
    <x v="254"/>
    <s v="Suburban"/>
    <n v="43212"/>
    <x v="3"/>
    <n v="422"/>
  </r>
  <r>
    <x v="36"/>
    <x v="469"/>
    <s v="Suburban"/>
    <n v="43512"/>
    <x v="0"/>
    <n v="2150"/>
  </r>
  <r>
    <x v="36"/>
    <x v="236"/>
    <s v="Suburban"/>
    <n v="45504"/>
    <x v="0"/>
    <n v="2330"/>
  </r>
  <r>
    <x v="36"/>
    <x v="254"/>
    <s v="Suburban"/>
    <n v="43123"/>
    <x v="2"/>
    <n v="2450"/>
  </r>
  <r>
    <x v="36"/>
    <x v="108"/>
    <s v="Suburban"/>
    <n v="44060"/>
    <x v="2"/>
    <n v="460"/>
  </r>
  <r>
    <x v="36"/>
    <x v="470"/>
    <s v="Urban"/>
    <n v="45373"/>
    <x v="2"/>
    <n v="1259"/>
  </r>
  <r>
    <x v="36"/>
    <x v="235"/>
    <s v="Urban"/>
    <n v="43050"/>
    <x v="2"/>
    <n v="1852"/>
  </r>
  <r>
    <x v="36"/>
    <x v="471"/>
    <s v="Urban"/>
    <n v="44446"/>
    <x v="2"/>
    <n v="2805"/>
  </r>
  <r>
    <x v="36"/>
    <x v="99"/>
    <s v="Urban"/>
    <n v="43068"/>
    <x v="2"/>
    <n v="1483"/>
  </r>
  <r>
    <x v="36"/>
    <x v="472"/>
    <s v="Urban"/>
    <n v="43701"/>
    <x v="2"/>
    <n v="2254"/>
  </r>
  <r>
    <x v="36"/>
    <x v="17"/>
    <s v="Urban"/>
    <n v="43952"/>
    <x v="0"/>
    <n v="2066"/>
  </r>
  <r>
    <x v="36"/>
    <x v="93"/>
    <s v="Urban"/>
    <n v="44333"/>
    <x v="0"/>
    <n v="657"/>
  </r>
  <r>
    <x v="36"/>
    <x v="473"/>
    <s v="Urban"/>
    <n v="44512"/>
    <x v="0"/>
    <n v="5110"/>
  </r>
  <r>
    <x v="36"/>
    <x v="474"/>
    <s v="Urban"/>
    <n v="43551"/>
    <x v="0"/>
    <n v="1161"/>
  </r>
  <r>
    <x v="36"/>
    <x v="139"/>
    <s v="Urban"/>
    <n v="43302"/>
    <x v="1"/>
    <n v="1445"/>
  </r>
  <r>
    <x v="36"/>
    <x v="474"/>
    <s v="Urban"/>
    <n v="43402"/>
    <x v="2"/>
    <n v="256"/>
  </r>
  <r>
    <x v="36"/>
    <x v="93"/>
    <s v="Urban"/>
    <n v="44056"/>
    <x v="0"/>
    <n v="794"/>
  </r>
  <r>
    <x v="36"/>
    <x v="93"/>
    <s v="Urban"/>
    <n v="44224"/>
    <x v="0"/>
    <n v="1451"/>
  </r>
  <r>
    <x v="36"/>
    <x v="93"/>
    <s v="Urban"/>
    <n v="44310"/>
    <x v="3"/>
    <n v="354"/>
  </r>
  <r>
    <x v="36"/>
    <x v="93"/>
    <s v="Urban"/>
    <n v="44333"/>
    <x v="2"/>
    <n v="2925"/>
  </r>
  <r>
    <x v="36"/>
    <x v="93"/>
    <s v="Urban"/>
    <n v="44312"/>
    <x v="2"/>
    <n v="1392"/>
  </r>
  <r>
    <x v="36"/>
    <x v="99"/>
    <s v="Urban"/>
    <n v="43068"/>
    <x v="0"/>
    <n v="1194"/>
  </r>
  <r>
    <x v="36"/>
    <x v="93"/>
    <s v="Urban"/>
    <n v="44221"/>
    <x v="2"/>
    <n v="546"/>
  </r>
  <r>
    <x v="36"/>
    <x v="99"/>
    <s v="Urban"/>
    <n v="43130"/>
    <x v="0"/>
    <n v="1335"/>
  </r>
  <r>
    <x v="37"/>
    <x v="475"/>
    <s v="Rural"/>
    <n v="74055"/>
    <x v="1"/>
    <n v="1520"/>
  </r>
  <r>
    <x v="37"/>
    <x v="239"/>
    <s v="Rural"/>
    <n v="74804"/>
    <x v="2"/>
    <n v="3773"/>
  </r>
  <r>
    <x v="37"/>
    <x v="476"/>
    <s v="Rural"/>
    <n v="74601"/>
    <x v="2"/>
    <n v="1500"/>
  </r>
  <r>
    <x v="37"/>
    <x v="475"/>
    <s v="Rural"/>
    <n v="74112"/>
    <x v="3"/>
    <n v="417"/>
  </r>
  <r>
    <x v="37"/>
    <x v="475"/>
    <s v="Rural"/>
    <n v="74136"/>
    <x v="1"/>
    <n v="1419"/>
  </r>
  <r>
    <x v="37"/>
    <x v="475"/>
    <s v="Rural"/>
    <n v="74145"/>
    <x v="1"/>
    <n v="1147"/>
  </r>
  <r>
    <x v="37"/>
    <x v="475"/>
    <s v="Rural"/>
    <n v="74112"/>
    <x v="1"/>
    <n v="810"/>
  </r>
  <r>
    <x v="37"/>
    <x v="477"/>
    <s v="Rural"/>
    <n v="73099"/>
    <x v="2"/>
    <n v="3337"/>
  </r>
  <r>
    <x v="37"/>
    <x v="475"/>
    <s v="Rural"/>
    <n v="74133"/>
    <x v="2"/>
    <n v="1299"/>
  </r>
  <r>
    <x v="37"/>
    <x v="475"/>
    <s v="Rural"/>
    <n v="74012"/>
    <x v="3"/>
    <n v="1506"/>
  </r>
  <r>
    <x v="37"/>
    <x v="475"/>
    <s v="Rural"/>
    <n v="74133"/>
    <x v="1"/>
    <n v="2255"/>
  </r>
  <r>
    <x v="37"/>
    <x v="478"/>
    <s v="Rural"/>
    <n v="74820"/>
    <x v="2"/>
    <n v="2792"/>
  </r>
  <r>
    <x v="37"/>
    <x v="475"/>
    <s v="Rural"/>
    <n v="74132"/>
    <x v="2"/>
    <n v="2084"/>
  </r>
  <r>
    <x v="37"/>
    <x v="475"/>
    <s v="Rural"/>
    <n v="74104"/>
    <x v="1"/>
    <n v="2289"/>
  </r>
  <r>
    <x v="37"/>
    <x v="475"/>
    <s v="Rural"/>
    <n v="74114"/>
    <x v="2"/>
    <n v="1657"/>
  </r>
  <r>
    <x v="37"/>
    <x v="479"/>
    <s v="Suburban"/>
    <n v="73505"/>
    <x v="2"/>
    <n v="2076"/>
  </r>
  <r>
    <x v="37"/>
    <x v="23"/>
    <s v="Suburban"/>
    <n v="74006"/>
    <x v="2"/>
    <n v="735"/>
  </r>
  <r>
    <x v="37"/>
    <x v="480"/>
    <s v="Urban"/>
    <n v="74075"/>
    <x v="2"/>
    <n v="1094"/>
  </r>
  <r>
    <x v="37"/>
    <x v="481"/>
    <s v="Urban"/>
    <n v="73034"/>
    <x v="1"/>
    <n v="1696"/>
  </r>
  <r>
    <x v="37"/>
    <x v="481"/>
    <s v="Urban"/>
    <n v="73013"/>
    <x v="3"/>
    <n v="3677"/>
  </r>
  <r>
    <x v="37"/>
    <x v="481"/>
    <s v="Urban"/>
    <n v="73128"/>
    <x v="1"/>
    <n v="1514"/>
  </r>
  <r>
    <x v="37"/>
    <x v="387"/>
    <s v="Urban"/>
    <n v="73160"/>
    <x v="1"/>
    <n v="2131"/>
  </r>
  <r>
    <x v="37"/>
    <x v="482"/>
    <s v="Urban"/>
    <n v="74401"/>
    <x v="1"/>
    <n v="1216"/>
  </r>
  <r>
    <x v="37"/>
    <x v="481"/>
    <s v="Urban"/>
    <n v="73110"/>
    <x v="1"/>
    <n v="3908"/>
  </r>
  <r>
    <x v="37"/>
    <x v="387"/>
    <s v="Urban"/>
    <n v="73069"/>
    <x v="1"/>
    <n v="1974"/>
  </r>
  <r>
    <x v="37"/>
    <x v="481"/>
    <s v="Urban"/>
    <n v="73132"/>
    <x v="1"/>
    <n v="4674"/>
  </r>
  <r>
    <x v="37"/>
    <x v="481"/>
    <s v="Urban"/>
    <n v="73112"/>
    <x v="1"/>
    <n v="1081"/>
  </r>
  <r>
    <x v="37"/>
    <x v="483"/>
    <s v="Urban"/>
    <n v="73401"/>
    <x v="2"/>
    <n v="2501"/>
  </r>
  <r>
    <x v="37"/>
    <x v="481"/>
    <s v="Urban"/>
    <n v="73134"/>
    <x v="1"/>
    <n v="2090"/>
  </r>
  <r>
    <x v="37"/>
    <x v="481"/>
    <s v="Urban"/>
    <n v="73116"/>
    <x v="2"/>
    <n v="1981"/>
  </r>
  <r>
    <x v="37"/>
    <x v="481"/>
    <s v="Urban"/>
    <n v="73139"/>
    <x v="1"/>
    <n v="2100"/>
  </r>
  <r>
    <x v="37"/>
    <x v="481"/>
    <s v="Urban"/>
    <n v="73139"/>
    <x v="2"/>
    <n v="1691"/>
  </r>
  <r>
    <x v="37"/>
    <x v="91"/>
    <s v="Urban"/>
    <n v="73703"/>
    <x v="2"/>
    <n v="1739"/>
  </r>
  <r>
    <x v="38"/>
    <x v="484"/>
    <s v="Rural"/>
    <n v="97128"/>
    <x v="2"/>
    <n v="1480"/>
  </r>
  <r>
    <x v="38"/>
    <x v="485"/>
    <s v="Rural"/>
    <n v="97214"/>
    <x v="1"/>
    <n v="817"/>
  </r>
  <r>
    <x v="38"/>
    <x v="486"/>
    <s v="Rural"/>
    <n v="97603"/>
    <x v="2"/>
    <n v="1142"/>
  </r>
  <r>
    <x v="38"/>
    <x v="485"/>
    <s v="Rural"/>
    <n v="97205"/>
    <x v="1"/>
    <n v="910"/>
  </r>
  <r>
    <x v="38"/>
    <x v="485"/>
    <s v="Rural"/>
    <n v="97220"/>
    <x v="2"/>
    <n v="748"/>
  </r>
  <r>
    <x v="38"/>
    <x v="485"/>
    <s v="Rural"/>
    <n v="97220"/>
    <x v="1"/>
    <n v="866"/>
  </r>
  <r>
    <x v="38"/>
    <x v="485"/>
    <s v="Rural"/>
    <n v="97210"/>
    <x v="4"/>
    <n v="164"/>
  </r>
  <r>
    <x v="38"/>
    <x v="485"/>
    <s v="Rural"/>
    <n v="97217"/>
    <x v="2"/>
    <n v="569"/>
  </r>
  <r>
    <x v="38"/>
    <x v="485"/>
    <s v="Rural"/>
    <n v="97030"/>
    <x v="1"/>
    <n v="2061"/>
  </r>
  <r>
    <x v="38"/>
    <x v="487"/>
    <s v="Rural"/>
    <n v="97146"/>
    <x v="2"/>
    <n v="237"/>
  </r>
  <r>
    <x v="38"/>
    <x v="488"/>
    <s v="Rural"/>
    <n v="97526"/>
    <x v="2"/>
    <n v="2006"/>
  </r>
  <r>
    <x v="38"/>
    <x v="187"/>
    <s v="Rural"/>
    <n v="97322"/>
    <x v="2"/>
    <n v="1657"/>
  </r>
  <r>
    <x v="38"/>
    <x v="489"/>
    <s v="Rural"/>
    <n v="97703"/>
    <x v="2"/>
    <n v="630"/>
  </r>
  <r>
    <x v="38"/>
    <x v="489"/>
    <s v="Rural"/>
    <n v="97701"/>
    <x v="0"/>
    <n v="1487"/>
  </r>
  <r>
    <x v="38"/>
    <x v="25"/>
    <s v="Suburban"/>
    <n v="97330"/>
    <x v="0"/>
    <n v="92"/>
  </r>
  <r>
    <x v="38"/>
    <x v="25"/>
    <s v="Suburban"/>
    <n v="97333"/>
    <x v="6"/>
    <n v="329"/>
  </r>
  <r>
    <x v="38"/>
    <x v="23"/>
    <s v="Suburban"/>
    <n v="97223"/>
    <x v="1"/>
    <n v="615"/>
  </r>
  <r>
    <x v="38"/>
    <x v="23"/>
    <s v="Suburban"/>
    <n v="97006"/>
    <x v="1"/>
    <n v="972"/>
  </r>
  <r>
    <x v="38"/>
    <x v="490"/>
    <s v="Suburban"/>
    <n v="97405"/>
    <x v="0"/>
    <n v="502"/>
  </r>
  <r>
    <x v="38"/>
    <x v="23"/>
    <s v="Suburban"/>
    <n v="97062"/>
    <x v="2"/>
    <n v="214"/>
  </r>
  <r>
    <x v="38"/>
    <x v="491"/>
    <s v="Suburban"/>
    <n v="97267"/>
    <x v="0"/>
    <n v="1526"/>
  </r>
  <r>
    <x v="38"/>
    <x v="23"/>
    <s v="Suburban"/>
    <n v="97224"/>
    <x v="1"/>
    <n v="961"/>
  </r>
  <r>
    <x v="38"/>
    <x v="491"/>
    <s v="Suburban"/>
    <n v="97086"/>
    <x v="1"/>
    <n v="688"/>
  </r>
  <r>
    <x v="38"/>
    <x v="23"/>
    <s v="Suburban"/>
    <n v="97224"/>
    <x v="4"/>
    <n v="2275"/>
  </r>
  <r>
    <x v="38"/>
    <x v="23"/>
    <s v="Suburban"/>
    <n v="97123"/>
    <x v="1"/>
    <n v="1080"/>
  </r>
  <r>
    <x v="38"/>
    <x v="23"/>
    <s v="Suburban"/>
    <n v="97070"/>
    <x v="1"/>
    <n v="1015"/>
  </r>
  <r>
    <x v="38"/>
    <x v="490"/>
    <s v="Suburban"/>
    <n v="97408"/>
    <x v="1"/>
    <n v="1364"/>
  </r>
  <r>
    <x v="38"/>
    <x v="139"/>
    <s v="Urban"/>
    <n v="97301"/>
    <x v="0"/>
    <n v="1583"/>
  </r>
  <r>
    <x v="38"/>
    <x v="139"/>
    <s v="Urban"/>
    <n v="97301"/>
    <x v="6"/>
    <n v="1810"/>
  </r>
  <r>
    <x v="38"/>
    <x v="214"/>
    <s v="Urban"/>
    <n v="97501"/>
    <x v="2"/>
    <n v="1443"/>
  </r>
  <r>
    <x v="38"/>
    <x v="214"/>
    <s v="Urban"/>
    <n v="97504"/>
    <x v="1"/>
    <n v="5755"/>
  </r>
  <r>
    <x v="38"/>
    <x v="492"/>
    <s v="Urban"/>
    <n v="97420"/>
    <x v="2"/>
    <n v="2884"/>
  </r>
  <r>
    <x v="38"/>
    <x v="139"/>
    <s v="Urban"/>
    <n v="97303"/>
    <x v="2"/>
    <n v="1197"/>
  </r>
  <r>
    <x v="38"/>
    <x v="493"/>
    <s v="Urban"/>
    <n v="97058"/>
    <x v="2"/>
    <n v="1586"/>
  </r>
  <r>
    <x v="38"/>
    <x v="82"/>
    <s v="Urban"/>
    <n v="97471"/>
    <x v="2"/>
    <n v="1215"/>
  </r>
  <r>
    <x v="38"/>
    <x v="139"/>
    <s v="Urban"/>
    <n v="97302"/>
    <x v="1"/>
    <n v="1044"/>
  </r>
  <r>
    <x v="38"/>
    <x v="494"/>
    <s v="Urban"/>
    <n v="97914"/>
    <x v="2"/>
    <n v="955"/>
  </r>
  <r>
    <x v="39"/>
    <x v="296"/>
    <s v="Rural"/>
    <n v="17331"/>
    <x v="2"/>
    <n v="1033"/>
  </r>
  <r>
    <x v="39"/>
    <x v="495"/>
    <s v="Rural"/>
    <n v="18702"/>
    <x v="0"/>
    <n v="1048"/>
  </r>
  <r>
    <x v="39"/>
    <x v="398"/>
    <s v="Rural"/>
    <n v="17522"/>
    <x v="2"/>
    <n v="893"/>
  </r>
  <r>
    <x v="39"/>
    <x v="496"/>
    <s v="Rural"/>
    <n v="18969"/>
    <x v="2"/>
    <n v="626"/>
  </r>
  <r>
    <x v="39"/>
    <x v="496"/>
    <s v="Rural"/>
    <n v="19020"/>
    <x v="2"/>
    <n v="1161"/>
  </r>
  <r>
    <x v="39"/>
    <x v="496"/>
    <s v="Rural"/>
    <n v="19030"/>
    <x v="0"/>
    <n v="2700"/>
  </r>
  <r>
    <x v="39"/>
    <x v="296"/>
    <s v="Rural"/>
    <n v="17402"/>
    <x v="2"/>
    <n v="1324"/>
  </r>
  <r>
    <x v="39"/>
    <x v="23"/>
    <s v="Rural"/>
    <n v="15301"/>
    <x v="0"/>
    <n v="2318"/>
  </r>
  <r>
    <x v="39"/>
    <x v="497"/>
    <s v="Rural"/>
    <n v="17033"/>
    <x v="2"/>
    <n v="1291"/>
  </r>
  <r>
    <x v="39"/>
    <x v="163"/>
    <s v="Rural"/>
    <n v="15401"/>
    <x v="2"/>
    <n v="1223"/>
  </r>
  <r>
    <x v="39"/>
    <x v="398"/>
    <s v="Rural"/>
    <n v="17601"/>
    <x v="2"/>
    <n v="1220"/>
  </r>
  <r>
    <x v="39"/>
    <x v="496"/>
    <s v="Rural"/>
    <n v="18951"/>
    <x v="2"/>
    <n v="818"/>
  </r>
  <r>
    <x v="39"/>
    <x v="398"/>
    <s v="Rural"/>
    <n v="17522"/>
    <x v="3"/>
    <n v="15"/>
  </r>
  <r>
    <x v="39"/>
    <x v="498"/>
    <s v="Rural"/>
    <n v="18519"/>
    <x v="2"/>
    <n v="1144"/>
  </r>
  <r>
    <x v="39"/>
    <x v="495"/>
    <s v="Rural"/>
    <n v="18640"/>
    <x v="3"/>
    <n v="472"/>
  </r>
  <r>
    <x v="39"/>
    <x v="23"/>
    <s v="Rural"/>
    <n v="15301"/>
    <x v="2"/>
    <n v="441"/>
  </r>
  <r>
    <x v="39"/>
    <x v="296"/>
    <s v="Rural"/>
    <n v="17404"/>
    <x v="2"/>
    <n v="1156"/>
  </r>
  <r>
    <x v="39"/>
    <x v="499"/>
    <s v="Rural"/>
    <n v="15061"/>
    <x v="2"/>
    <n v="764"/>
  </r>
  <r>
    <x v="39"/>
    <x v="112"/>
    <s v="Rural"/>
    <n v="18360"/>
    <x v="2"/>
    <n v="1740"/>
  </r>
  <r>
    <x v="39"/>
    <x v="495"/>
    <s v="Rural"/>
    <n v="18704"/>
    <x v="3"/>
    <n v="1219"/>
  </r>
  <r>
    <x v="39"/>
    <x v="496"/>
    <s v="Rural"/>
    <n v="18976"/>
    <x v="2"/>
    <n v="1464"/>
  </r>
  <r>
    <x v="39"/>
    <x v="496"/>
    <s v="Rural"/>
    <n v="18940"/>
    <x v="2"/>
    <n v="1960"/>
  </r>
  <r>
    <x v="39"/>
    <x v="296"/>
    <s v="Rural"/>
    <n v="17408"/>
    <x v="3"/>
    <n v="467"/>
  </r>
  <r>
    <x v="39"/>
    <x v="495"/>
    <s v="Rural"/>
    <n v="18702"/>
    <x v="2"/>
    <n v="1710"/>
  </r>
  <r>
    <x v="39"/>
    <x v="497"/>
    <s v="Rural"/>
    <n v="17111"/>
    <x v="2"/>
    <n v="2058"/>
  </r>
  <r>
    <x v="39"/>
    <x v="496"/>
    <s v="Rural"/>
    <n v="19053"/>
    <x v="2"/>
    <n v="1145"/>
  </r>
  <r>
    <x v="39"/>
    <x v="496"/>
    <s v="Rural"/>
    <n v="18901"/>
    <x v="2"/>
    <n v="174"/>
  </r>
  <r>
    <x v="39"/>
    <x v="398"/>
    <s v="Rural"/>
    <n v="17602"/>
    <x v="2"/>
    <n v="1555"/>
  </r>
  <r>
    <x v="39"/>
    <x v="398"/>
    <s v="Rural"/>
    <n v="17601"/>
    <x v="0"/>
    <n v="2435"/>
  </r>
  <r>
    <x v="39"/>
    <x v="398"/>
    <s v="Rural"/>
    <n v="17601"/>
    <x v="3"/>
    <n v="162"/>
  </r>
  <r>
    <x v="39"/>
    <x v="500"/>
    <s v="Suburban"/>
    <n v="15237"/>
    <x v="0"/>
    <n v="402"/>
  </r>
  <r>
    <x v="39"/>
    <x v="501"/>
    <s v="Suburban"/>
    <n v="18103"/>
    <x v="2"/>
    <n v="1767"/>
  </r>
  <r>
    <x v="39"/>
    <x v="502"/>
    <s v="Suburban"/>
    <n v="15068"/>
    <x v="2"/>
    <n v="930"/>
  </r>
  <r>
    <x v="39"/>
    <x v="500"/>
    <s v="Suburban"/>
    <n v="15216"/>
    <x v="2"/>
    <n v="4501"/>
  </r>
  <r>
    <x v="39"/>
    <x v="245"/>
    <s v="Suburban"/>
    <n v="18337"/>
    <x v="2"/>
    <n v="797"/>
  </r>
  <r>
    <x v="39"/>
    <x v="501"/>
    <s v="Suburban"/>
    <n v="18104"/>
    <x v="2"/>
    <n v="1734"/>
  </r>
  <r>
    <x v="39"/>
    <x v="500"/>
    <s v="Suburban"/>
    <n v="15146"/>
    <x v="0"/>
    <n v="2180"/>
  </r>
  <r>
    <x v="39"/>
    <x v="502"/>
    <s v="Suburban"/>
    <n v="15601"/>
    <x v="2"/>
    <n v="1231"/>
  </r>
  <r>
    <x v="39"/>
    <x v="503"/>
    <s v="Suburban"/>
    <n v="15904"/>
    <x v="3"/>
    <n v="235"/>
  </r>
  <r>
    <x v="39"/>
    <x v="500"/>
    <s v="Suburban"/>
    <n v="15017"/>
    <x v="0"/>
    <n v="986"/>
  </r>
  <r>
    <x v="39"/>
    <x v="444"/>
    <s v="Suburban"/>
    <n v="16565"/>
    <x v="0"/>
    <n v="791"/>
  </r>
  <r>
    <x v="39"/>
    <x v="504"/>
    <s v="Suburban"/>
    <n v="18045"/>
    <x v="2"/>
    <n v="1530"/>
  </r>
  <r>
    <x v="39"/>
    <x v="501"/>
    <s v="Suburban"/>
    <n v="18018"/>
    <x v="2"/>
    <n v="2282"/>
  </r>
  <r>
    <x v="39"/>
    <x v="297"/>
    <s v="Suburban"/>
    <n v="17013"/>
    <x v="3"/>
    <n v="178"/>
  </r>
  <r>
    <x v="39"/>
    <x v="502"/>
    <s v="Suburban"/>
    <n v="15012"/>
    <x v="2"/>
    <n v="577"/>
  </r>
  <r>
    <x v="39"/>
    <x v="501"/>
    <s v="Suburban"/>
    <n v="18052"/>
    <x v="2"/>
    <n v="2695"/>
  </r>
  <r>
    <x v="39"/>
    <x v="505"/>
    <s v="Suburban"/>
    <n v="17042"/>
    <x v="2"/>
    <n v="1430"/>
  </r>
  <r>
    <x v="39"/>
    <x v="502"/>
    <s v="Suburban"/>
    <n v="15601"/>
    <x v="0"/>
    <n v="713"/>
  </r>
  <r>
    <x v="39"/>
    <x v="500"/>
    <s v="Suburban"/>
    <n v="15206"/>
    <x v="2"/>
    <n v="663"/>
  </r>
  <r>
    <x v="39"/>
    <x v="500"/>
    <s v="Suburban"/>
    <n v="15237"/>
    <x v="2"/>
    <n v="794"/>
  </r>
  <r>
    <x v="39"/>
    <x v="500"/>
    <s v="Suburban"/>
    <n v="15205"/>
    <x v="2"/>
    <n v="1409"/>
  </r>
  <r>
    <x v="39"/>
    <x v="500"/>
    <s v="Suburban"/>
    <n v="15238"/>
    <x v="2"/>
    <n v="562"/>
  </r>
  <r>
    <x v="39"/>
    <x v="297"/>
    <s v="Suburban"/>
    <n v="17013"/>
    <x v="0"/>
    <n v="1114"/>
  </r>
  <r>
    <x v="39"/>
    <x v="506"/>
    <s v="Suburban"/>
    <n v="16602"/>
    <x v="3"/>
    <n v="1298"/>
  </r>
  <r>
    <x v="39"/>
    <x v="501"/>
    <s v="Suburban"/>
    <n v="18103"/>
    <x v="1"/>
    <n v="965"/>
  </r>
  <r>
    <x v="39"/>
    <x v="503"/>
    <s v="Suburban"/>
    <n v="15904"/>
    <x v="2"/>
    <n v="786"/>
  </r>
  <r>
    <x v="39"/>
    <x v="506"/>
    <s v="Suburban"/>
    <n v="16602"/>
    <x v="2"/>
    <n v="680"/>
  </r>
  <r>
    <x v="39"/>
    <x v="412"/>
    <s v="Suburban"/>
    <n v="16148"/>
    <x v="2"/>
    <n v="911"/>
  </r>
  <r>
    <x v="39"/>
    <x v="444"/>
    <s v="Suburban"/>
    <n v="16509"/>
    <x v="2"/>
    <n v="1078"/>
  </r>
  <r>
    <x v="39"/>
    <x v="297"/>
    <s v="Suburban"/>
    <n v="17013"/>
    <x v="2"/>
    <n v="836"/>
  </r>
  <r>
    <x v="39"/>
    <x v="500"/>
    <s v="Suburban"/>
    <n v="15102"/>
    <x v="1"/>
    <n v="4551"/>
  </r>
  <r>
    <x v="39"/>
    <x v="16"/>
    <s v="Urban"/>
    <n v="19090"/>
    <x v="2"/>
    <n v="1024"/>
  </r>
  <r>
    <x v="39"/>
    <x v="507"/>
    <s v="Urban"/>
    <n v="19118"/>
    <x v="2"/>
    <n v="1161"/>
  </r>
  <r>
    <x v="39"/>
    <x v="508"/>
    <s v="Urban"/>
    <n v="19606"/>
    <x v="2"/>
    <n v="882"/>
  </r>
  <r>
    <x v="39"/>
    <x v="509"/>
    <s v="Urban"/>
    <n v="19335"/>
    <x v="2"/>
    <n v="1407"/>
  </r>
  <r>
    <x v="39"/>
    <x v="507"/>
    <s v="Urban"/>
    <n v="19149"/>
    <x v="0"/>
    <n v="1477"/>
  </r>
  <r>
    <x v="39"/>
    <x v="507"/>
    <s v="Urban"/>
    <n v="19103"/>
    <x v="5"/>
    <n v="220"/>
  </r>
  <r>
    <x v="39"/>
    <x v="343"/>
    <s v="Urban"/>
    <n v="16066"/>
    <x v="0"/>
    <n v="2519"/>
  </r>
  <r>
    <x v="39"/>
    <x v="128"/>
    <s v="Urban"/>
    <n v="17815"/>
    <x v="2"/>
    <n v="1026"/>
  </r>
  <r>
    <x v="39"/>
    <x v="16"/>
    <s v="Urban"/>
    <n v="19454"/>
    <x v="2"/>
    <n v="1033"/>
  </r>
  <r>
    <x v="39"/>
    <x v="509"/>
    <s v="Urban"/>
    <n v="19301"/>
    <x v="4"/>
    <n v="298"/>
  </r>
  <r>
    <x v="39"/>
    <x v="507"/>
    <s v="Urban"/>
    <n v="19145"/>
    <x v="2"/>
    <n v="1397"/>
  </r>
  <r>
    <x v="39"/>
    <x v="509"/>
    <s v="Urban"/>
    <n v="19087"/>
    <x v="2"/>
    <n v="1031"/>
  </r>
  <r>
    <x v="39"/>
    <x v="507"/>
    <s v="Urban"/>
    <n v="19102"/>
    <x v="2"/>
    <n v="1175"/>
  </r>
  <r>
    <x v="39"/>
    <x v="16"/>
    <s v="Urban"/>
    <n v="19468"/>
    <x v="2"/>
    <n v="700"/>
  </r>
  <r>
    <x v="39"/>
    <x v="16"/>
    <s v="Urban"/>
    <n v="19446"/>
    <x v="0"/>
    <n v="1313"/>
  </r>
  <r>
    <x v="39"/>
    <x v="510"/>
    <s v="Urban"/>
    <n v="15701"/>
    <x v="3"/>
    <n v="31205"/>
  </r>
  <r>
    <x v="39"/>
    <x v="343"/>
    <s v="Urban"/>
    <n v="16001"/>
    <x v="2"/>
    <n v="1524"/>
  </r>
  <r>
    <x v="39"/>
    <x v="508"/>
    <s v="Urban"/>
    <n v="19608"/>
    <x v="3"/>
    <n v="1019"/>
  </r>
  <r>
    <x v="39"/>
    <x v="343"/>
    <s v="Urban"/>
    <n v="16066"/>
    <x v="2"/>
    <n v="1532"/>
  </r>
  <r>
    <x v="39"/>
    <x v="16"/>
    <s v="Urban"/>
    <n v="19401"/>
    <x v="2"/>
    <n v="576"/>
  </r>
  <r>
    <x v="39"/>
    <x v="254"/>
    <s v="Urban"/>
    <n v="17201"/>
    <x v="2"/>
    <n v="714"/>
  </r>
  <r>
    <x v="39"/>
    <x v="16"/>
    <s v="Urban"/>
    <n v="19003"/>
    <x v="4"/>
    <n v="574"/>
  </r>
  <r>
    <x v="39"/>
    <x v="16"/>
    <s v="Urban"/>
    <n v="19010"/>
    <x v="2"/>
    <n v="1353"/>
  </r>
  <r>
    <x v="39"/>
    <x v="16"/>
    <s v="Urban"/>
    <n v="19072"/>
    <x v="2"/>
    <n v="1212"/>
  </r>
  <r>
    <x v="39"/>
    <x v="508"/>
    <s v="Urban"/>
    <n v="19605"/>
    <x v="0"/>
    <n v="987"/>
  </r>
  <r>
    <x v="39"/>
    <x v="509"/>
    <s v="Urban"/>
    <n v="19380"/>
    <x v="2"/>
    <n v="738"/>
  </r>
  <r>
    <x v="39"/>
    <x v="509"/>
    <s v="Urban"/>
    <n v="19341"/>
    <x v="2"/>
    <n v="1013"/>
  </r>
  <r>
    <x v="39"/>
    <x v="507"/>
    <s v="Urban"/>
    <n v="19124"/>
    <x v="2"/>
    <n v="1782"/>
  </r>
  <r>
    <x v="39"/>
    <x v="510"/>
    <s v="Urban"/>
    <n v="15701"/>
    <x v="2"/>
    <n v="808"/>
  </r>
  <r>
    <x v="39"/>
    <x v="511"/>
    <s v="Urban"/>
    <n v="16803"/>
    <x v="2"/>
    <n v="1061"/>
  </r>
  <r>
    <x v="39"/>
    <x v="221"/>
    <s v="Urban"/>
    <n v="19033"/>
    <x v="2"/>
    <n v="3409"/>
  </r>
  <r>
    <x v="39"/>
    <x v="221"/>
    <s v="Urban"/>
    <n v="19064"/>
    <x v="2"/>
    <n v="1833"/>
  </r>
  <r>
    <x v="39"/>
    <x v="16"/>
    <s v="Urban"/>
    <n v="19464"/>
    <x v="2"/>
    <n v="1508"/>
  </r>
  <r>
    <x v="39"/>
    <x v="507"/>
    <s v="Urban"/>
    <n v="19147"/>
    <x v="2"/>
    <n v="2332"/>
  </r>
  <r>
    <x v="39"/>
    <x v="221"/>
    <s v="Urban"/>
    <n v="19342"/>
    <x v="2"/>
    <n v="1657"/>
  </r>
  <r>
    <x v="39"/>
    <x v="512"/>
    <s v="Urban"/>
    <n v="17701"/>
    <x v="2"/>
    <n v="1460"/>
  </r>
  <r>
    <x v="39"/>
    <x v="509"/>
    <s v="Urban"/>
    <n v="19460"/>
    <x v="2"/>
    <n v="732"/>
  </r>
  <r>
    <x v="39"/>
    <x v="221"/>
    <s v="Urban"/>
    <n v="19083"/>
    <x v="2"/>
    <n v="865"/>
  </r>
  <r>
    <x v="39"/>
    <x v="508"/>
    <s v="Urban"/>
    <n v="19610"/>
    <x v="2"/>
    <n v="2200"/>
  </r>
  <r>
    <x v="39"/>
    <x v="507"/>
    <s v="Urban"/>
    <n v="19103"/>
    <x v="4"/>
    <n v="92"/>
  </r>
  <r>
    <x v="40"/>
    <x v="513"/>
    <s v="Rural"/>
    <n v="968"/>
    <x v="1"/>
    <n v="4184"/>
  </r>
  <r>
    <x v="40"/>
    <x v="514"/>
    <s v="Rural"/>
    <n v="725"/>
    <x v="0"/>
    <n v="2413"/>
  </r>
  <r>
    <x v="40"/>
    <x v="513"/>
    <s v="Rural"/>
    <n v="969"/>
    <x v="0"/>
    <n v="4607"/>
  </r>
  <r>
    <x v="40"/>
    <x v="515"/>
    <s v="Suburban"/>
    <n v="987"/>
    <x v="0"/>
    <n v="3888"/>
  </r>
  <r>
    <x v="40"/>
    <x v="516"/>
    <s v="Suburban"/>
    <n v="716"/>
    <x v="0"/>
    <n v="2451"/>
  </r>
  <r>
    <x v="40"/>
    <x v="517"/>
    <s v="Suburban"/>
    <n v="680"/>
    <x v="0"/>
    <n v="8947"/>
  </r>
  <r>
    <x v="40"/>
    <x v="518"/>
    <s v="Suburban"/>
    <n v="961"/>
    <x v="0"/>
    <n v="5561"/>
  </r>
  <r>
    <x v="40"/>
    <x v="519"/>
    <s v="Urban"/>
    <n v="987"/>
    <x v="0"/>
    <n v="3888"/>
  </r>
  <r>
    <x v="40"/>
    <x v="519"/>
    <s v="Urban"/>
    <n v="918"/>
    <x v="0"/>
    <n v="676"/>
  </r>
  <r>
    <x v="40"/>
    <x v="520"/>
    <s v="Urban"/>
    <n v="674"/>
    <x v="0"/>
    <n v="3845"/>
  </r>
  <r>
    <x v="41"/>
    <x v="521"/>
    <s v="Rural"/>
    <n v="2920"/>
    <x v="2"/>
    <n v="1128"/>
  </r>
  <r>
    <x v="41"/>
    <x v="521"/>
    <s v="Rural"/>
    <n v="2917"/>
    <x v="2"/>
    <n v="1895"/>
  </r>
  <r>
    <x v="41"/>
    <x v="521"/>
    <s v="Rural"/>
    <n v="2904"/>
    <x v="2"/>
    <n v="1407"/>
  </r>
  <r>
    <x v="41"/>
    <x v="105"/>
    <s v="Suburban"/>
    <n v="2886"/>
    <x v="2"/>
    <n v="509"/>
  </r>
  <r>
    <x v="41"/>
    <x v="105"/>
    <s v="Suburban"/>
    <n v="2818"/>
    <x v="3"/>
    <n v="191"/>
  </r>
  <r>
    <x v="41"/>
    <x v="522"/>
    <s v="Suburban"/>
    <n v="2842"/>
    <x v="2"/>
    <n v="705"/>
  </r>
  <r>
    <x v="41"/>
    <x v="23"/>
    <s v="Urban"/>
    <n v="2852"/>
    <x v="2"/>
    <n v="1378"/>
  </r>
  <r>
    <x v="41"/>
    <x v="23"/>
    <s v="Urban"/>
    <n v="2891"/>
    <x v="2"/>
    <n v="23"/>
  </r>
  <r>
    <x v="41"/>
    <x v="23"/>
    <s v="Urban"/>
    <n v="2879"/>
    <x v="2"/>
    <n v="639"/>
  </r>
  <r>
    <x v="42"/>
    <x v="523"/>
    <s v="Rural"/>
    <n v="29582"/>
    <x v="1"/>
    <n v="1104"/>
  </r>
  <r>
    <x v="42"/>
    <x v="465"/>
    <s v="Rural"/>
    <n v="29223"/>
    <x v="1"/>
    <n v="2333"/>
  </r>
  <r>
    <x v="42"/>
    <x v="523"/>
    <s v="Rural"/>
    <n v="29577"/>
    <x v="0"/>
    <n v="5215"/>
  </r>
  <r>
    <x v="42"/>
    <x v="524"/>
    <s v="Rural"/>
    <n v="29483"/>
    <x v="2"/>
    <n v="2295"/>
  </r>
  <r>
    <x v="42"/>
    <x v="525"/>
    <s v="Rural"/>
    <n v="29621"/>
    <x v="1"/>
    <n v="1579"/>
  </r>
  <r>
    <x v="42"/>
    <x v="523"/>
    <s v="Rural"/>
    <n v="29588"/>
    <x v="1"/>
    <n v="3923"/>
  </r>
  <r>
    <x v="42"/>
    <x v="465"/>
    <s v="Rural"/>
    <n v="29205"/>
    <x v="1"/>
    <n v="2265"/>
  </r>
  <r>
    <x v="42"/>
    <x v="465"/>
    <s v="Rural"/>
    <n v="29205"/>
    <x v="2"/>
    <n v="1728"/>
  </r>
  <r>
    <x v="42"/>
    <x v="523"/>
    <s v="Rural"/>
    <n v="29526"/>
    <x v="1"/>
    <n v="2901"/>
  </r>
  <r>
    <x v="42"/>
    <x v="377"/>
    <s v="Suburban"/>
    <n v="29910"/>
    <x v="2"/>
    <n v="1373"/>
  </r>
  <r>
    <x v="42"/>
    <x v="526"/>
    <s v="Suburban"/>
    <n v="29640"/>
    <x v="2"/>
    <n v="1913"/>
  </r>
  <r>
    <x v="42"/>
    <x v="527"/>
    <s v="Suburban"/>
    <n v="29803"/>
    <x v="2"/>
    <n v="1565"/>
  </r>
  <r>
    <x v="42"/>
    <x v="528"/>
    <s v="Suburban"/>
    <n v="29501"/>
    <x v="1"/>
    <n v="2426"/>
  </r>
  <r>
    <x v="42"/>
    <x v="529"/>
    <s v="Suburban"/>
    <n v="29150"/>
    <x v="2"/>
    <n v="2512"/>
  </r>
  <r>
    <x v="42"/>
    <x v="527"/>
    <s v="Suburban"/>
    <n v="29841"/>
    <x v="1"/>
    <n v="6028"/>
  </r>
  <r>
    <x v="42"/>
    <x v="377"/>
    <s v="Suburban"/>
    <n v="29928"/>
    <x v="2"/>
    <n v="953"/>
  </r>
  <r>
    <x v="42"/>
    <x v="377"/>
    <s v="Suburban"/>
    <n v="29906"/>
    <x v="2"/>
    <n v="1359"/>
  </r>
  <r>
    <x v="42"/>
    <x v="530"/>
    <s v="Suburban"/>
    <n v="29118"/>
    <x v="0"/>
    <n v="1259"/>
  </r>
  <r>
    <x v="42"/>
    <x v="296"/>
    <s v="Urban"/>
    <n v="29730"/>
    <x v="2"/>
    <n v="1251"/>
  </r>
  <r>
    <x v="42"/>
    <x v="531"/>
    <s v="Urban"/>
    <n v="29407"/>
    <x v="2"/>
    <n v="2127"/>
  </r>
  <r>
    <x v="42"/>
    <x v="531"/>
    <s v="Urban"/>
    <n v="29406"/>
    <x v="1"/>
    <n v="2517"/>
  </r>
  <r>
    <x v="42"/>
    <x v="532"/>
    <s v="Urban"/>
    <n v="29609"/>
    <x v="2"/>
    <n v="2120"/>
  </r>
  <r>
    <x v="42"/>
    <x v="532"/>
    <s v="Urban"/>
    <n v="29607"/>
    <x v="1"/>
    <n v="3266"/>
  </r>
  <r>
    <x v="42"/>
    <x v="296"/>
    <s v="Urban"/>
    <n v="29732"/>
    <x v="1"/>
    <n v="3336"/>
  </r>
  <r>
    <x v="42"/>
    <x v="531"/>
    <s v="Urban"/>
    <n v="29464"/>
    <x v="2"/>
    <n v="1273"/>
  </r>
  <r>
    <x v="42"/>
    <x v="531"/>
    <s v="Urban"/>
    <n v="29464"/>
    <x v="1"/>
    <n v="1704"/>
  </r>
  <r>
    <x v="42"/>
    <x v="532"/>
    <s v="Urban"/>
    <n v="29607"/>
    <x v="3"/>
    <n v="205"/>
  </r>
  <r>
    <x v="42"/>
    <x v="532"/>
    <s v="Urban"/>
    <n v="29607"/>
    <x v="2"/>
    <n v="2590"/>
  </r>
  <r>
    <x v="42"/>
    <x v="533"/>
    <s v="Urban"/>
    <n v="29649"/>
    <x v="0"/>
    <n v="3266"/>
  </r>
  <r>
    <x v="42"/>
    <x v="534"/>
    <s v="Urban"/>
    <n v="29301"/>
    <x v="3"/>
    <n v="2904"/>
  </r>
  <r>
    <x v="42"/>
    <x v="532"/>
    <s v="Urban"/>
    <n v="29601"/>
    <x v="2"/>
    <n v="2512"/>
  </r>
  <r>
    <x v="42"/>
    <x v="535"/>
    <s v="Urban"/>
    <n v="29678"/>
    <x v="2"/>
    <n v="2626"/>
  </r>
  <r>
    <x v="42"/>
    <x v="531"/>
    <s v="Urban"/>
    <n v="29407"/>
    <x v="1"/>
    <n v="5061"/>
  </r>
  <r>
    <x v="42"/>
    <x v="536"/>
    <s v="Urban"/>
    <n v="29072"/>
    <x v="1"/>
    <n v="3300"/>
  </r>
  <r>
    <x v="42"/>
    <x v="536"/>
    <s v="Urban"/>
    <n v="29212"/>
    <x v="2"/>
    <n v="4888"/>
  </r>
  <r>
    <x v="42"/>
    <x v="532"/>
    <s v="Urban"/>
    <n v="29650"/>
    <x v="2"/>
    <n v="2629"/>
  </r>
  <r>
    <x v="42"/>
    <x v="531"/>
    <s v="Urban"/>
    <n v="29418"/>
    <x v="2"/>
    <n v="1326"/>
  </r>
  <r>
    <x v="42"/>
    <x v="534"/>
    <s v="Urban"/>
    <n v="29307"/>
    <x v="1"/>
    <n v="2366"/>
  </r>
  <r>
    <x v="42"/>
    <x v="534"/>
    <s v="Urban"/>
    <n v="29301"/>
    <x v="1"/>
    <n v="3233"/>
  </r>
  <r>
    <x v="43"/>
    <x v="537"/>
    <s v="Suburban"/>
    <n v="57701"/>
    <x v="1"/>
    <n v="933"/>
  </r>
  <r>
    <x v="43"/>
    <x v="538"/>
    <s v="Suburban"/>
    <n v="57401"/>
    <x v="0"/>
    <n v="896"/>
  </r>
  <r>
    <x v="43"/>
    <x v="539"/>
    <s v="Urban"/>
    <n v="57108"/>
    <x v="3"/>
    <n v="635"/>
  </r>
  <r>
    <x v="43"/>
    <x v="540"/>
    <s v="Urban"/>
    <n v="57105"/>
    <x v="1"/>
    <n v="966"/>
  </r>
  <r>
    <x v="43"/>
    <x v="540"/>
    <s v="Urban"/>
    <n v="57105"/>
    <x v="2"/>
    <n v="1461"/>
  </r>
  <r>
    <x v="44"/>
    <x v="297"/>
    <s v="Rural"/>
    <n v="38555"/>
    <x v="2"/>
    <n v="1303"/>
  </r>
  <r>
    <x v="44"/>
    <x v="118"/>
    <s v="Rural"/>
    <n v="38501"/>
    <x v="0"/>
    <n v="4103"/>
  </r>
  <r>
    <x v="44"/>
    <x v="541"/>
    <s v="Rural"/>
    <n v="37303"/>
    <x v="2"/>
    <n v="882"/>
  </r>
  <r>
    <x v="44"/>
    <x v="542"/>
    <s v="Rural"/>
    <n v="37055"/>
    <x v="1"/>
    <n v="2567"/>
  </r>
  <r>
    <x v="44"/>
    <x v="118"/>
    <s v="Rural"/>
    <n v="38501"/>
    <x v="2"/>
    <n v="1899"/>
  </r>
  <r>
    <x v="44"/>
    <x v="543"/>
    <s v="Rural"/>
    <n v="37027"/>
    <x v="4"/>
    <n v="548"/>
  </r>
  <r>
    <x v="44"/>
    <x v="543"/>
    <s v="Rural"/>
    <n v="37027"/>
    <x v="1"/>
    <n v="3300"/>
  </r>
  <r>
    <x v="44"/>
    <x v="543"/>
    <s v="Rural"/>
    <n v="37067"/>
    <x v="1"/>
    <n v="888"/>
  </r>
  <r>
    <x v="44"/>
    <x v="543"/>
    <s v="Rural"/>
    <n v="37067"/>
    <x v="2"/>
    <n v="2657"/>
  </r>
  <r>
    <x v="44"/>
    <x v="23"/>
    <s v="Rural"/>
    <n v="37601"/>
    <x v="1"/>
    <n v="1262"/>
  </r>
  <r>
    <x v="44"/>
    <x v="16"/>
    <s v="Rural"/>
    <n v="37040"/>
    <x v="1"/>
    <n v="1814"/>
  </r>
  <r>
    <x v="44"/>
    <x v="19"/>
    <s v="Suburban"/>
    <n v="38138"/>
    <x v="4"/>
    <n v="2266"/>
  </r>
  <r>
    <x v="44"/>
    <x v="544"/>
    <s v="Suburban"/>
    <n v="37075"/>
    <x v="1"/>
    <n v="1415"/>
  </r>
  <r>
    <x v="44"/>
    <x v="362"/>
    <s v="Suburban"/>
    <n v="37129"/>
    <x v="2"/>
    <n v="3049"/>
  </r>
  <r>
    <x v="44"/>
    <x v="19"/>
    <s v="Suburban"/>
    <n v="38119"/>
    <x v="1"/>
    <n v="1354"/>
  </r>
  <r>
    <x v="44"/>
    <x v="235"/>
    <s v="Suburban"/>
    <n v="37923"/>
    <x v="2"/>
    <n v="1666"/>
  </r>
  <r>
    <x v="44"/>
    <x v="235"/>
    <s v="Suburban"/>
    <n v="37917"/>
    <x v="1"/>
    <n v="1081"/>
  </r>
  <r>
    <x v="44"/>
    <x v="235"/>
    <s v="Suburban"/>
    <n v="37912"/>
    <x v="0"/>
    <n v="1372"/>
  </r>
  <r>
    <x v="44"/>
    <x v="362"/>
    <s v="Suburban"/>
    <n v="37129"/>
    <x v="3"/>
    <n v="287"/>
  </r>
  <r>
    <x v="44"/>
    <x v="342"/>
    <s v="Suburban"/>
    <n v="37745"/>
    <x v="2"/>
    <n v="2131"/>
  </r>
  <r>
    <x v="44"/>
    <x v="4"/>
    <s v="Suburban"/>
    <n v="38305"/>
    <x v="0"/>
    <n v="1558"/>
  </r>
  <r>
    <x v="44"/>
    <x v="362"/>
    <s v="Suburban"/>
    <n v="37129"/>
    <x v="1"/>
    <n v="2182"/>
  </r>
  <r>
    <x v="44"/>
    <x v="19"/>
    <s v="Suburban"/>
    <n v="38138"/>
    <x v="1"/>
    <n v="2166"/>
  </r>
  <r>
    <x v="44"/>
    <x v="235"/>
    <s v="Suburban"/>
    <n v="37923"/>
    <x v="3"/>
    <n v="1988"/>
  </r>
  <r>
    <x v="44"/>
    <x v="19"/>
    <s v="Suburban"/>
    <n v="38017"/>
    <x v="1"/>
    <n v="2301"/>
  </r>
  <r>
    <x v="44"/>
    <x v="235"/>
    <s v="Suburban"/>
    <n v="37934"/>
    <x v="1"/>
    <n v="2750"/>
  </r>
  <r>
    <x v="44"/>
    <x v="19"/>
    <s v="Suburban"/>
    <n v="38117"/>
    <x v="3"/>
    <n v="808"/>
  </r>
  <r>
    <x v="44"/>
    <x v="19"/>
    <s v="Suburban"/>
    <n v="38104"/>
    <x v="0"/>
    <n v="2306"/>
  </r>
  <r>
    <x v="44"/>
    <x v="19"/>
    <s v="Suburban"/>
    <n v="38017"/>
    <x v="3"/>
    <n v="890"/>
  </r>
  <r>
    <x v="44"/>
    <x v="19"/>
    <s v="Suburban"/>
    <n v="38133"/>
    <x v="1"/>
    <n v="4298"/>
  </r>
  <r>
    <x v="44"/>
    <x v="15"/>
    <s v="Suburban"/>
    <n v="37388"/>
    <x v="0"/>
    <n v="3341"/>
  </r>
  <r>
    <x v="44"/>
    <x v="235"/>
    <s v="Suburban"/>
    <n v="37919"/>
    <x v="1"/>
    <n v="2015"/>
  </r>
  <r>
    <x v="44"/>
    <x v="544"/>
    <s v="Suburban"/>
    <n v="37075"/>
    <x v="2"/>
    <n v="4091"/>
  </r>
  <r>
    <x v="44"/>
    <x v="362"/>
    <s v="Suburban"/>
    <n v="37167"/>
    <x v="2"/>
    <n v="2041"/>
  </r>
  <r>
    <x v="44"/>
    <x v="545"/>
    <s v="Urban"/>
    <n v="37115"/>
    <x v="1"/>
    <n v="5006"/>
  </r>
  <r>
    <x v="44"/>
    <x v="545"/>
    <s v="Urban"/>
    <n v="37221"/>
    <x v="2"/>
    <n v="1343"/>
  </r>
  <r>
    <x v="44"/>
    <x v="545"/>
    <s v="Urban"/>
    <n v="37203"/>
    <x v="1"/>
    <n v="2351"/>
  </r>
  <r>
    <x v="44"/>
    <x v="545"/>
    <s v="Urban"/>
    <n v="37211"/>
    <x v="0"/>
    <n v="1586"/>
  </r>
  <r>
    <x v="44"/>
    <x v="224"/>
    <s v="Urban"/>
    <n v="37421"/>
    <x v="1"/>
    <n v="943"/>
  </r>
  <r>
    <x v="44"/>
    <x v="546"/>
    <s v="Urban"/>
    <n v="37813"/>
    <x v="0"/>
    <n v="1812"/>
  </r>
  <r>
    <x v="44"/>
    <x v="545"/>
    <s v="Urban"/>
    <n v="37215"/>
    <x v="4"/>
    <n v="727"/>
  </r>
  <r>
    <x v="44"/>
    <x v="547"/>
    <s v="Urban"/>
    <n v="37701"/>
    <x v="1"/>
    <n v="2428"/>
  </r>
  <r>
    <x v="44"/>
    <x v="545"/>
    <s v="Urban"/>
    <n v="37205"/>
    <x v="1"/>
    <n v="171"/>
  </r>
  <r>
    <x v="44"/>
    <x v="367"/>
    <s v="Urban"/>
    <n v="37122"/>
    <x v="2"/>
    <n v="1460"/>
  </r>
  <r>
    <x v="44"/>
    <x v="545"/>
    <s v="Urban"/>
    <n v="37204"/>
    <x v="2"/>
    <n v="1048"/>
  </r>
  <r>
    <x v="44"/>
    <x v="224"/>
    <s v="Urban"/>
    <n v="37421"/>
    <x v="2"/>
    <n v="3200"/>
  </r>
  <r>
    <x v="44"/>
    <x v="545"/>
    <s v="Urban"/>
    <n v="37214"/>
    <x v="1"/>
    <n v="1563"/>
  </r>
  <r>
    <x v="44"/>
    <x v="224"/>
    <s v="Urban"/>
    <n v="37421"/>
    <x v="3"/>
    <n v="1444"/>
  </r>
  <r>
    <x v="44"/>
    <x v="525"/>
    <s v="Urban"/>
    <n v="37830"/>
    <x v="2"/>
    <n v="1470"/>
  </r>
  <r>
    <x v="44"/>
    <x v="548"/>
    <s v="Urban"/>
    <n v="38401"/>
    <x v="0"/>
    <n v="2598"/>
  </r>
  <r>
    <x v="44"/>
    <x v="549"/>
    <s v="Urban"/>
    <n v="37876"/>
    <x v="2"/>
    <n v="1474"/>
  </r>
  <r>
    <x v="44"/>
    <x v="224"/>
    <s v="Urban"/>
    <n v="37411"/>
    <x v="1"/>
    <n v="1137"/>
  </r>
  <r>
    <x v="44"/>
    <x v="224"/>
    <s v="Urban"/>
    <n v="37343"/>
    <x v="3"/>
    <n v="438"/>
  </r>
  <r>
    <x v="44"/>
    <x v="545"/>
    <s v="Urban"/>
    <n v="37203"/>
    <x v="3"/>
    <n v="3945"/>
  </r>
  <r>
    <x v="44"/>
    <x v="367"/>
    <s v="Urban"/>
    <n v="37087"/>
    <x v="0"/>
    <n v="2367"/>
  </r>
  <r>
    <x v="44"/>
    <x v="550"/>
    <s v="Urban"/>
    <n v="37660"/>
    <x v="1"/>
    <n v="1560"/>
  </r>
  <r>
    <x v="44"/>
    <x v="224"/>
    <s v="Urban"/>
    <n v="37343"/>
    <x v="2"/>
    <n v="1356"/>
  </r>
  <r>
    <x v="44"/>
    <x v="551"/>
    <s v="Urban"/>
    <n v="37312"/>
    <x v="2"/>
    <n v="3927"/>
  </r>
  <r>
    <x v="45"/>
    <x v="363"/>
    <s v="Rural"/>
    <n v="75751"/>
    <x v="1"/>
    <n v="3196"/>
  </r>
  <r>
    <x v="45"/>
    <x v="16"/>
    <s v="Rural"/>
    <n v="77380"/>
    <x v="0"/>
    <n v="1945"/>
  </r>
  <r>
    <x v="45"/>
    <x v="552"/>
    <s v="Rural"/>
    <n v="78550"/>
    <x v="1"/>
    <n v="6140"/>
  </r>
  <r>
    <x v="45"/>
    <x v="553"/>
    <s v="Rural"/>
    <n v="75402"/>
    <x v="2"/>
    <n v="2909"/>
  </r>
  <r>
    <x v="45"/>
    <x v="554"/>
    <s v="Rural"/>
    <n v="79413"/>
    <x v="1"/>
    <n v="3437"/>
  </r>
  <r>
    <x v="45"/>
    <x v="555"/>
    <s v="Rural"/>
    <n v="75109"/>
    <x v="1"/>
    <n v="2195"/>
  </r>
  <r>
    <x v="45"/>
    <x v="556"/>
    <s v="Rural"/>
    <n v="76011"/>
    <x v="1"/>
    <n v="706"/>
  </r>
  <r>
    <x v="45"/>
    <x v="556"/>
    <s v="Rural"/>
    <n v="76016"/>
    <x v="1"/>
    <n v="2107"/>
  </r>
  <r>
    <x v="45"/>
    <x v="556"/>
    <s v="Rural"/>
    <n v="76017"/>
    <x v="0"/>
    <n v="741"/>
  </r>
  <r>
    <x v="45"/>
    <x v="556"/>
    <s v="Rural"/>
    <n v="76051"/>
    <x v="1"/>
    <n v="415"/>
  </r>
  <r>
    <x v="45"/>
    <x v="556"/>
    <s v="Rural"/>
    <n v="76092"/>
    <x v="4"/>
    <n v="407"/>
  </r>
  <r>
    <x v="45"/>
    <x v="556"/>
    <s v="Rural"/>
    <n v="76116"/>
    <x v="1"/>
    <n v="3077"/>
  </r>
  <r>
    <x v="45"/>
    <x v="552"/>
    <s v="Rural"/>
    <n v="78526"/>
    <x v="1"/>
    <n v="2724"/>
  </r>
  <r>
    <x v="45"/>
    <x v="84"/>
    <s v="Rural"/>
    <n v="79925"/>
    <x v="1"/>
    <n v="2661"/>
  </r>
  <r>
    <x v="45"/>
    <x v="552"/>
    <s v="Rural"/>
    <n v="78526"/>
    <x v="2"/>
    <n v="1024"/>
  </r>
  <r>
    <x v="45"/>
    <x v="84"/>
    <s v="Rural"/>
    <n v="79936"/>
    <x v="1"/>
    <n v="1323"/>
  </r>
  <r>
    <x v="45"/>
    <x v="557"/>
    <s v="Rural"/>
    <n v="79109"/>
    <x v="1"/>
    <n v="2008"/>
  </r>
  <r>
    <x v="45"/>
    <x v="16"/>
    <s v="Rural"/>
    <n v="77354"/>
    <x v="0"/>
    <n v="1266"/>
  </r>
  <r>
    <x v="45"/>
    <x v="558"/>
    <s v="Rural"/>
    <n v="78654"/>
    <x v="1"/>
    <n v="1291"/>
  </r>
  <r>
    <x v="45"/>
    <x v="559"/>
    <s v="Rural"/>
    <n v="76308"/>
    <x v="1"/>
    <n v="2565"/>
  </r>
  <r>
    <x v="45"/>
    <x v="560"/>
    <s v="Rural"/>
    <n v="75455"/>
    <x v="2"/>
    <n v="2512"/>
  </r>
  <r>
    <x v="45"/>
    <x v="16"/>
    <s v="Rural"/>
    <n v="77304"/>
    <x v="1"/>
    <n v="5161"/>
  </r>
  <r>
    <x v="45"/>
    <x v="16"/>
    <s v="Rural"/>
    <n v="77385"/>
    <x v="1"/>
    <n v="666"/>
  </r>
  <r>
    <x v="45"/>
    <x v="554"/>
    <s v="Rural"/>
    <n v="79407"/>
    <x v="1"/>
    <n v="1548"/>
  </r>
  <r>
    <x v="45"/>
    <x v="84"/>
    <s v="Rural"/>
    <n v="79912"/>
    <x v="1"/>
    <n v="1550"/>
  </r>
  <r>
    <x v="45"/>
    <x v="556"/>
    <s v="Rural"/>
    <n v="75052"/>
    <x v="1"/>
    <n v="2007"/>
  </r>
  <r>
    <x v="45"/>
    <x v="556"/>
    <s v="Rural"/>
    <n v="76063"/>
    <x v="2"/>
    <n v="3360"/>
  </r>
  <r>
    <x v="45"/>
    <x v="561"/>
    <s v="Rural"/>
    <n v="76086"/>
    <x v="0"/>
    <n v="2200"/>
  </r>
  <r>
    <x v="45"/>
    <x v="556"/>
    <s v="Rural"/>
    <n v="76107"/>
    <x v="1"/>
    <n v="1641"/>
  </r>
  <r>
    <x v="45"/>
    <x v="556"/>
    <s v="Rural"/>
    <n v="76107"/>
    <x v="2"/>
    <n v="1470"/>
  </r>
  <r>
    <x v="45"/>
    <x v="556"/>
    <s v="Rural"/>
    <n v="76120"/>
    <x v="1"/>
    <n v="495"/>
  </r>
  <r>
    <x v="45"/>
    <x v="185"/>
    <s v="Rural"/>
    <n v="76028"/>
    <x v="1"/>
    <n v="3211"/>
  </r>
  <r>
    <x v="45"/>
    <x v="562"/>
    <s v="Rural"/>
    <n v="76401"/>
    <x v="2"/>
    <n v="2260"/>
  </r>
  <r>
    <x v="45"/>
    <x v="563"/>
    <s v="Rural"/>
    <n v="78503"/>
    <x v="1"/>
    <n v="3322"/>
  </r>
  <r>
    <x v="45"/>
    <x v="563"/>
    <s v="Rural"/>
    <n v="78504"/>
    <x v="1"/>
    <n v="505"/>
  </r>
  <r>
    <x v="45"/>
    <x v="564"/>
    <s v="Rural"/>
    <n v="78155"/>
    <x v="1"/>
    <n v="1239"/>
  </r>
  <r>
    <x v="45"/>
    <x v="556"/>
    <s v="Rural"/>
    <n v="76135"/>
    <x v="2"/>
    <n v="2793"/>
  </r>
  <r>
    <x v="45"/>
    <x v="556"/>
    <s v="Rural"/>
    <n v="76092"/>
    <x v="2"/>
    <n v="3589"/>
  </r>
  <r>
    <x v="45"/>
    <x v="556"/>
    <s v="Rural"/>
    <n v="76053"/>
    <x v="1"/>
    <n v="2276"/>
  </r>
  <r>
    <x v="45"/>
    <x v="354"/>
    <s v="Rural"/>
    <n v="75460"/>
    <x v="0"/>
    <n v="4935"/>
  </r>
  <r>
    <x v="45"/>
    <x v="563"/>
    <s v="Rural"/>
    <n v="78572"/>
    <x v="1"/>
    <n v="3133"/>
  </r>
  <r>
    <x v="45"/>
    <x v="556"/>
    <s v="Rural"/>
    <n v="76180"/>
    <x v="1"/>
    <n v="2686"/>
  </r>
  <r>
    <x v="45"/>
    <x v="554"/>
    <s v="Rural"/>
    <n v="79424"/>
    <x v="1"/>
    <n v="3389"/>
  </r>
  <r>
    <x v="45"/>
    <x v="563"/>
    <s v="Rural"/>
    <n v="78577"/>
    <x v="2"/>
    <n v="2032"/>
  </r>
  <r>
    <x v="45"/>
    <x v="563"/>
    <s v="Rural"/>
    <n v="78599"/>
    <x v="1"/>
    <n v="3594"/>
  </r>
  <r>
    <x v="45"/>
    <x v="556"/>
    <s v="Rural"/>
    <n v="76039"/>
    <x v="2"/>
    <n v="990"/>
  </r>
  <r>
    <x v="45"/>
    <x v="556"/>
    <s v="Rural"/>
    <n v="76040"/>
    <x v="1"/>
    <n v="2117"/>
  </r>
  <r>
    <x v="45"/>
    <x v="556"/>
    <s v="Rural"/>
    <n v="76132"/>
    <x v="1"/>
    <n v="1118"/>
  </r>
  <r>
    <x v="45"/>
    <x v="556"/>
    <s v="Rural"/>
    <n v="76148"/>
    <x v="1"/>
    <n v="1802"/>
  </r>
  <r>
    <x v="45"/>
    <x v="556"/>
    <s v="Rural"/>
    <n v="76148"/>
    <x v="2"/>
    <n v="1411"/>
  </r>
  <r>
    <x v="45"/>
    <x v="565"/>
    <s v="Suburban"/>
    <n v="78703"/>
    <x v="4"/>
    <n v="356"/>
  </r>
  <r>
    <x v="45"/>
    <x v="189"/>
    <s v="Suburban"/>
    <n v="75211"/>
    <x v="2"/>
    <n v="1243"/>
  </r>
  <r>
    <x v="45"/>
    <x v="566"/>
    <s v="Suburban"/>
    <n v="77581"/>
    <x v="1"/>
    <n v="1694"/>
  </r>
  <r>
    <x v="45"/>
    <x v="567"/>
    <s v="Suburban"/>
    <n v="78602"/>
    <x v="2"/>
    <n v="1791"/>
  </r>
  <r>
    <x v="45"/>
    <x v="565"/>
    <s v="Suburban"/>
    <n v="78703"/>
    <x v="1"/>
    <n v="66"/>
  </r>
  <r>
    <x v="45"/>
    <x v="565"/>
    <s v="Suburban"/>
    <n v="78704"/>
    <x v="1"/>
    <n v="1967"/>
  </r>
  <r>
    <x v="45"/>
    <x v="565"/>
    <s v="Suburban"/>
    <n v="78749"/>
    <x v="1"/>
    <n v="1078"/>
  </r>
  <r>
    <x v="45"/>
    <x v="565"/>
    <s v="Suburban"/>
    <n v="78753"/>
    <x v="3"/>
    <n v="673"/>
  </r>
  <r>
    <x v="45"/>
    <x v="189"/>
    <s v="Suburban"/>
    <n v="75248"/>
    <x v="2"/>
    <n v="798"/>
  </r>
  <r>
    <x v="45"/>
    <x v="568"/>
    <s v="Suburban"/>
    <n v="77098"/>
    <x v="1"/>
    <n v="372"/>
  </r>
  <r>
    <x v="45"/>
    <x v="189"/>
    <s v="Suburban"/>
    <n v="75104"/>
    <x v="0"/>
    <n v="1552"/>
  </r>
  <r>
    <x v="45"/>
    <x v="189"/>
    <s v="Suburban"/>
    <n v="75243"/>
    <x v="1"/>
    <n v="939"/>
  </r>
  <r>
    <x v="45"/>
    <x v="569"/>
    <s v="Suburban"/>
    <n v="75604"/>
    <x v="3"/>
    <n v="879"/>
  </r>
  <r>
    <x v="45"/>
    <x v="565"/>
    <s v="Suburban"/>
    <n v="78752"/>
    <x v="1"/>
    <n v="1899"/>
  </r>
  <r>
    <x v="45"/>
    <x v="570"/>
    <s v="Suburban"/>
    <n v="76706"/>
    <x v="1"/>
    <n v="3293"/>
  </r>
  <r>
    <x v="45"/>
    <x v="568"/>
    <s v="Suburban"/>
    <n v="77007"/>
    <x v="2"/>
    <n v="1984"/>
  </r>
  <r>
    <x v="45"/>
    <x v="565"/>
    <s v="Suburban"/>
    <n v="78738"/>
    <x v="1"/>
    <n v="1410"/>
  </r>
  <r>
    <x v="45"/>
    <x v="568"/>
    <s v="Suburban"/>
    <n v="77008"/>
    <x v="1"/>
    <n v="1608"/>
  </r>
  <r>
    <x v="45"/>
    <x v="565"/>
    <s v="Suburban"/>
    <n v="78758"/>
    <x v="4"/>
    <n v="4363"/>
  </r>
  <r>
    <x v="45"/>
    <x v="565"/>
    <s v="Suburban"/>
    <n v="78759"/>
    <x v="1"/>
    <n v="1873"/>
  </r>
  <r>
    <x v="45"/>
    <x v="568"/>
    <s v="Suburban"/>
    <n v="77093"/>
    <x v="1"/>
    <n v="3226"/>
  </r>
  <r>
    <x v="45"/>
    <x v="308"/>
    <s v="Suburban"/>
    <n v="79705"/>
    <x v="1"/>
    <n v="3255"/>
  </r>
  <r>
    <x v="45"/>
    <x v="568"/>
    <s v="Suburban"/>
    <n v="77077"/>
    <x v="3"/>
    <n v="796"/>
  </r>
  <r>
    <x v="45"/>
    <x v="189"/>
    <s v="Suburban"/>
    <n v="75150"/>
    <x v="0"/>
    <n v="4221"/>
  </r>
  <r>
    <x v="45"/>
    <x v="568"/>
    <s v="Suburban"/>
    <n v="77063"/>
    <x v="1"/>
    <n v="994"/>
  </r>
  <r>
    <x v="45"/>
    <x v="568"/>
    <s v="Suburban"/>
    <n v="77056"/>
    <x v="5"/>
    <n v="5320"/>
  </r>
  <r>
    <x v="45"/>
    <x v="571"/>
    <s v="Suburban"/>
    <n v="75013"/>
    <x v="2"/>
    <n v="3197"/>
  </r>
  <r>
    <x v="45"/>
    <x v="571"/>
    <s v="Suburban"/>
    <n v="75034"/>
    <x v="1"/>
    <n v="2958"/>
  </r>
  <r>
    <x v="45"/>
    <x v="571"/>
    <s v="Suburban"/>
    <n v="75034"/>
    <x v="2"/>
    <n v="2500"/>
  </r>
  <r>
    <x v="45"/>
    <x v="571"/>
    <s v="Suburban"/>
    <n v="75069"/>
    <x v="1"/>
    <n v="2892"/>
  </r>
  <r>
    <x v="45"/>
    <x v="571"/>
    <s v="Suburban"/>
    <n v="75075"/>
    <x v="1"/>
    <n v="1432"/>
  </r>
  <r>
    <x v="45"/>
    <x v="571"/>
    <s v="Suburban"/>
    <n v="75093"/>
    <x v="4"/>
    <n v="1099"/>
  </r>
  <r>
    <x v="45"/>
    <x v="570"/>
    <s v="Suburban"/>
    <n v="76710"/>
    <x v="1"/>
    <n v="1847"/>
  </r>
  <r>
    <x v="45"/>
    <x v="568"/>
    <s v="Suburban"/>
    <n v="77019"/>
    <x v="0"/>
    <n v="3177"/>
  </r>
  <r>
    <x v="45"/>
    <x v="568"/>
    <s v="Suburban"/>
    <n v="77024"/>
    <x v="4"/>
    <n v="943"/>
  </r>
  <r>
    <x v="45"/>
    <x v="568"/>
    <s v="Suburban"/>
    <n v="77027"/>
    <x v="4"/>
    <n v="917"/>
  </r>
  <r>
    <x v="45"/>
    <x v="568"/>
    <s v="Suburban"/>
    <n v="77034"/>
    <x v="1"/>
    <n v="1349"/>
  </r>
  <r>
    <x v="45"/>
    <x v="572"/>
    <s v="Suburban"/>
    <n v="77459"/>
    <x v="1"/>
    <n v="1832"/>
  </r>
  <r>
    <x v="45"/>
    <x v="568"/>
    <s v="Suburban"/>
    <n v="77042"/>
    <x v="1"/>
    <n v="1052"/>
  </r>
  <r>
    <x v="45"/>
    <x v="573"/>
    <s v="Suburban"/>
    <n v="78404"/>
    <x v="1"/>
    <n v="1254"/>
  </r>
  <r>
    <x v="45"/>
    <x v="573"/>
    <s v="Suburban"/>
    <n v="78411"/>
    <x v="1"/>
    <n v="3371"/>
  </r>
  <r>
    <x v="45"/>
    <x v="568"/>
    <s v="Suburban"/>
    <n v="77058"/>
    <x v="1"/>
    <n v="1185"/>
  </r>
  <r>
    <x v="45"/>
    <x v="568"/>
    <s v="Suburban"/>
    <n v="77063"/>
    <x v="3"/>
    <n v="504"/>
  </r>
  <r>
    <x v="45"/>
    <x v="568"/>
    <s v="Suburban"/>
    <n v="77065"/>
    <x v="2"/>
    <n v="921"/>
  </r>
  <r>
    <x v="45"/>
    <x v="568"/>
    <s v="Suburban"/>
    <n v="77049"/>
    <x v="2"/>
    <n v="2253"/>
  </r>
  <r>
    <x v="45"/>
    <x v="568"/>
    <s v="Suburban"/>
    <n v="77031"/>
    <x v="1"/>
    <n v="1764"/>
  </r>
  <r>
    <x v="45"/>
    <x v="568"/>
    <s v="Suburban"/>
    <n v="77082"/>
    <x v="1"/>
    <n v="995"/>
  </r>
  <r>
    <x v="45"/>
    <x v="568"/>
    <s v="Suburban"/>
    <n v="77095"/>
    <x v="1"/>
    <n v="1927"/>
  </r>
  <r>
    <x v="45"/>
    <x v="568"/>
    <s v="Suburban"/>
    <n v="77098"/>
    <x v="3"/>
    <n v="539"/>
  </r>
  <r>
    <x v="45"/>
    <x v="568"/>
    <s v="Suburban"/>
    <n v="77346"/>
    <x v="1"/>
    <n v="954"/>
  </r>
  <r>
    <x v="45"/>
    <x v="574"/>
    <s v="Suburban"/>
    <n v="77840"/>
    <x v="1"/>
    <n v="2301"/>
  </r>
  <r>
    <x v="45"/>
    <x v="568"/>
    <s v="Suburban"/>
    <n v="77377"/>
    <x v="1"/>
    <n v="1972"/>
  </r>
  <r>
    <x v="45"/>
    <x v="571"/>
    <s v="Suburban"/>
    <n v="75075"/>
    <x v="0"/>
    <n v="1329"/>
  </r>
  <r>
    <x v="45"/>
    <x v="568"/>
    <s v="Suburban"/>
    <n v="77024"/>
    <x v="0"/>
    <n v="2349"/>
  </r>
  <r>
    <x v="45"/>
    <x v="568"/>
    <s v="Suburban"/>
    <n v="77054"/>
    <x v="1"/>
    <n v="1122"/>
  </r>
  <r>
    <x v="45"/>
    <x v="566"/>
    <s v="Suburban"/>
    <n v="77584"/>
    <x v="1"/>
    <n v="2439"/>
  </r>
  <r>
    <x v="45"/>
    <x v="566"/>
    <s v="Suburban"/>
    <n v="77511"/>
    <x v="1"/>
    <n v="2610"/>
  </r>
  <r>
    <x v="45"/>
    <x v="571"/>
    <s v="Suburban"/>
    <n v="75093"/>
    <x v="0"/>
    <n v="1322"/>
  </r>
  <r>
    <x v="45"/>
    <x v="568"/>
    <s v="Suburban"/>
    <n v="77069"/>
    <x v="1"/>
    <n v="1605"/>
  </r>
  <r>
    <x v="45"/>
    <x v="565"/>
    <s v="Suburban"/>
    <n v="78723"/>
    <x v="2"/>
    <n v="1184"/>
  </r>
  <r>
    <x v="45"/>
    <x v="568"/>
    <s v="Suburban"/>
    <n v="77096"/>
    <x v="0"/>
    <n v="1101"/>
  </r>
  <r>
    <x v="45"/>
    <x v="568"/>
    <s v="Suburban"/>
    <n v="77064"/>
    <x v="1"/>
    <n v="1851"/>
  </r>
  <r>
    <x v="45"/>
    <x v="568"/>
    <s v="Suburban"/>
    <n v="77056"/>
    <x v="1"/>
    <n v="1788"/>
  </r>
  <r>
    <x v="45"/>
    <x v="575"/>
    <s v="Suburban"/>
    <n v="75028"/>
    <x v="0"/>
    <n v="1455"/>
  </r>
  <r>
    <x v="45"/>
    <x v="575"/>
    <s v="Suburban"/>
    <n v="75067"/>
    <x v="0"/>
    <n v="2702"/>
  </r>
  <r>
    <x v="45"/>
    <x v="568"/>
    <s v="Suburban"/>
    <n v="77037"/>
    <x v="1"/>
    <n v="1927"/>
  </r>
  <r>
    <x v="45"/>
    <x v="568"/>
    <s v="Suburban"/>
    <n v="77024"/>
    <x v="1"/>
    <n v="4099"/>
  </r>
  <r>
    <x v="45"/>
    <x v="571"/>
    <s v="Suburban"/>
    <n v="75070"/>
    <x v="2"/>
    <n v="1768"/>
  </r>
  <r>
    <x v="45"/>
    <x v="565"/>
    <s v="Suburban"/>
    <n v="78746"/>
    <x v="1"/>
    <n v="501"/>
  </r>
  <r>
    <x v="45"/>
    <x v="572"/>
    <s v="Suburban"/>
    <n v="77471"/>
    <x v="1"/>
    <n v="2424"/>
  </r>
  <r>
    <x v="45"/>
    <x v="543"/>
    <s v="Suburban"/>
    <n v="78613"/>
    <x v="1"/>
    <n v="3265"/>
  </r>
  <r>
    <x v="45"/>
    <x v="565"/>
    <s v="Suburban"/>
    <n v="78660"/>
    <x v="1"/>
    <n v="4437"/>
  </r>
  <r>
    <x v="45"/>
    <x v="576"/>
    <s v="Suburban"/>
    <n v="78028"/>
    <x v="3"/>
    <n v="3770"/>
  </r>
  <r>
    <x v="45"/>
    <x v="576"/>
    <s v="Suburban"/>
    <n v="78028"/>
    <x v="0"/>
    <n v="5014"/>
  </r>
  <r>
    <x v="45"/>
    <x v="189"/>
    <s v="Suburban"/>
    <n v="75040"/>
    <x v="1"/>
    <n v="1093"/>
  </r>
  <r>
    <x v="45"/>
    <x v="189"/>
    <s v="Suburban"/>
    <n v="75007"/>
    <x v="1"/>
    <n v="1794"/>
  </r>
  <r>
    <x v="45"/>
    <x v="568"/>
    <s v="Suburban"/>
    <n v="77015"/>
    <x v="1"/>
    <n v="2227"/>
  </r>
  <r>
    <x v="45"/>
    <x v="543"/>
    <s v="Suburban"/>
    <n v="78681"/>
    <x v="1"/>
    <n v="1850"/>
  </r>
  <r>
    <x v="45"/>
    <x v="577"/>
    <s v="Suburban"/>
    <n v="75965"/>
    <x v="2"/>
    <n v="979"/>
  </r>
  <r>
    <x v="45"/>
    <x v="189"/>
    <s v="Suburban"/>
    <n v="75247"/>
    <x v="1"/>
    <n v="2245"/>
  </r>
  <r>
    <x v="45"/>
    <x v="189"/>
    <s v="Suburban"/>
    <n v="75234"/>
    <x v="1"/>
    <n v="1316"/>
  </r>
  <r>
    <x v="45"/>
    <x v="189"/>
    <s v="Suburban"/>
    <n v="75230"/>
    <x v="2"/>
    <n v="591"/>
  </r>
  <r>
    <x v="45"/>
    <x v="189"/>
    <s v="Suburban"/>
    <n v="75225"/>
    <x v="1"/>
    <n v="723"/>
  </r>
  <r>
    <x v="45"/>
    <x v="566"/>
    <s v="Suburban"/>
    <n v="77566"/>
    <x v="1"/>
    <n v="2836"/>
  </r>
  <r>
    <x v="45"/>
    <x v="569"/>
    <s v="Suburban"/>
    <n v="75605"/>
    <x v="1"/>
    <n v="2319"/>
  </r>
  <r>
    <x v="45"/>
    <x v="578"/>
    <s v="Suburban"/>
    <n v="77565"/>
    <x v="1"/>
    <n v="1761"/>
  </r>
  <r>
    <x v="45"/>
    <x v="568"/>
    <s v="Suburban"/>
    <n v="77546"/>
    <x v="4"/>
    <n v="4793"/>
  </r>
  <r>
    <x v="45"/>
    <x v="579"/>
    <s v="Suburban"/>
    <n v="75165"/>
    <x v="1"/>
    <n v="2007"/>
  </r>
  <r>
    <x v="45"/>
    <x v="575"/>
    <s v="Suburban"/>
    <n v="76205"/>
    <x v="1"/>
    <n v="2841"/>
  </r>
  <r>
    <x v="45"/>
    <x v="572"/>
    <s v="Suburban"/>
    <n v="77494"/>
    <x v="0"/>
    <n v="3347"/>
  </r>
  <r>
    <x v="45"/>
    <x v="568"/>
    <s v="Suburban"/>
    <n v="77521"/>
    <x v="1"/>
    <n v="2789"/>
  </r>
  <r>
    <x v="45"/>
    <x v="580"/>
    <s v="Suburban"/>
    <n v="79124"/>
    <x v="0"/>
    <n v="1619"/>
  </r>
  <r>
    <x v="45"/>
    <x v="568"/>
    <s v="Suburban"/>
    <n v="77505"/>
    <x v="1"/>
    <n v="2571"/>
  </r>
  <r>
    <x v="45"/>
    <x v="189"/>
    <s v="Suburban"/>
    <n v="75001"/>
    <x v="2"/>
    <n v="1339"/>
  </r>
  <r>
    <x v="45"/>
    <x v="189"/>
    <s v="Suburban"/>
    <n v="75062"/>
    <x v="1"/>
    <n v="249"/>
  </r>
  <r>
    <x v="45"/>
    <x v="189"/>
    <s v="Suburban"/>
    <n v="75063"/>
    <x v="1"/>
    <n v="980"/>
  </r>
  <r>
    <x v="45"/>
    <x v="189"/>
    <s v="Suburban"/>
    <n v="75115"/>
    <x v="1"/>
    <n v="781"/>
  </r>
  <r>
    <x v="45"/>
    <x v="189"/>
    <s v="Suburban"/>
    <n v="75206"/>
    <x v="1"/>
    <n v="2447"/>
  </r>
  <r>
    <x v="45"/>
    <x v="189"/>
    <s v="Suburban"/>
    <n v="75230"/>
    <x v="4"/>
    <n v="775"/>
  </r>
  <r>
    <x v="45"/>
    <x v="189"/>
    <s v="Suburban"/>
    <n v="75237"/>
    <x v="1"/>
    <n v="954"/>
  </r>
  <r>
    <x v="45"/>
    <x v="189"/>
    <s v="Suburban"/>
    <n v="75248"/>
    <x v="3"/>
    <n v="509"/>
  </r>
  <r>
    <x v="45"/>
    <x v="568"/>
    <s v="Suburban"/>
    <n v="77388"/>
    <x v="2"/>
    <n v="1206"/>
  </r>
  <r>
    <x v="45"/>
    <x v="568"/>
    <s v="Suburban"/>
    <n v="77388"/>
    <x v="1"/>
    <n v="2543"/>
  </r>
  <r>
    <x v="45"/>
    <x v="189"/>
    <s v="Suburban"/>
    <n v="75254"/>
    <x v="1"/>
    <n v="981"/>
  </r>
  <r>
    <x v="45"/>
    <x v="581"/>
    <s v="Suburban"/>
    <n v="75901"/>
    <x v="1"/>
    <n v="2388"/>
  </r>
  <r>
    <x v="45"/>
    <x v="578"/>
    <s v="Suburban"/>
    <n v="77551"/>
    <x v="1"/>
    <n v="1998"/>
  </r>
  <r>
    <x v="45"/>
    <x v="565"/>
    <s v="Suburban"/>
    <n v="78757"/>
    <x v="1"/>
    <n v="678"/>
  </r>
  <r>
    <x v="45"/>
    <x v="565"/>
    <s v="Suburban"/>
    <n v="78748"/>
    <x v="1"/>
    <n v="3476"/>
  </r>
  <r>
    <x v="45"/>
    <x v="568"/>
    <s v="Suburban"/>
    <n v="77598"/>
    <x v="2"/>
    <n v="2192"/>
  </r>
  <r>
    <x v="45"/>
    <x v="568"/>
    <s v="Suburban"/>
    <n v="77598"/>
    <x v="1"/>
    <n v="711"/>
  </r>
  <r>
    <x v="45"/>
    <x v="568"/>
    <s v="Suburban"/>
    <n v="77450"/>
    <x v="1"/>
    <n v="2227"/>
  </r>
  <r>
    <x v="45"/>
    <x v="578"/>
    <s v="Suburban"/>
    <n v="77591"/>
    <x v="1"/>
    <n v="1405"/>
  </r>
  <r>
    <x v="45"/>
    <x v="543"/>
    <s v="Suburban"/>
    <n v="78628"/>
    <x v="1"/>
    <n v="1312"/>
  </r>
  <r>
    <x v="45"/>
    <x v="308"/>
    <s v="Suburban"/>
    <n v="79707"/>
    <x v="2"/>
    <n v="1875"/>
  </r>
  <r>
    <x v="45"/>
    <x v="568"/>
    <s v="Suburban"/>
    <n v="77429"/>
    <x v="1"/>
    <n v="1628"/>
  </r>
  <r>
    <x v="45"/>
    <x v="568"/>
    <s v="Suburban"/>
    <n v="77338"/>
    <x v="1"/>
    <n v="6706"/>
  </r>
  <r>
    <x v="45"/>
    <x v="582"/>
    <s v="Suburban"/>
    <n v="77320"/>
    <x v="1"/>
    <n v="1173"/>
  </r>
  <r>
    <x v="45"/>
    <x v="568"/>
    <s v="Suburban"/>
    <n v="77092"/>
    <x v="1"/>
    <n v="1027"/>
  </r>
  <r>
    <x v="45"/>
    <x v="568"/>
    <s v="Suburban"/>
    <n v="77087"/>
    <x v="1"/>
    <n v="4174"/>
  </r>
  <r>
    <x v="45"/>
    <x v="583"/>
    <s v="Suburban"/>
    <n v="76048"/>
    <x v="2"/>
    <n v="2996"/>
  </r>
  <r>
    <x v="45"/>
    <x v="189"/>
    <s v="Suburban"/>
    <n v="75081"/>
    <x v="2"/>
    <n v="1562"/>
  </r>
  <r>
    <x v="45"/>
    <x v="189"/>
    <s v="Suburban"/>
    <n v="75150"/>
    <x v="1"/>
    <n v="1442"/>
  </r>
  <r>
    <x v="45"/>
    <x v="189"/>
    <s v="Suburban"/>
    <n v="75204"/>
    <x v="0"/>
    <n v="1166"/>
  </r>
  <r>
    <x v="45"/>
    <x v="577"/>
    <s v="Suburban"/>
    <n v="75965"/>
    <x v="3"/>
    <n v="501"/>
  </r>
  <r>
    <x v="45"/>
    <x v="572"/>
    <s v="Suburban"/>
    <n v="77478"/>
    <x v="1"/>
    <n v="1241"/>
  </r>
  <r>
    <x v="45"/>
    <x v="571"/>
    <s v="Suburban"/>
    <n v="75093"/>
    <x v="1"/>
    <n v="2526"/>
  </r>
  <r>
    <x v="45"/>
    <x v="189"/>
    <s v="Suburban"/>
    <n v="75205"/>
    <x v="4"/>
    <n v="1138"/>
  </r>
  <r>
    <x v="45"/>
    <x v="189"/>
    <s v="Suburban"/>
    <n v="75041"/>
    <x v="1"/>
    <n v="341"/>
  </r>
  <r>
    <x v="45"/>
    <x v="17"/>
    <s v="Urban"/>
    <n v="77706"/>
    <x v="1"/>
    <n v="1517"/>
  </r>
  <r>
    <x v="45"/>
    <x v="584"/>
    <s v="Urban"/>
    <n v="79762"/>
    <x v="1"/>
    <n v="3465"/>
  </r>
  <r>
    <x v="45"/>
    <x v="585"/>
    <s v="Urban"/>
    <n v="78239"/>
    <x v="1"/>
    <n v="251"/>
  </r>
  <r>
    <x v="45"/>
    <x v="586"/>
    <s v="Urban"/>
    <n v="76542"/>
    <x v="0"/>
    <n v="2220"/>
  </r>
  <r>
    <x v="45"/>
    <x v="587"/>
    <s v="Urban"/>
    <n v="78130"/>
    <x v="3"/>
    <n v="621"/>
  </r>
  <r>
    <x v="45"/>
    <x v="585"/>
    <s v="Urban"/>
    <n v="78257"/>
    <x v="2"/>
    <n v="2094"/>
  </r>
  <r>
    <x v="45"/>
    <x v="588"/>
    <s v="Urban"/>
    <n v="75087"/>
    <x v="2"/>
    <n v="1412"/>
  </r>
  <r>
    <x v="45"/>
    <x v="588"/>
    <s v="Urban"/>
    <n v="75032"/>
    <x v="0"/>
    <n v="2246"/>
  </r>
  <r>
    <x v="45"/>
    <x v="589"/>
    <s v="Urban"/>
    <n v="75703"/>
    <x v="1"/>
    <n v="1814"/>
  </r>
  <r>
    <x v="45"/>
    <x v="585"/>
    <s v="Urban"/>
    <n v="78223"/>
    <x v="1"/>
    <n v="1387"/>
  </r>
  <r>
    <x v="45"/>
    <x v="585"/>
    <s v="Urban"/>
    <n v="78245"/>
    <x v="1"/>
    <n v="1825"/>
  </r>
  <r>
    <x v="45"/>
    <x v="585"/>
    <s v="Urban"/>
    <n v="78250"/>
    <x v="1"/>
    <n v="1462"/>
  </r>
  <r>
    <x v="45"/>
    <x v="585"/>
    <s v="Urban"/>
    <n v="78253"/>
    <x v="0"/>
    <n v="1689"/>
  </r>
  <r>
    <x v="45"/>
    <x v="585"/>
    <s v="Urban"/>
    <n v="78258"/>
    <x v="1"/>
    <n v="2094"/>
  </r>
  <r>
    <x v="45"/>
    <x v="590"/>
    <s v="Urban"/>
    <n v="79606"/>
    <x v="0"/>
    <n v="1911"/>
  </r>
  <r>
    <x v="45"/>
    <x v="591"/>
    <s v="Urban"/>
    <n v="78041"/>
    <x v="1"/>
    <n v="5010"/>
  </r>
  <r>
    <x v="45"/>
    <x v="585"/>
    <s v="Urban"/>
    <n v="78209"/>
    <x v="0"/>
    <n v="2095"/>
  </r>
  <r>
    <x v="45"/>
    <x v="589"/>
    <s v="Urban"/>
    <n v="75701"/>
    <x v="3"/>
    <n v="1747"/>
  </r>
  <r>
    <x v="45"/>
    <x v="590"/>
    <s v="Urban"/>
    <n v="79605"/>
    <x v="1"/>
    <n v="1877"/>
  </r>
  <r>
    <x v="45"/>
    <x v="525"/>
    <s v="Urban"/>
    <n v="75801"/>
    <x v="1"/>
    <n v="2419"/>
  </r>
  <r>
    <x v="45"/>
    <x v="587"/>
    <s v="Urban"/>
    <n v="78130"/>
    <x v="1"/>
    <n v="2652"/>
  </r>
  <r>
    <x v="45"/>
    <x v="17"/>
    <s v="Urban"/>
    <n v="77640"/>
    <x v="1"/>
    <n v="3066"/>
  </r>
  <r>
    <x v="45"/>
    <x v="592"/>
    <s v="Urban"/>
    <n v="75503"/>
    <x v="1"/>
    <n v="1397"/>
  </r>
  <r>
    <x v="45"/>
    <x v="593"/>
    <s v="Urban"/>
    <n v="76904"/>
    <x v="1"/>
    <n v="4463"/>
  </r>
  <r>
    <x v="45"/>
    <x v="594"/>
    <s v="Urban"/>
    <n v="78666"/>
    <x v="1"/>
    <n v="2128"/>
  </r>
  <r>
    <x v="45"/>
    <x v="586"/>
    <s v="Urban"/>
    <n v="76504"/>
    <x v="2"/>
    <n v="2632"/>
  </r>
  <r>
    <x v="45"/>
    <x v="585"/>
    <s v="Urban"/>
    <n v="78216"/>
    <x v="1"/>
    <n v="3383"/>
  </r>
  <r>
    <x v="45"/>
    <x v="585"/>
    <s v="Urban"/>
    <n v="78154"/>
    <x v="0"/>
    <n v="2533"/>
  </r>
  <r>
    <x v="45"/>
    <x v="585"/>
    <s v="Urban"/>
    <n v="78224"/>
    <x v="1"/>
    <n v="165"/>
  </r>
  <r>
    <x v="45"/>
    <x v="17"/>
    <s v="Urban"/>
    <n v="77701"/>
    <x v="1"/>
    <n v="2038"/>
  </r>
  <r>
    <x v="45"/>
    <x v="585"/>
    <s v="Urban"/>
    <n v="78201"/>
    <x v="1"/>
    <n v="1450"/>
  </r>
  <r>
    <x v="45"/>
    <x v="585"/>
    <s v="Urban"/>
    <n v="78230"/>
    <x v="1"/>
    <n v="2338"/>
  </r>
  <r>
    <x v="45"/>
    <x v="585"/>
    <s v="Urban"/>
    <n v="78232"/>
    <x v="0"/>
    <n v="1788"/>
  </r>
  <r>
    <x v="45"/>
    <x v="595"/>
    <s v="Urban"/>
    <n v="77904"/>
    <x v="1"/>
    <n v="3066"/>
  </r>
  <r>
    <x v="45"/>
    <x v="585"/>
    <s v="Urban"/>
    <n v="78238"/>
    <x v="1"/>
    <n v="2034"/>
  </r>
  <r>
    <x v="45"/>
    <x v="589"/>
    <s v="Urban"/>
    <n v="75703"/>
    <x v="0"/>
    <n v="3467"/>
  </r>
  <r>
    <x v="45"/>
    <x v="596"/>
    <s v="Urban"/>
    <n v="75090"/>
    <x v="1"/>
    <n v="3913"/>
  </r>
  <r>
    <x v="46"/>
    <x v="597"/>
    <s v="Rural"/>
    <n v="84106"/>
    <x v="0"/>
    <n v="564"/>
  </r>
  <r>
    <x v="46"/>
    <x v="597"/>
    <s v="Rural"/>
    <n v="84111"/>
    <x v="5"/>
    <n v="2311"/>
  </r>
  <r>
    <x v="46"/>
    <x v="93"/>
    <s v="Rural"/>
    <n v="84098"/>
    <x v="2"/>
    <n v="214"/>
  </r>
  <r>
    <x v="46"/>
    <x v="597"/>
    <s v="Rural"/>
    <n v="84102"/>
    <x v="0"/>
    <n v="1134"/>
  </r>
  <r>
    <x v="46"/>
    <x v="23"/>
    <s v="Rural"/>
    <n v="84790"/>
    <x v="2"/>
    <n v="1415"/>
  </r>
  <r>
    <x v="46"/>
    <x v="597"/>
    <s v="Rural"/>
    <n v="84115"/>
    <x v="1"/>
    <n v="889"/>
  </r>
  <r>
    <x v="46"/>
    <x v="597"/>
    <s v="Rural"/>
    <n v="84020"/>
    <x v="1"/>
    <n v="1209"/>
  </r>
  <r>
    <x v="46"/>
    <x v="597"/>
    <s v="Rural"/>
    <n v="84047"/>
    <x v="3"/>
    <n v="727"/>
  </r>
  <r>
    <x v="46"/>
    <x v="597"/>
    <s v="Rural"/>
    <n v="84047"/>
    <x v="0"/>
    <n v="575"/>
  </r>
  <r>
    <x v="46"/>
    <x v="597"/>
    <s v="Rural"/>
    <n v="84095"/>
    <x v="0"/>
    <n v="1095"/>
  </r>
  <r>
    <x v="46"/>
    <x v="598"/>
    <s v="Suburban"/>
    <n v="84341"/>
    <x v="2"/>
    <n v="1112"/>
  </r>
  <r>
    <x v="46"/>
    <x v="599"/>
    <s v="Suburban"/>
    <n v="84601"/>
    <x v="2"/>
    <n v="1070"/>
  </r>
  <r>
    <x v="46"/>
    <x v="599"/>
    <s v="Suburban"/>
    <n v="84058"/>
    <x v="2"/>
    <n v="1472"/>
  </r>
  <r>
    <x v="46"/>
    <x v="599"/>
    <s v="Suburban"/>
    <n v="84058"/>
    <x v="1"/>
    <n v="2216"/>
  </r>
  <r>
    <x v="46"/>
    <x v="599"/>
    <s v="Suburban"/>
    <n v="84003"/>
    <x v="1"/>
    <n v="1041"/>
  </r>
  <r>
    <x v="46"/>
    <x v="600"/>
    <s v="Suburban"/>
    <n v="84404"/>
    <x v="0"/>
    <n v="822"/>
  </r>
  <r>
    <x v="46"/>
    <x v="600"/>
    <s v="Suburban"/>
    <n v="84405"/>
    <x v="2"/>
    <n v="860"/>
  </r>
  <r>
    <x v="46"/>
    <x v="601"/>
    <s v="Urban"/>
    <n v="84041"/>
    <x v="2"/>
    <n v="1428"/>
  </r>
  <r>
    <x v="46"/>
    <x v="601"/>
    <s v="Urban"/>
    <n v="84010"/>
    <x v="1"/>
    <n v="1424"/>
  </r>
  <r>
    <x v="46"/>
    <x v="601"/>
    <s v="Urban"/>
    <n v="84041"/>
    <x v="0"/>
    <n v="16523"/>
  </r>
  <r>
    <x v="0"/>
    <x v="602"/>
    <s v="Rural"/>
    <n v="22031"/>
    <x v="4"/>
    <n v="659"/>
  </r>
  <r>
    <x v="0"/>
    <x v="603"/>
    <s v="Rural"/>
    <n v="22556"/>
    <x v="2"/>
    <n v="1798"/>
  </r>
  <r>
    <x v="0"/>
    <x v="604"/>
    <s v="Rural"/>
    <n v="23435"/>
    <x v="0"/>
    <n v="2540"/>
  </r>
  <r>
    <x v="0"/>
    <x v="605"/>
    <s v="Rural"/>
    <n v="23502"/>
    <x v="0"/>
    <n v="900"/>
  </r>
  <r>
    <x v="0"/>
    <x v="606"/>
    <s v="Rural"/>
    <n v="24401"/>
    <x v="2"/>
    <n v="991"/>
  </r>
  <r>
    <x v="0"/>
    <x v="602"/>
    <s v="Rural"/>
    <n v="22031"/>
    <x v="2"/>
    <n v="1157"/>
  </r>
  <r>
    <x v="0"/>
    <x v="607"/>
    <s v="Rural"/>
    <n v="23233"/>
    <x v="2"/>
    <n v="1020"/>
  </r>
  <r>
    <x v="0"/>
    <x v="607"/>
    <s v="Rural"/>
    <n v="23060"/>
    <x v="3"/>
    <n v="1534"/>
  </r>
  <r>
    <x v="0"/>
    <x v="607"/>
    <s v="Rural"/>
    <n v="23060"/>
    <x v="0"/>
    <n v="1666"/>
  </r>
  <r>
    <x v="0"/>
    <x v="607"/>
    <s v="Rural"/>
    <n v="23231"/>
    <x v="0"/>
    <n v="1215"/>
  </r>
  <r>
    <x v="0"/>
    <x v="608"/>
    <s v="Rural"/>
    <n v="24112"/>
    <x v="0"/>
    <n v="12616"/>
  </r>
  <r>
    <x v="0"/>
    <x v="609"/>
    <s v="Rural"/>
    <n v="20164"/>
    <x v="1"/>
    <n v="687"/>
  </r>
  <r>
    <x v="0"/>
    <x v="607"/>
    <s v="Rural"/>
    <n v="23230"/>
    <x v="2"/>
    <n v="1317"/>
  </r>
  <r>
    <x v="0"/>
    <x v="607"/>
    <s v="Rural"/>
    <n v="23059"/>
    <x v="0"/>
    <n v="1084"/>
  </r>
  <r>
    <x v="0"/>
    <x v="610"/>
    <s v="Rural"/>
    <n v="22314"/>
    <x v="5"/>
    <n v="234"/>
  </r>
  <r>
    <x v="0"/>
    <x v="610"/>
    <s v="Rural"/>
    <n v="22305"/>
    <x v="2"/>
    <n v="995"/>
  </r>
  <r>
    <x v="0"/>
    <x v="611"/>
    <s v="Rural"/>
    <n v="20110"/>
    <x v="2"/>
    <n v="1032"/>
  </r>
  <r>
    <x v="0"/>
    <x v="609"/>
    <s v="Rural"/>
    <n v="20176"/>
    <x v="3"/>
    <n v="699"/>
  </r>
  <r>
    <x v="0"/>
    <x v="612"/>
    <s v="Rural"/>
    <n v="23602"/>
    <x v="0"/>
    <n v="1863"/>
  </r>
  <r>
    <x v="0"/>
    <x v="613"/>
    <s v="Rural"/>
    <n v="22046"/>
    <x v="2"/>
    <n v="142"/>
  </r>
  <r>
    <x v="0"/>
    <x v="614"/>
    <s v="Rural"/>
    <n v="24202"/>
    <x v="1"/>
    <n v="2050"/>
  </r>
  <r>
    <x v="0"/>
    <x v="609"/>
    <s v="Rural"/>
    <n v="20176"/>
    <x v="1"/>
    <n v="1379"/>
  </r>
  <r>
    <x v="0"/>
    <x v="609"/>
    <s v="Rural"/>
    <n v="20176"/>
    <x v="2"/>
    <n v="997"/>
  </r>
  <r>
    <x v="0"/>
    <x v="615"/>
    <s v="Rural"/>
    <n v="20186"/>
    <x v="2"/>
    <n v="1519"/>
  </r>
  <r>
    <x v="0"/>
    <x v="605"/>
    <s v="Rural"/>
    <n v="23510"/>
    <x v="5"/>
    <n v="2008"/>
  </r>
  <r>
    <x v="0"/>
    <x v="607"/>
    <s v="Rural"/>
    <n v="23230"/>
    <x v="0"/>
    <n v="1097"/>
  </r>
  <r>
    <x v="0"/>
    <x v="610"/>
    <s v="Rural"/>
    <n v="22314"/>
    <x v="4"/>
    <n v="410"/>
  </r>
  <r>
    <x v="0"/>
    <x v="616"/>
    <s v="Suburban"/>
    <n v="23188"/>
    <x v="1"/>
    <n v="951"/>
  </r>
  <r>
    <x v="0"/>
    <x v="617"/>
    <s v="Suburban"/>
    <n v="22303"/>
    <x v="1"/>
    <n v="1072"/>
  </r>
  <r>
    <x v="0"/>
    <x v="617"/>
    <s v="Suburban"/>
    <n v="20151"/>
    <x v="1"/>
    <n v="879"/>
  </r>
  <r>
    <x v="0"/>
    <x v="617"/>
    <s v="Suburban"/>
    <n v="22015"/>
    <x v="2"/>
    <n v="3229"/>
  </r>
  <r>
    <x v="0"/>
    <x v="618"/>
    <s v="Suburban"/>
    <n v="23834"/>
    <x v="2"/>
    <n v="1235"/>
  </r>
  <r>
    <x v="0"/>
    <x v="619"/>
    <s v="Suburban"/>
    <n v="22901"/>
    <x v="2"/>
    <n v="1220"/>
  </r>
  <r>
    <x v="0"/>
    <x v="617"/>
    <s v="Suburban"/>
    <n v="22031"/>
    <x v="4"/>
    <n v="659"/>
  </r>
  <r>
    <x v="0"/>
    <x v="16"/>
    <s v="Suburban"/>
    <n v="24073"/>
    <x v="3"/>
    <n v="1535"/>
  </r>
  <r>
    <x v="0"/>
    <x v="620"/>
    <s v="Suburban"/>
    <n v="22203"/>
    <x v="2"/>
    <n v="54525"/>
  </r>
  <r>
    <x v="0"/>
    <x v="621"/>
    <s v="Suburban"/>
    <n v="23221"/>
    <x v="4"/>
    <n v="549"/>
  </r>
  <r>
    <x v="0"/>
    <x v="617"/>
    <s v="Suburban"/>
    <n v="22150"/>
    <x v="2"/>
    <n v="875"/>
  </r>
  <r>
    <x v="0"/>
    <x v="622"/>
    <s v="Suburban"/>
    <n v="24502"/>
    <x v="0"/>
    <n v="667"/>
  </r>
  <r>
    <x v="0"/>
    <x v="623"/>
    <s v="Suburban"/>
    <n v="23112"/>
    <x v="0"/>
    <n v="2504"/>
  </r>
  <r>
    <x v="0"/>
    <x v="623"/>
    <s v="Suburban"/>
    <n v="23113"/>
    <x v="0"/>
    <n v="2355"/>
  </r>
  <r>
    <x v="0"/>
    <x v="623"/>
    <s v="Suburban"/>
    <n v="23236"/>
    <x v="3"/>
    <n v="243"/>
  </r>
  <r>
    <x v="0"/>
    <x v="621"/>
    <s v="Suburban"/>
    <n v="23235"/>
    <x v="2"/>
    <n v="751"/>
  </r>
  <r>
    <x v="0"/>
    <x v="623"/>
    <s v="Suburban"/>
    <n v="23235"/>
    <x v="5"/>
    <n v="148"/>
  </r>
  <r>
    <x v="0"/>
    <x v="624"/>
    <s v="Suburban"/>
    <n v="23111"/>
    <x v="0"/>
    <n v="2248"/>
  </r>
  <r>
    <x v="0"/>
    <x v="625"/>
    <s v="Suburban"/>
    <n v="24540"/>
    <x v="0"/>
    <n v="1479"/>
  </r>
  <r>
    <x v="0"/>
    <x v="626"/>
    <s v="Suburban"/>
    <n v="24012"/>
    <x v="0"/>
    <n v="1262"/>
  </r>
  <r>
    <x v="0"/>
    <x v="617"/>
    <s v="Suburban"/>
    <n v="22042"/>
    <x v="1"/>
    <n v="1113"/>
  </r>
  <r>
    <x v="0"/>
    <x v="617"/>
    <s v="Suburban"/>
    <n v="22041"/>
    <x v="1"/>
    <n v="1461"/>
  </r>
  <r>
    <x v="0"/>
    <x v="617"/>
    <s v="Suburban"/>
    <n v="22031"/>
    <x v="2"/>
    <n v="1157"/>
  </r>
  <r>
    <x v="0"/>
    <x v="621"/>
    <s v="Suburban"/>
    <n v="23235"/>
    <x v="5"/>
    <n v="148"/>
  </r>
  <r>
    <x v="0"/>
    <x v="617"/>
    <s v="Suburban"/>
    <n v="20190"/>
    <x v="4"/>
    <n v="1050"/>
  </r>
  <r>
    <x v="0"/>
    <x v="626"/>
    <s v="Suburban"/>
    <n v="24018"/>
    <x v="3"/>
    <n v="619"/>
  </r>
  <r>
    <x v="0"/>
    <x v="622"/>
    <s v="Suburban"/>
    <n v="24502"/>
    <x v="2"/>
    <n v="373"/>
  </r>
  <r>
    <x v="0"/>
    <x v="626"/>
    <s v="Suburban"/>
    <n v="24012"/>
    <x v="2"/>
    <n v="1750"/>
  </r>
  <r>
    <x v="0"/>
    <x v="621"/>
    <s v="Suburban"/>
    <n v="23225"/>
    <x v="1"/>
    <n v="1581"/>
  </r>
  <r>
    <x v="0"/>
    <x v="623"/>
    <s v="Suburban"/>
    <n v="23831"/>
    <x v="1"/>
    <n v="595"/>
  </r>
  <r>
    <x v="0"/>
    <x v="623"/>
    <s v="Suburban"/>
    <n v="23235"/>
    <x v="2"/>
    <n v="751"/>
  </r>
  <r>
    <x v="0"/>
    <x v="623"/>
    <s v="Suburban"/>
    <n v="23113"/>
    <x v="1"/>
    <n v="1088"/>
  </r>
  <r>
    <x v="0"/>
    <x v="627"/>
    <s v="Suburban"/>
    <n v="22601"/>
    <x v="2"/>
    <n v="999"/>
  </r>
  <r>
    <x v="0"/>
    <x v="617"/>
    <s v="Suburban"/>
    <n v="22306"/>
    <x v="2"/>
    <n v="1488"/>
  </r>
  <r>
    <x v="0"/>
    <x v="617"/>
    <s v="Suburban"/>
    <n v="20190"/>
    <x v="1"/>
    <n v="2217"/>
  </r>
  <r>
    <x v="0"/>
    <x v="617"/>
    <s v="Suburban"/>
    <n v="22030"/>
    <x v="1"/>
    <n v="2169"/>
  </r>
  <r>
    <x v="0"/>
    <x v="617"/>
    <s v="Suburban"/>
    <n v="22182"/>
    <x v="2"/>
    <n v="304"/>
  </r>
  <r>
    <x v="0"/>
    <x v="628"/>
    <s v="Suburban"/>
    <n v="22801"/>
    <x v="2"/>
    <n v="1484"/>
  </r>
  <r>
    <x v="0"/>
    <x v="629"/>
    <s v="Urban"/>
    <n v="23454"/>
    <x v="0"/>
    <n v="1565"/>
  </r>
  <r>
    <x v="0"/>
    <x v="629"/>
    <s v="Urban"/>
    <n v="23462"/>
    <x v="4"/>
    <n v="534"/>
  </r>
  <r>
    <x v="0"/>
    <x v="629"/>
    <s v="Urban"/>
    <n v="23451"/>
    <x v="1"/>
    <n v="561"/>
  </r>
  <r>
    <x v="0"/>
    <x v="630"/>
    <s v="Urban"/>
    <n v="22192"/>
    <x v="2"/>
    <n v="755"/>
  </r>
  <r>
    <x v="0"/>
    <x v="631"/>
    <s v="Urban"/>
    <n v="24273"/>
    <x v="3"/>
    <n v="2040"/>
  </r>
  <r>
    <x v="0"/>
    <x v="632"/>
    <s v="Urban"/>
    <n v="22401"/>
    <x v="3"/>
    <n v="777"/>
  </r>
  <r>
    <x v="0"/>
    <x v="629"/>
    <s v="Urban"/>
    <n v="23452"/>
    <x v="3"/>
    <n v="265"/>
  </r>
  <r>
    <x v="0"/>
    <x v="629"/>
    <s v="Urban"/>
    <n v="23462"/>
    <x v="1"/>
    <n v="7317"/>
  </r>
  <r>
    <x v="0"/>
    <x v="630"/>
    <s v="Urban"/>
    <n v="20155"/>
    <x v="2"/>
    <n v="988"/>
  </r>
  <r>
    <x v="0"/>
    <x v="632"/>
    <s v="Urban"/>
    <n v="22401"/>
    <x v="1"/>
    <n v="1085"/>
  </r>
  <r>
    <x v="0"/>
    <x v="633"/>
    <s v="Urban"/>
    <n v="22903"/>
    <x v="2"/>
    <n v="925"/>
  </r>
  <r>
    <x v="0"/>
    <x v="632"/>
    <s v="Urban"/>
    <n v="22401"/>
    <x v="2"/>
    <n v="1108"/>
  </r>
  <r>
    <x v="0"/>
    <x v="629"/>
    <s v="Urban"/>
    <n v="23456"/>
    <x v="0"/>
    <n v="1228"/>
  </r>
  <r>
    <x v="0"/>
    <x v="634"/>
    <s v="Urban"/>
    <n v="23320"/>
    <x v="0"/>
    <n v="2043"/>
  </r>
  <r>
    <x v="0"/>
    <x v="635"/>
    <s v="Urban"/>
    <n v="23185"/>
    <x v="2"/>
    <n v="2130"/>
  </r>
  <r>
    <x v="0"/>
    <x v="634"/>
    <s v="Urban"/>
    <n v="23321"/>
    <x v="0"/>
    <n v="4554"/>
  </r>
  <r>
    <x v="0"/>
    <x v="636"/>
    <s v="Urban"/>
    <n v="820"/>
    <x v="0"/>
    <n v="4537"/>
  </r>
  <r>
    <x v="0"/>
    <x v="637"/>
    <s v="Urban"/>
    <n v="23666"/>
    <x v="1"/>
    <n v="1947"/>
  </r>
  <r>
    <x v="0"/>
    <x v="630"/>
    <s v="Urban"/>
    <n v="22192"/>
    <x v="1"/>
    <n v="1748"/>
  </r>
  <r>
    <x v="47"/>
    <x v="638"/>
    <s v="Rural"/>
    <n v="5495"/>
    <x v="2"/>
    <n v="852"/>
  </r>
  <r>
    <x v="47"/>
    <x v="638"/>
    <s v="Rural"/>
    <n v="5403"/>
    <x v="2"/>
    <n v="781"/>
  </r>
  <r>
    <x v="47"/>
    <x v="95"/>
    <s v="Rural"/>
    <n v="5301"/>
    <x v="2"/>
    <n v="374"/>
  </r>
  <r>
    <x v="47"/>
    <x v="23"/>
    <s v="Suburban"/>
    <n v="5641"/>
    <x v="2"/>
    <n v="346"/>
  </r>
  <r>
    <x v="47"/>
    <x v="639"/>
    <s v="Suburban"/>
    <n v="5201"/>
    <x v="2"/>
    <n v="499"/>
  </r>
  <r>
    <x v="47"/>
    <x v="640"/>
    <s v="Suburban"/>
    <n v="5701"/>
    <x v="2"/>
    <n v="1221"/>
  </r>
  <r>
    <x v="48"/>
    <x v="641"/>
    <s v="Rural"/>
    <n v="98027"/>
    <x v="1"/>
    <n v="1443"/>
  </r>
  <r>
    <x v="48"/>
    <x v="642"/>
    <s v="Rural"/>
    <n v="98405"/>
    <x v="1"/>
    <n v="1392"/>
  </r>
  <r>
    <x v="48"/>
    <x v="643"/>
    <s v="Rural"/>
    <n v="98012"/>
    <x v="2"/>
    <n v="2324"/>
  </r>
  <r>
    <x v="48"/>
    <x v="641"/>
    <s v="Rural"/>
    <n v="98030"/>
    <x v="2"/>
    <n v="1037"/>
  </r>
  <r>
    <x v="48"/>
    <x v="641"/>
    <s v="Rural"/>
    <n v="98052"/>
    <x v="3"/>
    <n v="272"/>
  </r>
  <r>
    <x v="48"/>
    <x v="644"/>
    <s v="Rural"/>
    <n v="98383"/>
    <x v="2"/>
    <n v="1058"/>
  </r>
  <r>
    <x v="48"/>
    <x v="642"/>
    <s v="Rural"/>
    <n v="98499"/>
    <x v="1"/>
    <n v="2122"/>
  </r>
  <r>
    <x v="48"/>
    <x v="645"/>
    <s v="Rural"/>
    <n v="99362"/>
    <x v="3"/>
    <n v="396"/>
  </r>
  <r>
    <x v="48"/>
    <x v="644"/>
    <s v="Rural"/>
    <n v="98370"/>
    <x v="0"/>
    <n v="681"/>
  </r>
  <r>
    <x v="48"/>
    <x v="643"/>
    <s v="Rural"/>
    <n v="98270"/>
    <x v="2"/>
    <n v="929"/>
  </r>
  <r>
    <x v="48"/>
    <x v="641"/>
    <s v="Rural"/>
    <n v="98134"/>
    <x v="1"/>
    <n v="2012"/>
  </r>
  <r>
    <x v="48"/>
    <x v="641"/>
    <s v="Rural"/>
    <n v="98105"/>
    <x v="4"/>
    <n v="608"/>
  </r>
  <r>
    <x v="48"/>
    <x v="641"/>
    <s v="Rural"/>
    <n v="98106"/>
    <x v="2"/>
    <n v="1982"/>
  </r>
  <r>
    <x v="48"/>
    <x v="641"/>
    <s v="Rural"/>
    <n v="98133"/>
    <x v="1"/>
    <n v="2107"/>
  </r>
  <r>
    <x v="48"/>
    <x v="641"/>
    <s v="Rural"/>
    <n v="98133"/>
    <x v="0"/>
    <n v="2592"/>
  </r>
  <r>
    <x v="48"/>
    <x v="641"/>
    <s v="Rural"/>
    <n v="98105"/>
    <x v="1"/>
    <n v="1063"/>
  </r>
  <r>
    <x v="48"/>
    <x v="641"/>
    <s v="Rural"/>
    <n v="98057"/>
    <x v="2"/>
    <n v="989"/>
  </r>
  <r>
    <x v="48"/>
    <x v="641"/>
    <s v="Rural"/>
    <n v="98042"/>
    <x v="1"/>
    <n v="1183"/>
  </r>
  <r>
    <x v="48"/>
    <x v="645"/>
    <s v="Rural"/>
    <n v="99362"/>
    <x v="2"/>
    <n v="1141"/>
  </r>
  <r>
    <x v="48"/>
    <x v="641"/>
    <s v="Rural"/>
    <n v="98166"/>
    <x v="2"/>
    <n v="2105"/>
  </r>
  <r>
    <x v="48"/>
    <x v="642"/>
    <s v="Rural"/>
    <n v="98332"/>
    <x v="1"/>
    <n v="789"/>
  </r>
  <r>
    <x v="48"/>
    <x v="641"/>
    <s v="Rural"/>
    <n v="98004"/>
    <x v="1"/>
    <n v="699"/>
  </r>
  <r>
    <x v="48"/>
    <x v="644"/>
    <s v="Rural"/>
    <n v="98366"/>
    <x v="2"/>
    <n v="884"/>
  </r>
  <r>
    <x v="48"/>
    <x v="641"/>
    <s v="Rural"/>
    <n v="98005"/>
    <x v="2"/>
    <n v="405"/>
  </r>
  <r>
    <x v="48"/>
    <x v="641"/>
    <s v="Rural"/>
    <n v="98002"/>
    <x v="1"/>
    <n v="992"/>
  </r>
  <r>
    <x v="48"/>
    <x v="643"/>
    <s v="Rural"/>
    <n v="98203"/>
    <x v="2"/>
    <n v="706"/>
  </r>
  <r>
    <x v="48"/>
    <x v="641"/>
    <s v="Rural"/>
    <n v="98109"/>
    <x v="4"/>
    <n v="1068"/>
  </r>
  <r>
    <x v="48"/>
    <x v="646"/>
    <s v="Rural"/>
    <n v="98632"/>
    <x v="1"/>
    <n v="1460"/>
  </r>
  <r>
    <x v="48"/>
    <x v="641"/>
    <s v="Rural"/>
    <n v="98119"/>
    <x v="2"/>
    <n v="739"/>
  </r>
  <r>
    <x v="48"/>
    <x v="641"/>
    <s v="Rural"/>
    <n v="98188"/>
    <x v="1"/>
    <n v="976"/>
  </r>
  <r>
    <x v="48"/>
    <x v="647"/>
    <s v="Rural"/>
    <n v="98837"/>
    <x v="2"/>
    <n v="834"/>
  </r>
  <r>
    <x v="48"/>
    <x v="643"/>
    <s v="Rural"/>
    <n v="98271"/>
    <x v="1"/>
    <n v="888"/>
  </r>
  <r>
    <x v="48"/>
    <x v="643"/>
    <s v="Rural"/>
    <n v="98036"/>
    <x v="2"/>
    <n v="1260"/>
  </r>
  <r>
    <x v="48"/>
    <x v="643"/>
    <s v="Rural"/>
    <n v="98036"/>
    <x v="1"/>
    <n v="1013"/>
  </r>
  <r>
    <x v="48"/>
    <x v="641"/>
    <s v="Rural"/>
    <n v="98004"/>
    <x v="4"/>
    <n v="1420"/>
  </r>
  <r>
    <x v="48"/>
    <x v="643"/>
    <s v="Rural"/>
    <n v="98204"/>
    <x v="1"/>
    <n v="1439"/>
  </r>
  <r>
    <x v="48"/>
    <x v="642"/>
    <s v="Rural"/>
    <n v="98373"/>
    <x v="1"/>
    <n v="1215"/>
  </r>
  <r>
    <x v="48"/>
    <x v="641"/>
    <s v="Rural"/>
    <n v="98003"/>
    <x v="1"/>
    <n v="1573"/>
  </r>
  <r>
    <x v="48"/>
    <x v="641"/>
    <s v="Rural"/>
    <n v="98107"/>
    <x v="0"/>
    <n v="1054"/>
  </r>
  <r>
    <x v="48"/>
    <x v="641"/>
    <s v="Rural"/>
    <n v="98105"/>
    <x v="5"/>
    <n v="935"/>
  </r>
  <r>
    <x v="48"/>
    <x v="648"/>
    <s v="Rural"/>
    <n v="98801"/>
    <x v="1"/>
    <n v="1350"/>
  </r>
  <r>
    <x v="48"/>
    <x v="641"/>
    <s v="Rural"/>
    <n v="98052"/>
    <x v="2"/>
    <n v="541"/>
  </r>
  <r>
    <x v="48"/>
    <x v="649"/>
    <s v="Suburban"/>
    <n v="98903"/>
    <x v="1"/>
    <n v="1572"/>
  </r>
  <r>
    <x v="48"/>
    <x v="25"/>
    <s v="Suburban"/>
    <n v="99354"/>
    <x v="1"/>
    <n v="254"/>
  </r>
  <r>
    <x v="48"/>
    <x v="650"/>
    <s v="Suburban"/>
    <n v="98532"/>
    <x v="2"/>
    <n v="1123"/>
  </r>
  <r>
    <x v="48"/>
    <x v="651"/>
    <s v="Suburban"/>
    <n v="98503"/>
    <x v="1"/>
    <n v="708"/>
  </r>
  <r>
    <x v="48"/>
    <x v="25"/>
    <s v="Suburban"/>
    <n v="99336"/>
    <x v="1"/>
    <n v="2206"/>
  </r>
  <r>
    <x v="48"/>
    <x v="25"/>
    <s v="Suburban"/>
    <n v="99336"/>
    <x v="3"/>
    <n v="314"/>
  </r>
  <r>
    <x v="48"/>
    <x v="652"/>
    <s v="Suburban"/>
    <n v="98273"/>
    <x v="1"/>
    <n v="837"/>
  </r>
  <r>
    <x v="48"/>
    <x v="651"/>
    <s v="Suburban"/>
    <n v="98516"/>
    <x v="0"/>
    <n v="1459"/>
  </r>
  <r>
    <x v="48"/>
    <x v="653"/>
    <s v="Urban"/>
    <n v="99218"/>
    <x v="2"/>
    <n v="1233"/>
  </r>
  <r>
    <x v="48"/>
    <x v="653"/>
    <s v="Urban"/>
    <n v="99202"/>
    <x v="1"/>
    <n v="799"/>
  </r>
  <r>
    <x v="48"/>
    <x v="654"/>
    <s v="Urban"/>
    <n v="98226"/>
    <x v="0"/>
    <n v="1343"/>
  </r>
  <r>
    <x v="48"/>
    <x v="653"/>
    <s v="Urban"/>
    <n v="99216"/>
    <x v="2"/>
    <n v="1446"/>
  </r>
  <r>
    <x v="48"/>
    <x v="655"/>
    <s v="Urban"/>
    <n v="98277"/>
    <x v="0"/>
    <n v="881"/>
  </r>
  <r>
    <x v="48"/>
    <x v="236"/>
    <s v="Urban"/>
    <n v="98665"/>
    <x v="1"/>
    <n v="693"/>
  </r>
  <r>
    <x v="48"/>
    <x v="236"/>
    <s v="Urban"/>
    <n v="98683"/>
    <x v="3"/>
    <n v="693"/>
  </r>
  <r>
    <x v="48"/>
    <x v="653"/>
    <s v="Urban"/>
    <n v="99216"/>
    <x v="1"/>
    <n v="2130"/>
  </r>
  <r>
    <x v="48"/>
    <x v="653"/>
    <s v="Urban"/>
    <n v="99207"/>
    <x v="2"/>
    <n v="1266"/>
  </r>
  <r>
    <x v="48"/>
    <x v="653"/>
    <s v="Urban"/>
    <n v="99207"/>
    <x v="1"/>
    <n v="1451"/>
  </r>
  <r>
    <x v="48"/>
    <x v="236"/>
    <s v="Urban"/>
    <n v="98684"/>
    <x v="0"/>
    <n v="1713"/>
  </r>
  <r>
    <x v="48"/>
    <x v="656"/>
    <s v="Urban"/>
    <n v="98520"/>
    <x v="2"/>
    <n v="1741"/>
  </r>
  <r>
    <x v="48"/>
    <x v="657"/>
    <s v="Urban"/>
    <n v="98382"/>
    <x v="1"/>
    <n v="919"/>
  </r>
  <r>
    <x v="48"/>
    <x v="653"/>
    <s v="Urban"/>
    <n v="99207"/>
    <x v="3"/>
    <n v="1025"/>
  </r>
  <r>
    <x v="48"/>
    <x v="236"/>
    <s v="Urban"/>
    <n v="98662"/>
    <x v="1"/>
    <n v="202"/>
  </r>
  <r>
    <x v="49"/>
    <x v="658"/>
    <s v="Rural"/>
    <n v="54701"/>
    <x v="0"/>
    <n v="805"/>
  </r>
  <r>
    <x v="49"/>
    <x v="659"/>
    <s v="Rural"/>
    <n v="54914"/>
    <x v="1"/>
    <n v="872"/>
  </r>
  <r>
    <x v="49"/>
    <x v="658"/>
    <s v="Rural"/>
    <n v="54701"/>
    <x v="3"/>
    <n v="972"/>
  </r>
  <r>
    <x v="49"/>
    <x v="660"/>
    <s v="Rural"/>
    <n v="53704"/>
    <x v="1"/>
    <n v="959"/>
  </r>
  <r>
    <x v="49"/>
    <x v="474"/>
    <s v="Rural"/>
    <n v="54494"/>
    <x v="3"/>
    <n v="873"/>
  </r>
  <r>
    <x v="49"/>
    <x v="661"/>
    <s v="Rural"/>
    <n v="53545"/>
    <x v="0"/>
    <n v="1298"/>
  </r>
  <r>
    <x v="49"/>
    <x v="662"/>
    <s v="Rural"/>
    <n v="53045"/>
    <x v="3"/>
    <n v="850"/>
  </r>
  <r>
    <x v="49"/>
    <x v="663"/>
    <s v="Rural"/>
    <n v="54915"/>
    <x v="0"/>
    <n v="2490"/>
  </r>
  <r>
    <x v="49"/>
    <x v="659"/>
    <s v="Rural"/>
    <n v="54914"/>
    <x v="0"/>
    <n v="777"/>
  </r>
  <r>
    <x v="49"/>
    <x v="662"/>
    <s v="Rural"/>
    <n v="53151"/>
    <x v="0"/>
    <n v="573"/>
  </r>
  <r>
    <x v="49"/>
    <x v="664"/>
    <s v="Rural"/>
    <n v="53154"/>
    <x v="0"/>
    <n v="800"/>
  </r>
  <r>
    <x v="49"/>
    <x v="664"/>
    <s v="Rural"/>
    <n v="53213"/>
    <x v="3"/>
    <n v="42"/>
  </r>
  <r>
    <x v="49"/>
    <x v="665"/>
    <s v="Rural"/>
    <n v="54220"/>
    <x v="0"/>
    <n v="1559"/>
  </r>
  <r>
    <x v="49"/>
    <x v="660"/>
    <s v="Rural"/>
    <n v="53719"/>
    <x v="0"/>
    <n v="1317"/>
  </r>
  <r>
    <x v="49"/>
    <x v="462"/>
    <s v="Rural"/>
    <n v="54467"/>
    <x v="2"/>
    <n v="866"/>
  </r>
  <r>
    <x v="49"/>
    <x v="664"/>
    <s v="Rural"/>
    <n v="53222"/>
    <x v="0"/>
    <n v="2070"/>
  </r>
  <r>
    <x v="49"/>
    <x v="660"/>
    <s v="Rural"/>
    <n v="53716"/>
    <x v="2"/>
    <n v="1399"/>
  </r>
  <r>
    <x v="49"/>
    <x v="660"/>
    <s v="Rural"/>
    <n v="53711"/>
    <x v="1"/>
    <n v="1204"/>
  </r>
  <r>
    <x v="49"/>
    <x v="660"/>
    <s v="Rural"/>
    <n v="53705"/>
    <x v="4"/>
    <n v="574"/>
  </r>
  <r>
    <x v="49"/>
    <x v="662"/>
    <s v="Rural"/>
    <n v="53051"/>
    <x v="0"/>
    <n v="1372"/>
  </r>
  <r>
    <x v="49"/>
    <x v="662"/>
    <s v="Rural"/>
    <n v="53005"/>
    <x v="1"/>
    <n v="1669"/>
  </r>
  <r>
    <x v="49"/>
    <x v="661"/>
    <s v="Rural"/>
    <n v="53511"/>
    <x v="3"/>
    <n v="296"/>
  </r>
  <r>
    <x v="49"/>
    <x v="664"/>
    <s v="Rural"/>
    <n v="53227"/>
    <x v="0"/>
    <n v="2502"/>
  </r>
  <r>
    <x v="49"/>
    <x v="666"/>
    <s v="Rural"/>
    <n v="53024"/>
    <x v="0"/>
    <n v="790"/>
  </r>
  <r>
    <x v="49"/>
    <x v="664"/>
    <s v="Rural"/>
    <n v="53221"/>
    <x v="1"/>
    <n v="1671"/>
  </r>
  <r>
    <x v="49"/>
    <x v="662"/>
    <s v="Rural"/>
    <n v="53018"/>
    <x v="0"/>
    <n v="989"/>
  </r>
  <r>
    <x v="49"/>
    <x v="664"/>
    <s v="Rural"/>
    <n v="53217"/>
    <x v="4"/>
    <n v="284"/>
  </r>
  <r>
    <x v="49"/>
    <x v="664"/>
    <s v="Rural"/>
    <n v="53212"/>
    <x v="1"/>
    <n v="694"/>
  </r>
  <r>
    <x v="49"/>
    <x v="664"/>
    <s v="Rural"/>
    <n v="53209"/>
    <x v="1"/>
    <n v="1445"/>
  </r>
  <r>
    <x v="49"/>
    <x v="666"/>
    <s v="Rural"/>
    <n v="53092"/>
    <x v="3"/>
    <n v="140"/>
  </r>
  <r>
    <x v="49"/>
    <x v="662"/>
    <s v="Rural"/>
    <n v="53072"/>
    <x v="1"/>
    <n v="1040"/>
  </r>
  <r>
    <x v="49"/>
    <x v="662"/>
    <s v="Rural"/>
    <n v="53045"/>
    <x v="4"/>
    <n v="1754"/>
  </r>
  <r>
    <x v="49"/>
    <x v="211"/>
    <s v="Suburban"/>
    <n v="54901"/>
    <x v="3"/>
    <n v="506"/>
  </r>
  <r>
    <x v="49"/>
    <x v="667"/>
    <s v="Suburban"/>
    <n v="53142"/>
    <x v="0"/>
    <n v="745"/>
  </r>
  <r>
    <x v="49"/>
    <x v="211"/>
    <s v="Suburban"/>
    <n v="54902"/>
    <x v="0"/>
    <n v="2047"/>
  </r>
  <r>
    <x v="49"/>
    <x v="668"/>
    <s v="Suburban"/>
    <n v="54868"/>
    <x v="0"/>
    <n v="403"/>
  </r>
  <r>
    <x v="49"/>
    <x v="669"/>
    <s v="Suburban"/>
    <n v="54935"/>
    <x v="3"/>
    <n v="85"/>
  </r>
  <r>
    <x v="49"/>
    <x v="23"/>
    <s v="Suburban"/>
    <n v="53095"/>
    <x v="0"/>
    <n v="602"/>
  </r>
  <r>
    <x v="49"/>
    <x v="395"/>
    <s v="Urban"/>
    <n v="53916"/>
    <x v="2"/>
    <n v="188"/>
  </r>
  <r>
    <x v="49"/>
    <x v="670"/>
    <s v="Urban"/>
    <n v="53406"/>
    <x v="1"/>
    <n v="1685"/>
  </r>
  <r>
    <x v="49"/>
    <x v="671"/>
    <s v="Urban"/>
    <n v="54601"/>
    <x v="1"/>
    <n v="2212"/>
  </r>
  <r>
    <x v="49"/>
    <x v="672"/>
    <s v="Urban"/>
    <n v="54401"/>
    <x v="0"/>
    <n v="1213"/>
  </r>
  <r>
    <x v="49"/>
    <x v="538"/>
    <s v="Urban"/>
    <n v="54304"/>
    <x v="3"/>
    <n v="767"/>
  </r>
  <r>
    <x v="49"/>
    <x v="538"/>
    <s v="Urban"/>
    <n v="54304"/>
    <x v="0"/>
    <n v="1734"/>
  </r>
  <r>
    <x v="49"/>
    <x v="538"/>
    <s v="Urban"/>
    <n v="54302"/>
    <x v="0"/>
    <n v="817"/>
  </r>
  <r>
    <x v="49"/>
    <x v="673"/>
    <s v="Urban"/>
    <n v="53081"/>
    <x v="0"/>
    <n v="1208"/>
  </r>
  <r>
    <x v="49"/>
    <x v="671"/>
    <s v="Urban"/>
    <n v="54601"/>
    <x v="3"/>
    <n v="149"/>
  </r>
  <r>
    <x v="50"/>
    <x v="474"/>
    <s v="Rural"/>
    <n v="26105"/>
    <x v="1"/>
    <n v="1552"/>
  </r>
  <r>
    <x v="50"/>
    <x v="353"/>
    <s v="Rural"/>
    <n v="26301"/>
    <x v="2"/>
    <n v="1555"/>
  </r>
  <r>
    <x v="50"/>
    <x v="674"/>
    <s v="Rural"/>
    <n v="26505"/>
    <x v="1"/>
    <n v="975"/>
  </r>
  <r>
    <x v="50"/>
    <x v="675"/>
    <s v="Suburban"/>
    <n v="25313"/>
    <x v="2"/>
    <n v="1575"/>
  </r>
  <r>
    <x v="50"/>
    <x v="675"/>
    <s v="Suburban"/>
    <n v="25309"/>
    <x v="0"/>
    <n v="945"/>
  </r>
  <r>
    <x v="50"/>
    <x v="524"/>
    <s v="Suburban"/>
    <n v="25401"/>
    <x v="0"/>
    <n v="1526"/>
  </r>
  <r>
    <x v="50"/>
    <x v="676"/>
    <s v="Urban"/>
    <n v="25504"/>
    <x v="1"/>
    <n v="336"/>
  </r>
  <r>
    <x v="50"/>
    <x v="677"/>
    <s v="Urban"/>
    <n v="25801"/>
    <x v="2"/>
    <n v="723"/>
  </r>
  <r>
    <x v="51"/>
    <x v="678"/>
    <s v="Rural"/>
    <n v="82609"/>
    <x v="2"/>
    <n v="665"/>
  </r>
  <r>
    <x v="51"/>
    <x v="679"/>
    <s v="Suburban"/>
    <n v="83001"/>
    <x v="2"/>
    <n v="382"/>
  </r>
  <r>
    <x v="51"/>
    <x v="249"/>
    <s v="Suburban"/>
    <n v="82718"/>
    <x v="1"/>
    <n v="2642"/>
  </r>
  <r>
    <x v="51"/>
    <x v="680"/>
    <s v="Urban"/>
    <n v="82901"/>
    <x v="2"/>
    <n v="4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1"/>
    <x v="0"/>
    <d v="2019-12-30T00:00:00"/>
    <x v="0"/>
    <n v="10045"/>
  </r>
  <r>
    <n v="2"/>
    <x v="0"/>
    <d v="2020-01-06T00:00:00"/>
    <x v="1"/>
    <n v="15829"/>
  </r>
  <r>
    <n v="3"/>
    <x v="0"/>
    <d v="2020-01-13T00:00:00"/>
    <x v="2"/>
    <n v="16923"/>
  </r>
  <r>
    <n v="4"/>
    <x v="0"/>
    <d v="2020-01-20T00:00:00"/>
    <x v="3"/>
    <n v="16715"/>
  </r>
  <r>
    <n v="5"/>
    <x v="0"/>
    <d v="2020-01-27T00:00:00"/>
    <x v="4"/>
    <n v="17319"/>
  </r>
  <r>
    <n v="6"/>
    <x v="0"/>
    <d v="2020-02-03T00:00:00"/>
    <x v="5"/>
    <n v="16348"/>
  </r>
  <r>
    <n v="7"/>
    <x v="0"/>
    <d v="2020-02-10T00:00:00"/>
    <x v="6"/>
    <n v="17267"/>
  </r>
  <r>
    <n v="8"/>
    <x v="0"/>
    <d v="2020-02-17T00:00:00"/>
    <x v="7"/>
    <n v="15339"/>
  </r>
  <r>
    <n v="9"/>
    <x v="0"/>
    <d v="2020-02-24T00:00:00"/>
    <x v="8"/>
    <n v="14285"/>
  </r>
  <r>
    <n v="10"/>
    <x v="0"/>
    <d v="2020-03-02T00:00:00"/>
    <x v="9"/>
    <n v="18981"/>
  </r>
  <r>
    <n v="11"/>
    <x v="0"/>
    <d v="2020-03-09T00:00:00"/>
    <x v="10"/>
    <n v="14159"/>
  </r>
  <r>
    <n v="12"/>
    <x v="0"/>
    <d v="2020-03-16T00:00:00"/>
    <x v="11"/>
    <n v="9376"/>
  </r>
  <r>
    <n v="13"/>
    <x v="0"/>
    <d v="2020-03-23T00:00:00"/>
    <x v="12"/>
    <n v="6902"/>
  </r>
  <r>
    <n v="14"/>
    <x v="0"/>
    <d v="2020-03-30T00:00:00"/>
    <x v="13"/>
    <n v="6307"/>
  </r>
  <r>
    <n v="15"/>
    <x v="0"/>
    <d v="2020-04-06T00:00:00"/>
    <x v="14"/>
    <n v="5381"/>
  </r>
  <r>
    <n v="16"/>
    <x v="0"/>
    <d v="2020-04-13T00:00:00"/>
    <x v="15"/>
    <n v="5727"/>
  </r>
  <r>
    <n v="17"/>
    <x v="0"/>
    <d v="2020-04-20T00:00:00"/>
    <x v="16"/>
    <n v="6507"/>
  </r>
  <r>
    <n v="18"/>
    <x v="0"/>
    <d v="2020-04-27T00:00:00"/>
    <x v="17"/>
    <n v="4137"/>
  </r>
  <r>
    <n v="19"/>
    <x v="1"/>
    <d v="2019-12-30T00:00:00"/>
    <x v="0"/>
    <n v="88525"/>
  </r>
  <r>
    <n v="20"/>
    <x v="1"/>
    <d v="2020-01-06T00:00:00"/>
    <x v="1"/>
    <n v="137625"/>
  </r>
  <r>
    <n v="21"/>
    <x v="1"/>
    <d v="2020-01-13T00:00:00"/>
    <x v="2"/>
    <n v="127302"/>
  </r>
  <r>
    <n v="22"/>
    <x v="1"/>
    <d v="2020-01-20T00:00:00"/>
    <x v="3"/>
    <n v="122799"/>
  </r>
  <r>
    <n v="23"/>
    <x v="1"/>
    <d v="2020-01-27T00:00:00"/>
    <x v="4"/>
    <n v="120393"/>
  </r>
  <r>
    <n v="24"/>
    <x v="1"/>
    <d v="2020-02-03T00:00:00"/>
    <x v="5"/>
    <n v="108226"/>
  </r>
  <r>
    <n v="25"/>
    <x v="1"/>
    <d v="2020-02-10T00:00:00"/>
    <x v="6"/>
    <n v="107635"/>
  </r>
  <r>
    <n v="26"/>
    <x v="1"/>
    <d v="2020-02-17T00:00:00"/>
    <x v="7"/>
    <n v="106101"/>
  </r>
  <r>
    <n v="27"/>
    <x v="1"/>
    <d v="2020-02-24T00:00:00"/>
    <x v="8"/>
    <n v="111638"/>
  </r>
  <r>
    <n v="28"/>
    <x v="1"/>
    <d v="2020-03-02T00:00:00"/>
    <x v="9"/>
    <n v="106349"/>
  </r>
  <r>
    <n v="29"/>
    <x v="1"/>
    <d v="2020-03-09T00:00:00"/>
    <x v="10"/>
    <n v="104167"/>
  </r>
  <r>
    <n v="30"/>
    <x v="1"/>
    <d v="2020-03-16T00:00:00"/>
    <x v="11"/>
    <n v="74510"/>
  </r>
  <r>
    <n v="31"/>
    <x v="1"/>
    <d v="2020-03-23T00:00:00"/>
    <x v="12"/>
    <n v="54469"/>
  </r>
  <r>
    <n v="32"/>
    <x v="1"/>
    <d v="2020-03-30T00:00:00"/>
    <x v="13"/>
    <n v="54841"/>
  </r>
  <r>
    <n v="33"/>
    <x v="1"/>
    <d v="2020-04-06T00:00:00"/>
    <x v="14"/>
    <n v="47126"/>
  </r>
  <r>
    <n v="34"/>
    <x v="1"/>
    <d v="2020-04-13T00:00:00"/>
    <x v="15"/>
    <n v="53865"/>
  </r>
  <r>
    <n v="35"/>
    <x v="1"/>
    <d v="2020-04-20T00:00:00"/>
    <x v="16"/>
    <n v="57328"/>
  </r>
  <r>
    <n v="36"/>
    <x v="1"/>
    <d v="2020-04-27T00:00:00"/>
    <x v="17"/>
    <n v="35374"/>
  </r>
  <r>
    <n v="37"/>
    <x v="2"/>
    <d v="2019-12-30T00:00:00"/>
    <x v="0"/>
    <n v="45223"/>
  </r>
  <r>
    <n v="38"/>
    <x v="2"/>
    <d v="2020-01-06T00:00:00"/>
    <x v="1"/>
    <n v="64867"/>
  </r>
  <r>
    <n v="39"/>
    <x v="2"/>
    <d v="2020-01-13T00:00:00"/>
    <x v="2"/>
    <n v="60438"/>
  </r>
  <r>
    <n v="40"/>
    <x v="2"/>
    <d v="2020-01-20T00:00:00"/>
    <x v="3"/>
    <n v="59669"/>
  </r>
  <r>
    <n v="41"/>
    <x v="2"/>
    <d v="2020-01-27T00:00:00"/>
    <x v="4"/>
    <n v="58903"/>
  </r>
  <r>
    <n v="42"/>
    <x v="2"/>
    <d v="2020-02-03T00:00:00"/>
    <x v="5"/>
    <n v="52893"/>
  </r>
  <r>
    <n v="43"/>
    <x v="2"/>
    <d v="2020-02-10T00:00:00"/>
    <x v="6"/>
    <n v="52919"/>
  </r>
  <r>
    <n v="44"/>
    <x v="2"/>
    <d v="2020-02-17T00:00:00"/>
    <x v="7"/>
    <n v="52508"/>
  </r>
  <r>
    <n v="45"/>
    <x v="2"/>
    <d v="2020-02-24T00:00:00"/>
    <x v="8"/>
    <n v="55379"/>
  </r>
  <r>
    <n v="46"/>
    <x v="2"/>
    <d v="2020-03-02T00:00:00"/>
    <x v="9"/>
    <n v="59389"/>
  </r>
  <r>
    <n v="47"/>
    <x v="2"/>
    <d v="2020-03-09T00:00:00"/>
    <x v="10"/>
    <n v="52653"/>
  </r>
  <r>
    <n v="48"/>
    <x v="2"/>
    <d v="2020-03-16T00:00:00"/>
    <x v="11"/>
    <n v="36008"/>
  </r>
  <r>
    <n v="49"/>
    <x v="2"/>
    <d v="2020-03-23T00:00:00"/>
    <x v="12"/>
    <n v="25589"/>
  </r>
  <r>
    <n v="50"/>
    <x v="2"/>
    <d v="2020-03-30T00:00:00"/>
    <x v="13"/>
    <n v="26915"/>
  </r>
  <r>
    <n v="51"/>
    <x v="2"/>
    <d v="2020-04-06T00:00:00"/>
    <x v="14"/>
    <n v="22614"/>
  </r>
  <r>
    <n v="52"/>
    <x v="2"/>
    <d v="2020-04-13T00:00:00"/>
    <x v="15"/>
    <n v="25876"/>
  </r>
  <r>
    <n v="53"/>
    <x v="2"/>
    <d v="2020-04-20T00:00:00"/>
    <x v="16"/>
    <n v="27311"/>
  </r>
  <r>
    <n v="54"/>
    <x v="2"/>
    <d v="2020-04-27T00:00:00"/>
    <x v="17"/>
    <n v="16599"/>
  </r>
  <r>
    <n v="55"/>
    <x v="3"/>
    <d v="2019-12-30T00:00:00"/>
    <x v="0"/>
    <n v="10386"/>
  </r>
  <r>
    <n v="56"/>
    <x v="3"/>
    <d v="2020-01-06T00:00:00"/>
    <x v="1"/>
    <n v="12489"/>
  </r>
  <r>
    <n v="57"/>
    <x v="3"/>
    <d v="2020-01-13T00:00:00"/>
    <x v="2"/>
    <n v="11264"/>
  </r>
  <r>
    <n v="58"/>
    <x v="3"/>
    <d v="2020-01-20T00:00:00"/>
    <x v="3"/>
    <n v="10938"/>
  </r>
  <r>
    <n v="59"/>
    <x v="3"/>
    <d v="2020-01-27T00:00:00"/>
    <x v="4"/>
    <n v="10243"/>
  </r>
  <r>
    <n v="60"/>
    <x v="3"/>
    <d v="2020-02-03T00:00:00"/>
    <x v="5"/>
    <n v="10244"/>
  </r>
  <r>
    <n v="61"/>
    <x v="3"/>
    <d v="2020-02-10T00:00:00"/>
    <x v="6"/>
    <n v="11349"/>
  </r>
  <r>
    <n v="62"/>
    <x v="3"/>
    <d v="2020-02-17T00:00:00"/>
    <x v="7"/>
    <n v="10546"/>
  </r>
  <r>
    <n v="63"/>
    <x v="3"/>
    <d v="2020-02-24T00:00:00"/>
    <x v="8"/>
    <n v="10260"/>
  </r>
  <r>
    <n v="64"/>
    <x v="3"/>
    <d v="2020-03-02T00:00:00"/>
    <x v="9"/>
    <n v="9872"/>
  </r>
  <r>
    <n v="65"/>
    <x v="3"/>
    <d v="2020-03-09T00:00:00"/>
    <x v="10"/>
    <n v="8069"/>
  </r>
  <r>
    <n v="66"/>
    <x v="3"/>
    <d v="2020-03-16T00:00:00"/>
    <x v="11"/>
    <n v="2044"/>
  </r>
  <r>
    <n v="67"/>
    <x v="3"/>
    <d v="2020-03-23T00:00:00"/>
    <x v="12"/>
    <n v="1307"/>
  </r>
  <r>
    <n v="68"/>
    <x v="3"/>
    <d v="2020-03-30T00:00:00"/>
    <x v="13"/>
    <n v="1216"/>
  </r>
  <r>
    <n v="69"/>
    <x v="3"/>
    <d v="2020-04-06T00:00:00"/>
    <x v="14"/>
    <n v="1175"/>
  </r>
  <r>
    <n v="70"/>
    <x v="3"/>
    <d v="2020-04-13T00:00:00"/>
    <x v="15"/>
    <n v="1140"/>
  </r>
  <r>
    <n v="71"/>
    <x v="3"/>
    <d v="2020-04-20T00:00:00"/>
    <x v="16"/>
    <n v="1218"/>
  </r>
  <r>
    <n v="72"/>
    <x v="3"/>
    <d v="2020-04-27T00:00:00"/>
    <x v="17"/>
    <n v="739"/>
  </r>
  <r>
    <n v="73"/>
    <x v="4"/>
    <d v="2019-12-30T00:00:00"/>
    <x v="0"/>
    <n v="9145"/>
  </r>
  <r>
    <n v="74"/>
    <x v="4"/>
    <d v="2020-01-06T00:00:00"/>
    <x v="1"/>
    <n v="14187"/>
  </r>
  <r>
    <n v="75"/>
    <x v="4"/>
    <d v="2020-01-13T00:00:00"/>
    <x v="2"/>
    <n v="15126"/>
  </r>
  <r>
    <n v="76"/>
    <x v="4"/>
    <d v="2020-01-20T00:00:00"/>
    <x v="3"/>
    <n v="11680"/>
  </r>
  <r>
    <n v="77"/>
    <x v="4"/>
    <d v="2020-01-27T00:00:00"/>
    <x v="4"/>
    <n v="10608"/>
  </r>
  <r>
    <n v="78"/>
    <x v="4"/>
    <d v="2020-02-03T00:00:00"/>
    <x v="5"/>
    <n v="10223"/>
  </r>
  <r>
    <n v="79"/>
    <x v="4"/>
    <d v="2020-02-10T00:00:00"/>
    <x v="6"/>
    <n v="10789"/>
  </r>
  <r>
    <n v="80"/>
    <x v="4"/>
    <d v="2020-02-17T00:00:00"/>
    <x v="7"/>
    <n v="10423"/>
  </r>
  <r>
    <n v="81"/>
    <x v="4"/>
    <d v="2020-02-24T00:00:00"/>
    <x v="8"/>
    <n v="9703"/>
  </r>
  <r>
    <n v="82"/>
    <x v="4"/>
    <d v="2020-03-02T00:00:00"/>
    <x v="9"/>
    <n v="10471"/>
  </r>
  <r>
    <n v="83"/>
    <x v="4"/>
    <d v="2020-03-09T00:00:00"/>
    <x v="10"/>
    <n v="8029"/>
  </r>
  <r>
    <n v="84"/>
    <x v="4"/>
    <d v="2020-03-16T00:00:00"/>
    <x v="11"/>
    <n v="2655"/>
  </r>
  <r>
    <n v="85"/>
    <x v="4"/>
    <d v="2020-03-23T00:00:00"/>
    <x v="12"/>
    <n v="1397"/>
  </r>
  <r>
    <n v="86"/>
    <x v="4"/>
    <d v="2020-03-30T00:00:00"/>
    <x v="13"/>
    <n v="1338"/>
  </r>
  <r>
    <n v="87"/>
    <x v="4"/>
    <d v="2020-04-06T00:00:00"/>
    <x v="14"/>
    <n v="1185"/>
  </r>
  <r>
    <n v="88"/>
    <x v="4"/>
    <d v="2020-04-13T00:00:00"/>
    <x v="15"/>
    <n v="1120"/>
  </r>
  <r>
    <n v="89"/>
    <x v="4"/>
    <d v="2020-04-20T00:00:00"/>
    <x v="16"/>
    <n v="1302"/>
  </r>
  <r>
    <n v="90"/>
    <x v="4"/>
    <d v="2020-04-27T00:00:00"/>
    <x v="17"/>
    <n v="794"/>
  </r>
  <r>
    <n v="91"/>
    <x v="5"/>
    <d v="2019-12-30T00:00:00"/>
    <x v="0"/>
    <n v="159"/>
  </r>
  <r>
    <n v="92"/>
    <x v="5"/>
    <d v="2020-01-06T00:00:00"/>
    <x v="1"/>
    <n v="219"/>
  </r>
  <r>
    <n v="93"/>
    <x v="5"/>
    <d v="2020-01-13T00:00:00"/>
    <x v="2"/>
    <n v="186"/>
  </r>
  <r>
    <n v="94"/>
    <x v="5"/>
    <d v="2020-01-20T00:00:00"/>
    <x v="3"/>
    <n v="193"/>
  </r>
  <r>
    <n v="95"/>
    <x v="5"/>
    <d v="2020-01-27T00:00:00"/>
    <x v="4"/>
    <n v="165"/>
  </r>
  <r>
    <n v="96"/>
    <x v="5"/>
    <d v="2020-02-03T00:00:00"/>
    <x v="5"/>
    <n v="165"/>
  </r>
  <r>
    <n v="97"/>
    <x v="5"/>
    <d v="2020-02-10T00:00:00"/>
    <x v="6"/>
    <n v="179"/>
  </r>
  <r>
    <n v="98"/>
    <x v="5"/>
    <d v="2020-02-17T00:00:00"/>
    <x v="7"/>
    <n v="162"/>
  </r>
  <r>
    <n v="99"/>
    <x v="5"/>
    <d v="2020-02-24T00:00:00"/>
    <x v="8"/>
    <n v="169"/>
  </r>
  <r>
    <n v="100"/>
    <x v="5"/>
    <d v="2020-03-02T00:00:00"/>
    <x v="9"/>
    <n v="162"/>
  </r>
  <r>
    <n v="101"/>
    <x v="5"/>
    <d v="2020-03-09T00:00:00"/>
    <x v="10"/>
    <n v="128"/>
  </r>
  <r>
    <n v="102"/>
    <x v="5"/>
    <d v="2020-03-16T00:00:00"/>
    <x v="11"/>
    <n v="61"/>
  </r>
  <r>
    <n v="103"/>
    <x v="5"/>
    <d v="2020-03-23T00:00:00"/>
    <x v="12"/>
    <n v="28"/>
  </r>
  <r>
    <n v="104"/>
    <x v="5"/>
    <d v="2020-03-30T00:00:00"/>
    <x v="13"/>
    <n v="35"/>
  </r>
  <r>
    <n v="105"/>
    <x v="5"/>
    <d v="2020-04-06T00:00:00"/>
    <x v="14"/>
    <n v="25"/>
  </r>
  <r>
    <n v="106"/>
    <x v="5"/>
    <d v="2020-04-13T00:00:00"/>
    <x v="15"/>
    <n v="43"/>
  </r>
  <r>
    <n v="107"/>
    <x v="5"/>
    <d v="2020-04-20T00:00:00"/>
    <x v="16"/>
    <n v="41"/>
  </r>
  <r>
    <n v="108"/>
    <x v="5"/>
    <d v="2020-04-27T00:00:00"/>
    <x v="17"/>
    <n v="19"/>
  </r>
  <r>
    <n v="109"/>
    <x v="6"/>
    <d v="2019-12-30T00:00:00"/>
    <x v="0"/>
    <n v="98639"/>
  </r>
  <r>
    <n v="110"/>
    <x v="6"/>
    <d v="2020-01-06T00:00:00"/>
    <x v="1"/>
    <n v="145277"/>
  </r>
  <r>
    <n v="111"/>
    <x v="6"/>
    <d v="2020-01-13T00:00:00"/>
    <x v="2"/>
    <n v="133421"/>
  </r>
  <r>
    <n v="112"/>
    <x v="6"/>
    <d v="2020-01-20T00:00:00"/>
    <x v="3"/>
    <n v="133421"/>
  </r>
  <r>
    <n v="113"/>
    <x v="6"/>
    <d v="2020-01-27T00:00:00"/>
    <x v="4"/>
    <n v="130879"/>
  </r>
  <r>
    <n v="114"/>
    <x v="6"/>
    <d v="2020-02-03T00:00:00"/>
    <x v="5"/>
    <n v="116420"/>
  </r>
  <r>
    <n v="115"/>
    <x v="6"/>
    <d v="2020-02-10T00:00:00"/>
    <x v="6"/>
    <n v="113362"/>
  </r>
  <r>
    <n v="116"/>
    <x v="6"/>
    <d v="2020-02-17T00:00:00"/>
    <x v="7"/>
    <n v="114201"/>
  </r>
  <r>
    <n v="117"/>
    <x v="6"/>
    <d v="2020-02-24T00:00:00"/>
    <x v="8"/>
    <n v="118652"/>
  </r>
  <r>
    <n v="118"/>
    <x v="6"/>
    <d v="2020-03-02T00:00:00"/>
    <x v="9"/>
    <n v="123411"/>
  </r>
  <r>
    <n v="119"/>
    <x v="6"/>
    <d v="2020-03-09T00:00:00"/>
    <x v="10"/>
    <n v="115674"/>
  </r>
  <r>
    <n v="120"/>
    <x v="6"/>
    <d v="2020-03-16T00:00:00"/>
    <x v="11"/>
    <n v="76755"/>
  </r>
  <r>
    <n v="121"/>
    <x v="6"/>
    <d v="2020-03-23T00:00:00"/>
    <x v="12"/>
    <n v="50221"/>
  </r>
  <r>
    <n v="122"/>
    <x v="6"/>
    <d v="2020-03-30T00:00:00"/>
    <x v="13"/>
    <n v="53861"/>
  </r>
  <r>
    <n v="123"/>
    <x v="6"/>
    <d v="2020-04-06T00:00:00"/>
    <x v="14"/>
    <n v="46907"/>
  </r>
  <r>
    <n v="124"/>
    <x v="6"/>
    <d v="2020-04-13T00:00:00"/>
    <x v="15"/>
    <n v="52387"/>
  </r>
  <r>
    <n v="125"/>
    <x v="6"/>
    <d v="2020-04-20T00:00:00"/>
    <x v="16"/>
    <n v="98370"/>
  </r>
  <r>
    <n v="126"/>
    <x v="6"/>
    <d v="2020-04-27T00:00:00"/>
    <x v="17"/>
    <n v="372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CB750-F86F-A34C-BAD9-AAEB1E7B66F1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I23" firstHeaderRow="1" firstDataRow="2" firstDataCol="1"/>
  <pivotFields count="5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weekly_visits" fld="4" baseField="0" baseItem="0"/>
  </dataFields>
  <chartFormats count="7"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3DA01-5A12-664F-B936-DC53D9370F2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G2:O22" firstHeaderRow="1" firstDataRow="2" firstDataCol="1"/>
  <pivotFields count="4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axis="axisRow" showAll="0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weekly_visits" fld="3" baseField="0" baseItem="0"/>
  </dataFields>
  <chartFormats count="35"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9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9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9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9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86C62-5154-A64D-9ED8-3A5EB50121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F3:J12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1"/>
  </rowFields>
  <rowItems count="8">
    <i>
      <x v="6"/>
    </i>
    <i>
      <x v="1"/>
    </i>
    <i>
      <x v="2"/>
    </i>
    <i>
      <x/>
    </i>
    <i>
      <x v="4"/>
    </i>
    <i>
      <x v="3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total_visits" fld="2" baseField="0" baseItem="0"/>
  </dataFields>
  <formats count="1">
    <format dxfId="0">
      <pivotArea outline="0" collapsedLevelsAreSubtotals="1" fieldPosition="0"/>
    </format>
  </formats>
  <chartFormats count="6">
    <chartFormat chart="0" format="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8631F-CAA0-0245-9DAB-1B40BA4F828B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60" firstHeaderRow="1" firstDataRow="1" firstDataCol="1" rowPageCount="2" colPageCount="1"/>
  <pivotFields count="6">
    <pivotField axis="axisPage" multipleItemSelectionAllowed="1" showAll="0" sortType="descending">
      <items count="53"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x="45"/>
        <item h="1" x="46"/>
        <item h="1" x="0"/>
        <item h="1" x="47"/>
        <item h="1" x="48"/>
        <item h="1" x="49"/>
        <item h="1" x="50"/>
        <item h="1"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82">
        <item x="197"/>
        <item x="90"/>
        <item x="527"/>
        <item x="131"/>
        <item x="386"/>
        <item x="68"/>
        <item x="445"/>
        <item x="619"/>
        <item x="610"/>
        <item x="294"/>
        <item x="500"/>
        <item x="229"/>
        <item x="62"/>
        <item x="1"/>
        <item x="525"/>
        <item x="298"/>
        <item x="581"/>
        <item x="289"/>
        <item x="327"/>
        <item x="85"/>
        <item x="620"/>
        <item x="266"/>
        <item x="460"/>
        <item x="417"/>
        <item x="11"/>
        <item x="286"/>
        <item x="288"/>
        <item x="195"/>
        <item x="280"/>
        <item x="668"/>
        <item x="157"/>
        <item x="227"/>
        <item x="152"/>
        <item x="567"/>
        <item x="126"/>
        <item x="518"/>
        <item x="377"/>
        <item x="499"/>
        <item x="404"/>
        <item x="586"/>
        <item x="467"/>
        <item x="325"/>
        <item x="639"/>
        <item x="25"/>
        <item x="413"/>
        <item x="524"/>
        <item x="508"/>
        <item x="278"/>
        <item x="427"/>
        <item x="310"/>
        <item x="585"/>
        <item x="162"/>
        <item x="186"/>
        <item x="506"/>
        <item x="547"/>
        <item x="326"/>
        <item x="194"/>
        <item x="198"/>
        <item x="244"/>
        <item x="261"/>
        <item x="87"/>
        <item x="592"/>
        <item x="251"/>
        <item x="551"/>
        <item x="566"/>
        <item x="574"/>
        <item x="135"/>
        <item x="614"/>
        <item x="276"/>
        <item x="441"/>
        <item x="435"/>
        <item x="132"/>
        <item x="538"/>
        <item x="389"/>
        <item x="345"/>
        <item x="496"/>
        <item x="399"/>
        <item x="169"/>
        <item x="376"/>
        <item x="379"/>
        <item x="393"/>
        <item x="411"/>
        <item x="558"/>
        <item x="343"/>
        <item x="44"/>
        <item x="676"/>
        <item x="598"/>
        <item x="258"/>
        <item x="514"/>
        <item x="271"/>
        <item x="9"/>
        <item x="243"/>
        <item x="663"/>
        <item x="293"/>
        <item x="503"/>
        <item x="410"/>
        <item x="552"/>
        <item x="249"/>
        <item x="477"/>
        <item x="199"/>
        <item x="346"/>
        <item x="419"/>
        <item x="515"/>
        <item x="174"/>
        <item x="429"/>
        <item x="483"/>
        <item x="380"/>
        <item x="331"/>
        <item x="356"/>
        <item x="347"/>
        <item x="365"/>
        <item x="175"/>
        <item x="454"/>
        <item x="448"/>
        <item x="284"/>
        <item x="511"/>
        <item x="181"/>
        <item x="218"/>
        <item x="285"/>
        <item x="531"/>
        <item x="109"/>
        <item x="633"/>
        <item x="144"/>
        <item x="437"/>
        <item x="422"/>
        <item x="648"/>
        <item x="432"/>
        <item x="156"/>
        <item x="634"/>
        <item x="403"/>
        <item x="509"/>
        <item x="623"/>
        <item x="638"/>
        <item x="250"/>
        <item x="114"/>
        <item x="491"/>
        <item x="657"/>
        <item x="236"/>
        <item x="155"/>
        <item x="487"/>
        <item x="141"/>
        <item x="172"/>
        <item x="455"/>
        <item x="387"/>
        <item x="452"/>
        <item x="158"/>
        <item x="37"/>
        <item x="36"/>
        <item x="15"/>
        <item x="337"/>
        <item x="124"/>
        <item x="571"/>
        <item x="618"/>
        <item x="128"/>
        <item x="587"/>
        <item x="479"/>
        <item x="53"/>
        <item x="210"/>
        <item x="492"/>
        <item x="153"/>
        <item x="646"/>
        <item x="28"/>
        <item x="381"/>
        <item x="324"/>
        <item x="7"/>
        <item x="297"/>
        <item x="426"/>
        <item x="457"/>
        <item x="329"/>
        <item x="189"/>
        <item x="660"/>
        <item x="625"/>
        <item x="390"/>
        <item x="497"/>
        <item x="545"/>
        <item x="247"/>
        <item x="601"/>
        <item x="469"/>
        <item x="145"/>
        <item x="221"/>
        <item x="575"/>
        <item x="83"/>
        <item x="190"/>
        <item x="489"/>
        <item x="348"/>
        <item x="542"/>
        <item x="102"/>
        <item x="423"/>
        <item x="395"/>
        <item x="154"/>
        <item x="82"/>
        <item x="184"/>
        <item x="203"/>
        <item x="383"/>
        <item x="450"/>
        <item x="125"/>
        <item x="257"/>
        <item x="315"/>
        <item x="658"/>
        <item x="584"/>
        <item x="46"/>
        <item x="84"/>
        <item x="230"/>
        <item x="428"/>
        <item x="579"/>
        <item x="10"/>
        <item x="313"/>
        <item x="562"/>
        <item x="444"/>
        <item x="111"/>
        <item x="281"/>
        <item x="20"/>
        <item x="3"/>
        <item x="602"/>
        <item x="617"/>
        <item x="99"/>
        <item x="613"/>
        <item x="31"/>
        <item x="615"/>
        <item x="163"/>
        <item x="241"/>
        <item x="116"/>
        <item x="361"/>
        <item x="528"/>
        <item x="149"/>
        <item x="669"/>
        <item x="173"/>
        <item x="572"/>
        <item x="254"/>
        <item x="290"/>
        <item x="632"/>
        <item x="79"/>
        <item x="69"/>
        <item x="160"/>
        <item x="358"/>
        <item x="578"/>
        <item x="91"/>
        <item x="26"/>
        <item x="366"/>
        <item x="307"/>
        <item x="409"/>
        <item x="176"/>
        <item x="159"/>
        <item x="405"/>
        <item x="392"/>
        <item x="317"/>
        <item x="647"/>
        <item x="656"/>
        <item x="596"/>
        <item x="342"/>
        <item x="532"/>
        <item x="533"/>
        <item x="569"/>
        <item x="564"/>
        <item x="513"/>
        <item x="385"/>
        <item x="170"/>
        <item x="161"/>
        <item x="546"/>
        <item x="224"/>
        <item x="275"/>
        <item x="274"/>
        <item x="637"/>
        <item x="624"/>
        <item x="246"/>
        <item x="287"/>
        <item x="568"/>
        <item x="353"/>
        <item x="628"/>
        <item x="97"/>
        <item x="179"/>
        <item x="594"/>
        <item x="368"/>
        <item x="363"/>
        <item x="233"/>
        <item x="321"/>
        <item x="607"/>
        <item x="147"/>
        <item x="117"/>
        <item x="563"/>
        <item x="137"/>
        <item x="121"/>
        <item x="311"/>
        <item x="350"/>
        <item x="178"/>
        <item x="583"/>
        <item x="517"/>
        <item x="523"/>
        <item x="6"/>
        <item x="226"/>
        <item x="408"/>
        <item x="553"/>
        <item x="418"/>
        <item x="269"/>
        <item x="49"/>
        <item x="107"/>
        <item x="510"/>
        <item x="312"/>
        <item x="364"/>
        <item x="320"/>
        <item x="655"/>
        <item x="214"/>
        <item x="616"/>
        <item x="339"/>
        <item x="17"/>
        <item x="256"/>
        <item x="185"/>
        <item x="352"/>
        <item x="488"/>
        <item x="2"/>
        <item x="305"/>
        <item x="675"/>
        <item x="328"/>
        <item x="202"/>
        <item x="220"/>
        <item x="476"/>
        <item x="216"/>
        <item x="299"/>
        <item x="667"/>
        <item x="105"/>
        <item x="248"/>
        <item x="74"/>
        <item x="576"/>
        <item x="641"/>
        <item x="58"/>
        <item x="644"/>
        <item x="486"/>
        <item x="235"/>
        <item x="201"/>
        <item x="223"/>
        <item x="671"/>
        <item x="88"/>
        <item x="498"/>
        <item x="349"/>
        <item x="267"/>
        <item x="264"/>
        <item x="108"/>
        <item x="354"/>
        <item x="398"/>
        <item x="490"/>
        <item x="302"/>
        <item x="231"/>
        <item x="81"/>
        <item x="219"/>
        <item x="196"/>
        <item x="13"/>
        <item x="242"/>
        <item x="168"/>
        <item x="421"/>
        <item x="505"/>
        <item x="18"/>
        <item x="501"/>
        <item x="319"/>
        <item x="138"/>
        <item x="359"/>
        <item x="650"/>
        <item x="536"/>
        <item x="456"/>
        <item x="21"/>
        <item x="539"/>
        <item x="260"/>
        <item x="187"/>
        <item x="98"/>
        <item x="309"/>
        <item x="272"/>
        <item x="463"/>
        <item x="66"/>
        <item x="609"/>
        <item x="165"/>
        <item x="554"/>
        <item x="466"/>
        <item x="495"/>
        <item x="512"/>
        <item x="622"/>
        <item x="238"/>
        <item x="314"/>
        <item x="208"/>
        <item x="64"/>
        <item x="4"/>
        <item x="473"/>
        <item x="494"/>
        <item x="611"/>
        <item x="520"/>
        <item x="129"/>
        <item x="665"/>
        <item x="672"/>
        <item x="34"/>
        <item x="63"/>
        <item x="139"/>
        <item x="14"/>
        <item x="127"/>
        <item x="608"/>
        <item x="180"/>
        <item x="548"/>
        <item x="253"/>
        <item x="215"/>
        <item x="212"/>
        <item x="570"/>
        <item x="541"/>
        <item x="382"/>
        <item x="464"/>
        <item x="70"/>
        <item x="76"/>
        <item x="412"/>
        <item x="402"/>
        <item x="89"/>
        <item x="470"/>
        <item x="119"/>
        <item x="94"/>
        <item x="308"/>
        <item x="664"/>
        <item x="540"/>
        <item x="360"/>
        <item x="5"/>
        <item x="32"/>
        <item x="406"/>
        <item x="674"/>
        <item x="112"/>
        <item x="41"/>
        <item x="16"/>
        <item x="86"/>
        <item x="372"/>
        <item x="12"/>
        <item x="416"/>
        <item x="485"/>
        <item x="146"/>
        <item x="306"/>
        <item x="472"/>
        <item x="482"/>
        <item x="577"/>
        <item x="77"/>
        <item x="384"/>
        <item x="115"/>
        <item x="678"/>
        <item x="555"/>
        <item x="57"/>
        <item x="104"/>
        <item x="374"/>
        <item x="100"/>
        <item x="101"/>
        <item x="431"/>
        <item x="522"/>
        <item x="612"/>
        <item x="193"/>
        <item x="453"/>
        <item x="605"/>
        <item x="277"/>
        <item x="504"/>
        <item x="631"/>
        <item x="573"/>
        <item x="301"/>
        <item x="415"/>
        <item x="535"/>
        <item x="136"/>
        <item x="481"/>
        <item x="334"/>
        <item x="446"/>
        <item x="436"/>
        <item x="371"/>
        <item x="434"/>
        <item x="51"/>
        <item x="530"/>
        <item x="259"/>
        <item x="113"/>
        <item x="420"/>
        <item x="440"/>
        <item x="304"/>
        <item x="268"/>
        <item x="659"/>
        <item x="666"/>
        <item x="130"/>
        <item x="561"/>
        <item x="133"/>
        <item x="378"/>
        <item x="414"/>
        <item x="150"/>
        <item x="480"/>
        <item x="537"/>
        <item x="300"/>
        <item x="207"/>
        <item x="335"/>
        <item x="336"/>
        <item x="507"/>
        <item x="526"/>
        <item x="642"/>
        <item x="245"/>
        <item x="38"/>
        <item x="35"/>
        <item x="120"/>
        <item x="375"/>
        <item x="47"/>
        <item x="344"/>
        <item x="279"/>
        <item x="110"/>
        <item x="516"/>
        <item x="478"/>
        <item x="24"/>
        <item x="462"/>
        <item x="232"/>
        <item x="239"/>
        <item x="191"/>
        <item x="557"/>
        <item x="283"/>
        <item x="630"/>
        <item x="521"/>
        <item x="92"/>
        <item x="30"/>
        <item x="118"/>
        <item x="449"/>
        <item x="670"/>
        <item x="677"/>
        <item x="323"/>
        <item x="580"/>
        <item x="370"/>
        <item x="351"/>
        <item x="255"/>
        <item x="447"/>
        <item x="465"/>
        <item x="621"/>
        <item x="177"/>
        <item x="67"/>
        <item x="626"/>
        <item x="661"/>
        <item x="204"/>
        <item x="167"/>
        <item x="401"/>
        <item x="433"/>
        <item x="588"/>
        <item x="459"/>
        <item x="369"/>
        <item x="362"/>
        <item x="640"/>
        <item x="52"/>
        <item x="318"/>
        <item x="22"/>
        <item x="597"/>
        <item x="43"/>
        <item x="65"/>
        <item x="56"/>
        <item x="60"/>
        <item x="425"/>
        <item x="519"/>
        <item x="42"/>
        <item x="72"/>
        <item x="461"/>
        <item x="213"/>
        <item x="73"/>
        <item x="54"/>
        <item x="40"/>
        <item x="424"/>
        <item x="123"/>
        <item x="106"/>
        <item x="442"/>
        <item x="397"/>
        <item x="438"/>
        <item x="192"/>
        <item x="396"/>
        <item x="27"/>
        <item x="240"/>
        <item x="134"/>
        <item x="549"/>
        <item x="50"/>
        <item x="237"/>
        <item x="673"/>
        <item x="19"/>
        <item x="322"/>
        <item x="357"/>
        <item x="652"/>
        <item x="589"/>
        <item x="643"/>
        <item x="59"/>
        <item x="407"/>
        <item x="48"/>
        <item x="166"/>
        <item x="534"/>
        <item x="653"/>
        <item x="341"/>
        <item x="217"/>
        <item x="636"/>
        <item x="340"/>
        <item x="265"/>
        <item x="142"/>
        <item x="222"/>
        <item x="338"/>
        <item x="333"/>
        <item x="122"/>
        <item x="295"/>
        <item x="263"/>
        <item x="603"/>
        <item x="71"/>
        <item x="458"/>
        <item x="606"/>
        <item x="332"/>
        <item x="183"/>
        <item x="400"/>
        <item x="604"/>
        <item x="273"/>
        <item x="550"/>
        <item x="93"/>
        <item x="544"/>
        <item x="529"/>
        <item x="388"/>
        <item x="103"/>
        <item x="75"/>
        <item x="680"/>
        <item x="291"/>
        <item x="262"/>
        <item x="556"/>
        <item x="590"/>
        <item x="205"/>
        <item x="270"/>
        <item x="679"/>
        <item x="164"/>
        <item x="651"/>
        <item x="143"/>
        <item x="225"/>
        <item x="560"/>
        <item x="96"/>
        <item x="593"/>
        <item x="451"/>
        <item x="565"/>
        <item x="151"/>
        <item x="471"/>
        <item x="45"/>
        <item x="475"/>
        <item x="78"/>
        <item x="8"/>
        <item x="468"/>
        <item x="200"/>
        <item x="439"/>
        <item x="29"/>
        <item x="599"/>
        <item x="0"/>
        <item x="234"/>
        <item x="55"/>
        <item x="595"/>
        <item x="228"/>
        <item x="629"/>
        <item x="140"/>
        <item x="373"/>
        <item x="582"/>
        <item x="645"/>
        <item x="394"/>
        <item x="171"/>
        <item x="252"/>
        <item x="493"/>
        <item x="23"/>
        <item x="430"/>
        <item x="303"/>
        <item x="391"/>
        <item x="662"/>
        <item x="316"/>
        <item x="591"/>
        <item x="600"/>
        <item x="182"/>
        <item x="80"/>
        <item x="443"/>
        <item x="502"/>
        <item x="654"/>
        <item x="209"/>
        <item x="148"/>
        <item x="559"/>
        <item x="292"/>
        <item x="206"/>
        <item x="635"/>
        <item x="543"/>
        <item x="367"/>
        <item x="627"/>
        <item x="95"/>
        <item x="211"/>
        <item x="474"/>
        <item x="188"/>
        <item x="282"/>
        <item x="330"/>
        <item x="649"/>
        <item x="484"/>
        <item x="33"/>
        <item x="355"/>
        <item x="61"/>
        <item x="296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8">
        <item x="3"/>
        <item x="1"/>
        <item x="0"/>
        <item x="4"/>
        <item x="5"/>
        <item x="6"/>
        <item x="2"/>
        <item t="default"/>
      </items>
    </pivotField>
    <pivotField dataField="1" showAll="0"/>
  </pivotFields>
  <rowFields count="1">
    <field x="1"/>
  </rowFields>
  <rowItems count="56">
    <i>
      <x v="266"/>
    </i>
    <i>
      <x v="607"/>
    </i>
    <i>
      <x v="169"/>
    </i>
    <i>
      <x v="50"/>
    </i>
    <i>
      <x v="620"/>
    </i>
    <i>
      <x v="151"/>
    </i>
    <i>
      <x v="279"/>
    </i>
    <i>
      <x v="96"/>
    </i>
    <i>
      <x v="64"/>
    </i>
    <i>
      <x v="419"/>
    </i>
    <i>
      <x v="227"/>
    </i>
    <i>
      <x v="322"/>
    </i>
    <i>
      <x v="369"/>
    </i>
    <i>
      <x v="568"/>
    </i>
    <i>
      <x v="180"/>
    </i>
    <i>
      <x v="304"/>
    </i>
    <i>
      <x v="665"/>
    </i>
    <i>
      <x v="201"/>
    </i>
    <i>
      <x v="235"/>
    </i>
    <i>
      <x v="397"/>
    </i>
    <i>
      <x v="409"/>
    </i>
    <i>
      <x v="652"/>
    </i>
    <i>
      <x v="337"/>
    </i>
    <i>
      <x v="39"/>
    </i>
    <i>
      <x v="449"/>
    </i>
    <i>
      <x v="618"/>
    </i>
    <i>
      <x v="248"/>
    </i>
    <i>
      <x v="608"/>
    </i>
    <i>
      <x v="527"/>
    </i>
    <i>
      <x v="199"/>
    </i>
    <i>
      <x v="154"/>
    </i>
    <i>
      <x v="306"/>
    </i>
    <i>
      <x v="252"/>
    </i>
    <i>
      <x v="273"/>
    </i>
    <i>
      <x v="635"/>
    </i>
    <i>
      <x v="285"/>
    </i>
    <i>
      <x v="291"/>
    </i>
    <i>
      <x v="661"/>
    </i>
    <i>
      <x v="616"/>
    </i>
    <i>
      <x v="14"/>
    </i>
    <i>
      <x v="16"/>
    </i>
    <i>
      <x v="65"/>
    </i>
    <i>
      <x v="207"/>
    </i>
    <i>
      <x v="471"/>
    </i>
    <i>
      <x v="434"/>
    </i>
    <i>
      <x v="271"/>
    </i>
    <i>
      <x v="501"/>
    </i>
    <i>
      <x v="204"/>
    </i>
    <i>
      <x v="33"/>
    </i>
    <i>
      <x v="512"/>
    </i>
    <i>
      <x v="429"/>
    </i>
    <i>
      <x v="61"/>
    </i>
    <i>
      <x v="82"/>
    </i>
    <i>
      <x v="253"/>
    </i>
    <i>
      <x v="640"/>
    </i>
    <i t="grand">
      <x/>
    </i>
  </rowItems>
  <colItems count="1">
    <i/>
  </colItems>
  <pageFields count="2">
    <pageField fld="4" hier="-1"/>
    <pageField fld="0" hier="-1"/>
  </pageFields>
  <dataFields count="1">
    <dataField name="Sum of weekly_vis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6151D-CBB8-D940-8A77-4C07A55D3B49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4:AA44" firstHeaderRow="1" firstDataRow="1" firstDataCol="1" rowPageCount="2" colPageCount="1"/>
  <pivotFields count="6">
    <pivotField axis="axisPage" multipleItemSelectionAllowed="1" showAll="0" sortType="descending">
      <items count="53"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0"/>
        <item h="1" x="47"/>
        <item h="1" x="48"/>
        <item h="1" x="49"/>
        <item h="1" x="50"/>
        <item h="1"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82">
        <item x="197"/>
        <item x="90"/>
        <item x="527"/>
        <item x="131"/>
        <item x="386"/>
        <item x="68"/>
        <item x="445"/>
        <item x="619"/>
        <item x="610"/>
        <item x="294"/>
        <item x="500"/>
        <item x="229"/>
        <item x="62"/>
        <item x="1"/>
        <item x="525"/>
        <item x="298"/>
        <item x="581"/>
        <item x="289"/>
        <item x="327"/>
        <item x="85"/>
        <item x="620"/>
        <item x="266"/>
        <item x="460"/>
        <item x="417"/>
        <item x="11"/>
        <item x="286"/>
        <item x="288"/>
        <item x="195"/>
        <item x="280"/>
        <item x="668"/>
        <item x="157"/>
        <item x="227"/>
        <item x="152"/>
        <item x="567"/>
        <item x="126"/>
        <item x="518"/>
        <item x="377"/>
        <item x="499"/>
        <item x="404"/>
        <item x="586"/>
        <item x="467"/>
        <item x="325"/>
        <item x="639"/>
        <item x="25"/>
        <item x="413"/>
        <item x="524"/>
        <item x="508"/>
        <item x="278"/>
        <item x="427"/>
        <item x="310"/>
        <item x="585"/>
        <item x="162"/>
        <item x="186"/>
        <item x="506"/>
        <item x="547"/>
        <item x="326"/>
        <item x="194"/>
        <item x="198"/>
        <item x="244"/>
        <item x="261"/>
        <item x="87"/>
        <item x="592"/>
        <item x="251"/>
        <item x="551"/>
        <item x="566"/>
        <item x="574"/>
        <item x="135"/>
        <item x="614"/>
        <item x="276"/>
        <item x="441"/>
        <item x="435"/>
        <item x="132"/>
        <item x="538"/>
        <item x="389"/>
        <item x="345"/>
        <item x="496"/>
        <item x="399"/>
        <item x="169"/>
        <item x="376"/>
        <item x="379"/>
        <item x="393"/>
        <item x="411"/>
        <item x="558"/>
        <item x="343"/>
        <item x="44"/>
        <item x="676"/>
        <item x="598"/>
        <item x="258"/>
        <item x="514"/>
        <item x="271"/>
        <item x="9"/>
        <item x="243"/>
        <item x="663"/>
        <item x="293"/>
        <item x="503"/>
        <item x="410"/>
        <item x="552"/>
        <item x="249"/>
        <item x="477"/>
        <item x="199"/>
        <item x="346"/>
        <item x="419"/>
        <item x="515"/>
        <item x="174"/>
        <item x="429"/>
        <item x="483"/>
        <item x="380"/>
        <item x="331"/>
        <item x="356"/>
        <item x="347"/>
        <item x="365"/>
        <item x="175"/>
        <item x="454"/>
        <item x="448"/>
        <item x="284"/>
        <item x="511"/>
        <item x="181"/>
        <item x="218"/>
        <item x="285"/>
        <item x="531"/>
        <item x="109"/>
        <item x="633"/>
        <item x="144"/>
        <item x="437"/>
        <item x="422"/>
        <item x="648"/>
        <item x="432"/>
        <item x="156"/>
        <item x="634"/>
        <item x="403"/>
        <item x="509"/>
        <item x="623"/>
        <item x="638"/>
        <item x="250"/>
        <item x="114"/>
        <item x="491"/>
        <item x="657"/>
        <item x="236"/>
        <item x="155"/>
        <item x="487"/>
        <item x="141"/>
        <item x="172"/>
        <item x="455"/>
        <item x="387"/>
        <item x="452"/>
        <item x="158"/>
        <item x="37"/>
        <item x="36"/>
        <item x="15"/>
        <item x="337"/>
        <item x="124"/>
        <item x="571"/>
        <item x="618"/>
        <item x="128"/>
        <item x="587"/>
        <item x="479"/>
        <item x="53"/>
        <item x="210"/>
        <item x="492"/>
        <item x="153"/>
        <item x="646"/>
        <item x="28"/>
        <item x="381"/>
        <item x="324"/>
        <item x="7"/>
        <item x="297"/>
        <item x="426"/>
        <item x="457"/>
        <item x="329"/>
        <item x="189"/>
        <item x="660"/>
        <item x="625"/>
        <item x="390"/>
        <item x="497"/>
        <item x="545"/>
        <item x="247"/>
        <item x="601"/>
        <item x="469"/>
        <item x="145"/>
        <item x="221"/>
        <item x="575"/>
        <item x="83"/>
        <item x="190"/>
        <item x="489"/>
        <item x="348"/>
        <item x="542"/>
        <item x="102"/>
        <item x="423"/>
        <item x="395"/>
        <item x="154"/>
        <item x="82"/>
        <item x="184"/>
        <item x="203"/>
        <item x="383"/>
        <item x="450"/>
        <item x="125"/>
        <item x="257"/>
        <item x="315"/>
        <item x="658"/>
        <item x="584"/>
        <item x="46"/>
        <item x="84"/>
        <item x="230"/>
        <item x="428"/>
        <item x="579"/>
        <item x="10"/>
        <item x="313"/>
        <item x="562"/>
        <item x="444"/>
        <item x="111"/>
        <item x="281"/>
        <item x="20"/>
        <item x="3"/>
        <item x="602"/>
        <item x="617"/>
        <item x="99"/>
        <item x="613"/>
        <item x="31"/>
        <item x="615"/>
        <item x="163"/>
        <item x="241"/>
        <item x="116"/>
        <item x="361"/>
        <item x="528"/>
        <item x="149"/>
        <item x="669"/>
        <item x="173"/>
        <item x="572"/>
        <item x="254"/>
        <item x="290"/>
        <item x="632"/>
        <item x="79"/>
        <item x="69"/>
        <item x="160"/>
        <item x="358"/>
        <item x="578"/>
        <item x="91"/>
        <item x="26"/>
        <item x="366"/>
        <item x="307"/>
        <item x="409"/>
        <item x="176"/>
        <item x="159"/>
        <item x="405"/>
        <item x="392"/>
        <item x="317"/>
        <item x="647"/>
        <item x="656"/>
        <item x="596"/>
        <item x="342"/>
        <item x="532"/>
        <item x="533"/>
        <item x="569"/>
        <item x="564"/>
        <item x="513"/>
        <item x="385"/>
        <item x="170"/>
        <item x="161"/>
        <item x="546"/>
        <item x="224"/>
        <item x="275"/>
        <item x="274"/>
        <item x="637"/>
        <item x="624"/>
        <item x="246"/>
        <item x="287"/>
        <item x="568"/>
        <item x="353"/>
        <item x="628"/>
        <item x="97"/>
        <item x="179"/>
        <item x="594"/>
        <item x="368"/>
        <item x="363"/>
        <item x="233"/>
        <item x="321"/>
        <item x="607"/>
        <item x="147"/>
        <item x="117"/>
        <item x="563"/>
        <item x="137"/>
        <item x="121"/>
        <item x="311"/>
        <item x="350"/>
        <item x="178"/>
        <item x="583"/>
        <item x="517"/>
        <item x="523"/>
        <item x="6"/>
        <item x="226"/>
        <item x="408"/>
        <item x="553"/>
        <item x="418"/>
        <item x="269"/>
        <item x="49"/>
        <item x="107"/>
        <item x="510"/>
        <item x="312"/>
        <item x="364"/>
        <item x="320"/>
        <item x="655"/>
        <item x="214"/>
        <item x="616"/>
        <item x="339"/>
        <item x="17"/>
        <item x="256"/>
        <item x="185"/>
        <item x="352"/>
        <item x="488"/>
        <item x="2"/>
        <item x="305"/>
        <item x="675"/>
        <item x="328"/>
        <item x="202"/>
        <item x="220"/>
        <item x="476"/>
        <item x="216"/>
        <item x="299"/>
        <item x="667"/>
        <item x="105"/>
        <item x="248"/>
        <item x="74"/>
        <item x="576"/>
        <item x="641"/>
        <item x="58"/>
        <item x="644"/>
        <item x="486"/>
        <item x="235"/>
        <item x="201"/>
        <item x="223"/>
        <item x="671"/>
        <item x="88"/>
        <item x="498"/>
        <item x="349"/>
        <item x="267"/>
        <item x="264"/>
        <item x="108"/>
        <item x="354"/>
        <item x="398"/>
        <item x="490"/>
        <item x="302"/>
        <item x="231"/>
        <item x="81"/>
        <item x="219"/>
        <item x="196"/>
        <item x="13"/>
        <item x="242"/>
        <item x="168"/>
        <item x="421"/>
        <item x="505"/>
        <item x="18"/>
        <item x="501"/>
        <item x="319"/>
        <item x="138"/>
        <item x="359"/>
        <item x="650"/>
        <item x="536"/>
        <item x="456"/>
        <item x="21"/>
        <item x="539"/>
        <item x="260"/>
        <item x="187"/>
        <item x="98"/>
        <item x="309"/>
        <item x="272"/>
        <item x="463"/>
        <item x="66"/>
        <item x="609"/>
        <item x="165"/>
        <item x="554"/>
        <item x="466"/>
        <item x="495"/>
        <item x="512"/>
        <item x="622"/>
        <item x="238"/>
        <item x="314"/>
        <item x="208"/>
        <item x="64"/>
        <item x="4"/>
        <item x="473"/>
        <item x="494"/>
        <item x="611"/>
        <item x="520"/>
        <item x="129"/>
        <item x="665"/>
        <item x="672"/>
        <item x="34"/>
        <item x="63"/>
        <item x="139"/>
        <item x="14"/>
        <item x="127"/>
        <item x="608"/>
        <item x="180"/>
        <item x="548"/>
        <item x="253"/>
        <item x="215"/>
        <item x="212"/>
        <item x="570"/>
        <item x="541"/>
        <item x="382"/>
        <item x="464"/>
        <item x="70"/>
        <item x="76"/>
        <item x="412"/>
        <item x="402"/>
        <item x="89"/>
        <item x="470"/>
        <item x="119"/>
        <item x="94"/>
        <item x="308"/>
        <item x="664"/>
        <item x="540"/>
        <item x="360"/>
        <item x="5"/>
        <item x="32"/>
        <item x="406"/>
        <item x="674"/>
        <item x="112"/>
        <item x="41"/>
        <item x="16"/>
        <item x="86"/>
        <item x="372"/>
        <item x="12"/>
        <item x="416"/>
        <item x="485"/>
        <item x="146"/>
        <item x="306"/>
        <item x="472"/>
        <item x="482"/>
        <item x="577"/>
        <item x="77"/>
        <item x="384"/>
        <item x="115"/>
        <item x="678"/>
        <item x="555"/>
        <item x="57"/>
        <item x="104"/>
        <item x="374"/>
        <item x="100"/>
        <item x="101"/>
        <item x="431"/>
        <item x="522"/>
        <item x="612"/>
        <item x="193"/>
        <item x="453"/>
        <item x="605"/>
        <item x="277"/>
        <item x="504"/>
        <item x="631"/>
        <item x="573"/>
        <item x="301"/>
        <item x="415"/>
        <item x="535"/>
        <item x="136"/>
        <item x="481"/>
        <item x="334"/>
        <item x="446"/>
        <item x="436"/>
        <item x="371"/>
        <item x="434"/>
        <item x="51"/>
        <item x="530"/>
        <item x="259"/>
        <item x="113"/>
        <item x="420"/>
        <item x="440"/>
        <item x="304"/>
        <item x="268"/>
        <item x="659"/>
        <item x="666"/>
        <item x="130"/>
        <item x="561"/>
        <item x="133"/>
        <item x="378"/>
        <item x="414"/>
        <item x="150"/>
        <item x="480"/>
        <item x="537"/>
        <item x="300"/>
        <item x="207"/>
        <item x="335"/>
        <item x="336"/>
        <item x="507"/>
        <item x="526"/>
        <item x="642"/>
        <item x="245"/>
        <item x="38"/>
        <item x="35"/>
        <item x="120"/>
        <item x="375"/>
        <item x="47"/>
        <item x="344"/>
        <item x="279"/>
        <item x="110"/>
        <item x="516"/>
        <item x="478"/>
        <item x="24"/>
        <item x="462"/>
        <item x="232"/>
        <item x="239"/>
        <item x="191"/>
        <item x="557"/>
        <item x="283"/>
        <item x="630"/>
        <item x="521"/>
        <item x="92"/>
        <item x="30"/>
        <item x="118"/>
        <item x="449"/>
        <item x="670"/>
        <item x="677"/>
        <item x="323"/>
        <item x="580"/>
        <item x="370"/>
        <item x="351"/>
        <item x="255"/>
        <item x="447"/>
        <item x="465"/>
        <item x="621"/>
        <item x="177"/>
        <item x="67"/>
        <item x="626"/>
        <item x="661"/>
        <item x="204"/>
        <item x="167"/>
        <item x="401"/>
        <item x="433"/>
        <item x="588"/>
        <item x="459"/>
        <item x="369"/>
        <item x="362"/>
        <item x="640"/>
        <item x="52"/>
        <item x="318"/>
        <item x="22"/>
        <item x="597"/>
        <item x="43"/>
        <item x="65"/>
        <item x="56"/>
        <item x="60"/>
        <item x="425"/>
        <item x="519"/>
        <item x="42"/>
        <item x="72"/>
        <item x="461"/>
        <item x="213"/>
        <item x="73"/>
        <item x="54"/>
        <item x="40"/>
        <item x="424"/>
        <item x="123"/>
        <item x="106"/>
        <item x="442"/>
        <item x="397"/>
        <item x="438"/>
        <item x="192"/>
        <item x="396"/>
        <item x="27"/>
        <item x="240"/>
        <item x="134"/>
        <item x="549"/>
        <item x="50"/>
        <item x="237"/>
        <item x="673"/>
        <item x="19"/>
        <item x="322"/>
        <item x="357"/>
        <item x="652"/>
        <item x="589"/>
        <item x="643"/>
        <item x="59"/>
        <item x="407"/>
        <item x="48"/>
        <item x="166"/>
        <item x="534"/>
        <item x="653"/>
        <item x="341"/>
        <item x="217"/>
        <item x="636"/>
        <item x="340"/>
        <item x="265"/>
        <item x="142"/>
        <item x="222"/>
        <item x="338"/>
        <item x="333"/>
        <item x="122"/>
        <item x="295"/>
        <item x="263"/>
        <item x="603"/>
        <item x="71"/>
        <item x="458"/>
        <item x="606"/>
        <item x="332"/>
        <item x="183"/>
        <item x="400"/>
        <item x="604"/>
        <item x="273"/>
        <item x="550"/>
        <item x="93"/>
        <item x="544"/>
        <item x="529"/>
        <item x="388"/>
        <item x="103"/>
        <item x="75"/>
        <item x="680"/>
        <item x="291"/>
        <item x="262"/>
        <item x="556"/>
        <item x="590"/>
        <item x="205"/>
        <item x="270"/>
        <item x="679"/>
        <item x="164"/>
        <item x="651"/>
        <item x="143"/>
        <item x="225"/>
        <item x="560"/>
        <item x="96"/>
        <item x="593"/>
        <item x="451"/>
        <item x="565"/>
        <item x="151"/>
        <item x="471"/>
        <item x="45"/>
        <item x="475"/>
        <item x="78"/>
        <item x="8"/>
        <item x="468"/>
        <item x="200"/>
        <item x="439"/>
        <item x="29"/>
        <item x="599"/>
        <item x="0"/>
        <item x="234"/>
        <item x="55"/>
        <item x="595"/>
        <item x="228"/>
        <item x="629"/>
        <item x="140"/>
        <item x="373"/>
        <item x="582"/>
        <item x="645"/>
        <item x="394"/>
        <item x="171"/>
        <item x="252"/>
        <item x="493"/>
        <item x="23"/>
        <item x="430"/>
        <item x="303"/>
        <item x="391"/>
        <item x="662"/>
        <item x="316"/>
        <item x="591"/>
        <item x="600"/>
        <item x="182"/>
        <item x="80"/>
        <item x="443"/>
        <item x="502"/>
        <item x="654"/>
        <item x="209"/>
        <item x="148"/>
        <item x="559"/>
        <item x="292"/>
        <item x="206"/>
        <item x="635"/>
        <item x="543"/>
        <item x="367"/>
        <item x="627"/>
        <item x="95"/>
        <item x="211"/>
        <item x="474"/>
        <item x="188"/>
        <item x="282"/>
        <item x="330"/>
        <item x="649"/>
        <item x="484"/>
        <item x="33"/>
        <item x="355"/>
        <item x="61"/>
        <item x="296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8">
        <item x="3"/>
        <item x="1"/>
        <item x="0"/>
        <item x="4"/>
        <item x="5"/>
        <item x="6"/>
        <item x="2"/>
        <item t="default"/>
      </items>
    </pivotField>
    <pivotField dataField="1" showAll="0"/>
  </pivotFields>
  <rowFields count="1">
    <field x="1"/>
  </rowFields>
  <rowItems count="40">
    <i>
      <x v="407"/>
    </i>
    <i>
      <x v="71"/>
    </i>
    <i>
      <x v="470"/>
    </i>
    <i>
      <x v="460"/>
    </i>
    <i>
      <x v="488"/>
    </i>
    <i>
      <x v="195"/>
    </i>
    <i>
      <x v="559"/>
    </i>
    <i>
      <x v="281"/>
    </i>
    <i>
      <x v="493"/>
    </i>
    <i>
      <x v="150"/>
    </i>
    <i>
      <x v="350"/>
    </i>
    <i>
      <x v="638"/>
    </i>
    <i>
      <x v="66"/>
    </i>
    <i>
      <x v="463"/>
    </i>
    <i>
      <x v="551"/>
    </i>
    <i>
      <x v="388"/>
    </i>
    <i>
      <x v="581"/>
    </i>
    <i>
      <x v="336"/>
    </i>
    <i>
      <x v="209"/>
    </i>
    <i>
      <x v="34"/>
    </i>
    <i>
      <x v="585"/>
    </i>
    <i>
      <x v="383"/>
    </i>
    <i>
      <x v="353"/>
    </i>
    <i>
      <x v="472"/>
    </i>
    <i>
      <x v="295"/>
    </i>
    <i>
      <x v="453"/>
    </i>
    <i>
      <x v="3"/>
    </i>
    <i>
      <x v="140"/>
    </i>
    <i>
      <x v="550"/>
    </i>
    <i>
      <x v="280"/>
    </i>
    <i>
      <x v="120"/>
    </i>
    <i>
      <x v="278"/>
    </i>
    <i>
      <x v="134"/>
    </i>
    <i>
      <x v="417"/>
    </i>
    <i>
      <x v="153"/>
    </i>
    <i>
      <x v="507"/>
    </i>
    <i>
      <x v="221"/>
    </i>
    <i>
      <x v="390"/>
    </i>
    <i>
      <x v="432"/>
    </i>
    <i t="grand">
      <x/>
    </i>
  </rowItems>
  <colItems count="1">
    <i/>
  </colItems>
  <pageFields count="2">
    <pageField fld="4" hier="-1"/>
    <pageField fld="0" hier="-1"/>
  </pageFields>
  <dataFields count="1">
    <dataField name="Sum of weekly_vis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112DE-CFB4-5044-BF13-57C2CD91BC14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U44" firstHeaderRow="1" firstDataRow="1" firstDataCol="1" rowPageCount="2" colPageCount="1"/>
  <pivotFields count="6">
    <pivotField axis="axisPage" multipleItemSelectionAllowed="1" showAll="0" sortType="descending">
      <items count="53"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0"/>
        <item h="1" x="47"/>
        <item h="1" x="48"/>
        <item h="1" x="49"/>
        <item h="1" x="50"/>
        <item h="1"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82">
        <item x="197"/>
        <item x="90"/>
        <item x="527"/>
        <item x="131"/>
        <item x="386"/>
        <item x="68"/>
        <item x="445"/>
        <item x="619"/>
        <item x="610"/>
        <item x="294"/>
        <item x="500"/>
        <item x="229"/>
        <item x="62"/>
        <item x="1"/>
        <item x="525"/>
        <item x="298"/>
        <item x="581"/>
        <item x="289"/>
        <item x="327"/>
        <item x="85"/>
        <item x="620"/>
        <item x="266"/>
        <item x="460"/>
        <item x="417"/>
        <item x="11"/>
        <item x="286"/>
        <item x="288"/>
        <item x="195"/>
        <item x="280"/>
        <item x="668"/>
        <item x="157"/>
        <item x="227"/>
        <item x="152"/>
        <item x="567"/>
        <item x="126"/>
        <item x="518"/>
        <item x="377"/>
        <item x="499"/>
        <item x="404"/>
        <item x="586"/>
        <item x="467"/>
        <item x="325"/>
        <item x="639"/>
        <item x="25"/>
        <item x="413"/>
        <item x="524"/>
        <item x="508"/>
        <item x="278"/>
        <item x="427"/>
        <item x="310"/>
        <item x="585"/>
        <item x="162"/>
        <item x="186"/>
        <item x="506"/>
        <item x="547"/>
        <item x="326"/>
        <item x="194"/>
        <item x="198"/>
        <item x="244"/>
        <item x="261"/>
        <item x="87"/>
        <item x="592"/>
        <item x="251"/>
        <item x="551"/>
        <item x="566"/>
        <item x="574"/>
        <item x="135"/>
        <item x="614"/>
        <item x="276"/>
        <item x="441"/>
        <item x="435"/>
        <item x="132"/>
        <item x="538"/>
        <item x="389"/>
        <item x="345"/>
        <item x="496"/>
        <item x="399"/>
        <item x="169"/>
        <item x="376"/>
        <item x="379"/>
        <item x="393"/>
        <item x="411"/>
        <item x="558"/>
        <item x="343"/>
        <item x="44"/>
        <item x="676"/>
        <item x="598"/>
        <item x="258"/>
        <item x="514"/>
        <item x="271"/>
        <item x="9"/>
        <item x="243"/>
        <item x="663"/>
        <item x="293"/>
        <item x="503"/>
        <item x="410"/>
        <item x="552"/>
        <item x="249"/>
        <item x="477"/>
        <item x="199"/>
        <item x="346"/>
        <item x="419"/>
        <item x="515"/>
        <item x="174"/>
        <item x="429"/>
        <item x="483"/>
        <item x="380"/>
        <item x="331"/>
        <item x="356"/>
        <item x="347"/>
        <item x="365"/>
        <item x="175"/>
        <item x="454"/>
        <item x="448"/>
        <item x="284"/>
        <item x="511"/>
        <item x="181"/>
        <item x="218"/>
        <item x="285"/>
        <item x="531"/>
        <item x="109"/>
        <item x="633"/>
        <item x="144"/>
        <item x="437"/>
        <item x="422"/>
        <item x="648"/>
        <item x="432"/>
        <item x="156"/>
        <item x="634"/>
        <item x="403"/>
        <item x="509"/>
        <item x="623"/>
        <item x="638"/>
        <item x="250"/>
        <item x="114"/>
        <item x="491"/>
        <item x="657"/>
        <item x="236"/>
        <item x="155"/>
        <item x="487"/>
        <item x="141"/>
        <item x="172"/>
        <item x="455"/>
        <item x="387"/>
        <item x="452"/>
        <item x="158"/>
        <item x="37"/>
        <item x="36"/>
        <item x="15"/>
        <item x="337"/>
        <item x="124"/>
        <item x="571"/>
        <item x="618"/>
        <item x="128"/>
        <item x="587"/>
        <item x="479"/>
        <item x="53"/>
        <item x="210"/>
        <item x="492"/>
        <item x="153"/>
        <item x="646"/>
        <item x="28"/>
        <item x="381"/>
        <item x="324"/>
        <item x="7"/>
        <item x="297"/>
        <item x="426"/>
        <item x="457"/>
        <item x="329"/>
        <item x="189"/>
        <item x="660"/>
        <item x="625"/>
        <item x="390"/>
        <item x="497"/>
        <item x="545"/>
        <item x="247"/>
        <item x="601"/>
        <item x="469"/>
        <item x="145"/>
        <item x="221"/>
        <item x="575"/>
        <item x="83"/>
        <item x="190"/>
        <item x="489"/>
        <item x="348"/>
        <item x="542"/>
        <item x="102"/>
        <item x="423"/>
        <item x="395"/>
        <item x="154"/>
        <item x="82"/>
        <item x="184"/>
        <item x="203"/>
        <item x="383"/>
        <item x="450"/>
        <item x="125"/>
        <item x="257"/>
        <item x="315"/>
        <item x="658"/>
        <item x="584"/>
        <item x="46"/>
        <item x="84"/>
        <item x="230"/>
        <item x="428"/>
        <item x="579"/>
        <item x="10"/>
        <item x="313"/>
        <item x="562"/>
        <item x="444"/>
        <item x="111"/>
        <item x="281"/>
        <item x="20"/>
        <item x="3"/>
        <item x="602"/>
        <item x="617"/>
        <item x="99"/>
        <item x="613"/>
        <item x="31"/>
        <item x="615"/>
        <item x="163"/>
        <item x="241"/>
        <item x="116"/>
        <item x="361"/>
        <item x="528"/>
        <item x="149"/>
        <item x="669"/>
        <item x="173"/>
        <item x="572"/>
        <item x="254"/>
        <item x="290"/>
        <item x="632"/>
        <item x="79"/>
        <item x="69"/>
        <item x="160"/>
        <item x="358"/>
        <item x="578"/>
        <item x="91"/>
        <item x="26"/>
        <item x="366"/>
        <item x="307"/>
        <item x="409"/>
        <item x="176"/>
        <item x="159"/>
        <item x="405"/>
        <item x="392"/>
        <item x="317"/>
        <item x="647"/>
        <item x="656"/>
        <item x="596"/>
        <item x="342"/>
        <item x="532"/>
        <item x="533"/>
        <item x="569"/>
        <item x="564"/>
        <item x="513"/>
        <item x="385"/>
        <item x="170"/>
        <item x="161"/>
        <item x="546"/>
        <item x="224"/>
        <item x="275"/>
        <item x="274"/>
        <item x="637"/>
        <item x="624"/>
        <item x="246"/>
        <item x="287"/>
        <item x="568"/>
        <item x="353"/>
        <item x="628"/>
        <item x="97"/>
        <item x="179"/>
        <item x="594"/>
        <item x="368"/>
        <item x="363"/>
        <item x="233"/>
        <item x="321"/>
        <item x="607"/>
        <item x="147"/>
        <item x="117"/>
        <item x="563"/>
        <item x="137"/>
        <item x="121"/>
        <item x="311"/>
        <item x="350"/>
        <item x="178"/>
        <item x="583"/>
        <item x="517"/>
        <item x="523"/>
        <item x="6"/>
        <item x="226"/>
        <item x="408"/>
        <item x="553"/>
        <item x="418"/>
        <item x="269"/>
        <item x="49"/>
        <item x="107"/>
        <item x="510"/>
        <item x="312"/>
        <item x="364"/>
        <item x="320"/>
        <item x="655"/>
        <item x="214"/>
        <item x="616"/>
        <item x="339"/>
        <item x="17"/>
        <item x="256"/>
        <item x="185"/>
        <item x="352"/>
        <item x="488"/>
        <item x="2"/>
        <item x="305"/>
        <item x="675"/>
        <item x="328"/>
        <item x="202"/>
        <item x="220"/>
        <item x="476"/>
        <item x="216"/>
        <item x="299"/>
        <item x="667"/>
        <item x="105"/>
        <item x="248"/>
        <item x="74"/>
        <item x="576"/>
        <item x="641"/>
        <item x="58"/>
        <item x="644"/>
        <item x="486"/>
        <item x="235"/>
        <item x="201"/>
        <item x="223"/>
        <item x="671"/>
        <item x="88"/>
        <item x="498"/>
        <item x="349"/>
        <item x="267"/>
        <item x="264"/>
        <item x="108"/>
        <item x="354"/>
        <item x="398"/>
        <item x="490"/>
        <item x="302"/>
        <item x="231"/>
        <item x="81"/>
        <item x="219"/>
        <item x="196"/>
        <item x="13"/>
        <item x="242"/>
        <item x="168"/>
        <item x="421"/>
        <item x="505"/>
        <item x="18"/>
        <item x="501"/>
        <item x="319"/>
        <item x="138"/>
        <item x="359"/>
        <item x="650"/>
        <item x="536"/>
        <item x="456"/>
        <item x="21"/>
        <item x="539"/>
        <item x="260"/>
        <item x="187"/>
        <item x="98"/>
        <item x="309"/>
        <item x="272"/>
        <item x="463"/>
        <item x="66"/>
        <item x="609"/>
        <item x="165"/>
        <item x="554"/>
        <item x="466"/>
        <item x="495"/>
        <item x="512"/>
        <item x="622"/>
        <item x="238"/>
        <item x="314"/>
        <item x="208"/>
        <item x="64"/>
        <item x="4"/>
        <item x="473"/>
        <item x="494"/>
        <item x="611"/>
        <item x="520"/>
        <item x="129"/>
        <item x="665"/>
        <item x="672"/>
        <item x="34"/>
        <item x="63"/>
        <item x="139"/>
        <item x="14"/>
        <item x="127"/>
        <item x="608"/>
        <item x="180"/>
        <item x="548"/>
        <item x="253"/>
        <item x="215"/>
        <item x="212"/>
        <item x="570"/>
        <item x="541"/>
        <item x="382"/>
        <item x="464"/>
        <item x="70"/>
        <item x="76"/>
        <item x="412"/>
        <item x="402"/>
        <item x="89"/>
        <item x="470"/>
        <item x="119"/>
        <item x="94"/>
        <item x="308"/>
        <item x="664"/>
        <item x="540"/>
        <item x="360"/>
        <item x="5"/>
        <item x="32"/>
        <item x="406"/>
        <item x="674"/>
        <item x="112"/>
        <item x="41"/>
        <item x="16"/>
        <item x="86"/>
        <item x="372"/>
        <item x="12"/>
        <item x="416"/>
        <item x="485"/>
        <item x="146"/>
        <item x="306"/>
        <item x="472"/>
        <item x="482"/>
        <item x="577"/>
        <item x="77"/>
        <item x="384"/>
        <item x="115"/>
        <item x="678"/>
        <item x="555"/>
        <item x="57"/>
        <item x="104"/>
        <item x="374"/>
        <item x="100"/>
        <item x="101"/>
        <item x="431"/>
        <item x="522"/>
        <item x="612"/>
        <item x="193"/>
        <item x="453"/>
        <item x="605"/>
        <item x="277"/>
        <item x="504"/>
        <item x="631"/>
        <item x="573"/>
        <item x="301"/>
        <item x="415"/>
        <item x="535"/>
        <item x="136"/>
        <item x="481"/>
        <item x="334"/>
        <item x="446"/>
        <item x="436"/>
        <item x="371"/>
        <item x="434"/>
        <item x="51"/>
        <item x="530"/>
        <item x="259"/>
        <item x="113"/>
        <item x="420"/>
        <item x="440"/>
        <item x="304"/>
        <item x="268"/>
        <item x="659"/>
        <item x="666"/>
        <item x="130"/>
        <item x="561"/>
        <item x="133"/>
        <item x="378"/>
        <item x="414"/>
        <item x="150"/>
        <item x="480"/>
        <item x="537"/>
        <item x="300"/>
        <item x="207"/>
        <item x="335"/>
        <item x="336"/>
        <item x="507"/>
        <item x="526"/>
        <item x="642"/>
        <item x="245"/>
        <item x="38"/>
        <item x="35"/>
        <item x="120"/>
        <item x="375"/>
        <item x="47"/>
        <item x="344"/>
        <item x="279"/>
        <item x="110"/>
        <item x="516"/>
        <item x="478"/>
        <item x="24"/>
        <item x="462"/>
        <item x="232"/>
        <item x="239"/>
        <item x="191"/>
        <item x="557"/>
        <item x="283"/>
        <item x="630"/>
        <item x="521"/>
        <item x="92"/>
        <item x="30"/>
        <item x="118"/>
        <item x="449"/>
        <item x="670"/>
        <item x="677"/>
        <item x="323"/>
        <item x="580"/>
        <item x="370"/>
        <item x="351"/>
        <item x="255"/>
        <item x="447"/>
        <item x="465"/>
        <item x="621"/>
        <item x="177"/>
        <item x="67"/>
        <item x="626"/>
        <item x="661"/>
        <item x="204"/>
        <item x="167"/>
        <item x="401"/>
        <item x="433"/>
        <item x="588"/>
        <item x="459"/>
        <item x="369"/>
        <item x="362"/>
        <item x="640"/>
        <item x="52"/>
        <item x="318"/>
        <item x="22"/>
        <item x="597"/>
        <item x="43"/>
        <item x="65"/>
        <item x="56"/>
        <item x="60"/>
        <item x="425"/>
        <item x="519"/>
        <item x="42"/>
        <item x="72"/>
        <item x="461"/>
        <item x="213"/>
        <item x="73"/>
        <item x="54"/>
        <item x="40"/>
        <item x="424"/>
        <item x="123"/>
        <item x="106"/>
        <item x="442"/>
        <item x="397"/>
        <item x="438"/>
        <item x="192"/>
        <item x="396"/>
        <item x="27"/>
        <item x="240"/>
        <item x="134"/>
        <item x="549"/>
        <item x="50"/>
        <item x="237"/>
        <item x="673"/>
        <item x="19"/>
        <item x="322"/>
        <item x="357"/>
        <item x="652"/>
        <item x="589"/>
        <item x="643"/>
        <item x="59"/>
        <item x="407"/>
        <item x="48"/>
        <item x="166"/>
        <item x="534"/>
        <item x="653"/>
        <item x="341"/>
        <item x="217"/>
        <item x="636"/>
        <item x="340"/>
        <item x="265"/>
        <item x="142"/>
        <item x="222"/>
        <item x="338"/>
        <item x="333"/>
        <item x="122"/>
        <item x="295"/>
        <item x="263"/>
        <item x="603"/>
        <item x="71"/>
        <item x="458"/>
        <item x="606"/>
        <item x="332"/>
        <item x="183"/>
        <item x="400"/>
        <item x="604"/>
        <item x="273"/>
        <item x="550"/>
        <item x="93"/>
        <item x="544"/>
        <item x="529"/>
        <item x="388"/>
        <item x="103"/>
        <item x="75"/>
        <item x="680"/>
        <item x="291"/>
        <item x="262"/>
        <item x="556"/>
        <item x="590"/>
        <item x="205"/>
        <item x="270"/>
        <item x="679"/>
        <item x="164"/>
        <item x="651"/>
        <item x="143"/>
        <item x="225"/>
        <item x="560"/>
        <item x="96"/>
        <item x="593"/>
        <item x="451"/>
        <item x="565"/>
        <item x="151"/>
        <item x="471"/>
        <item x="45"/>
        <item x="475"/>
        <item x="78"/>
        <item x="8"/>
        <item x="468"/>
        <item x="200"/>
        <item x="439"/>
        <item x="29"/>
        <item x="599"/>
        <item x="0"/>
        <item x="234"/>
        <item x="55"/>
        <item x="595"/>
        <item x="228"/>
        <item x="629"/>
        <item x="140"/>
        <item x="373"/>
        <item x="582"/>
        <item x="645"/>
        <item x="394"/>
        <item x="171"/>
        <item x="252"/>
        <item x="493"/>
        <item x="23"/>
        <item x="430"/>
        <item x="303"/>
        <item x="391"/>
        <item x="662"/>
        <item x="316"/>
        <item x="591"/>
        <item x="600"/>
        <item x="182"/>
        <item x="80"/>
        <item x="443"/>
        <item x="502"/>
        <item x="654"/>
        <item x="209"/>
        <item x="148"/>
        <item x="559"/>
        <item x="292"/>
        <item x="206"/>
        <item x="635"/>
        <item x="543"/>
        <item x="367"/>
        <item x="627"/>
        <item x="95"/>
        <item x="211"/>
        <item x="474"/>
        <item x="188"/>
        <item x="282"/>
        <item x="330"/>
        <item x="649"/>
        <item x="484"/>
        <item x="33"/>
        <item x="355"/>
        <item x="61"/>
        <item x="296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howAll="0">
      <items count="8">
        <item x="3"/>
        <item x="1"/>
        <item x="0"/>
        <item x="4"/>
        <item x="5"/>
        <item x="6"/>
        <item x="2"/>
        <item t="default"/>
      </items>
    </pivotField>
    <pivotField dataField="1" showAll="0"/>
  </pivotFields>
  <rowFields count="1">
    <field x="1"/>
  </rowFields>
  <rowItems count="40">
    <i>
      <x v="366"/>
    </i>
    <i>
      <x v="460"/>
    </i>
    <i>
      <x v="537"/>
    </i>
    <i>
      <x v="536"/>
    </i>
    <i>
      <x v="520"/>
    </i>
    <i>
      <x v="532"/>
    </i>
    <i>
      <x v="547"/>
    </i>
    <i>
      <x v="156"/>
    </i>
    <i>
      <x v="5"/>
    </i>
    <i>
      <x v="232"/>
    </i>
    <i>
      <x v="543"/>
    </i>
    <i>
      <x v="538"/>
    </i>
    <i>
      <x v="634"/>
    </i>
    <i>
      <x v="623"/>
    </i>
    <i>
      <x v="542"/>
    </i>
    <i>
      <x v="539"/>
    </i>
    <i>
      <x v="321"/>
    </i>
    <i>
      <x v="589"/>
    </i>
    <i>
      <x v="490"/>
    </i>
    <i>
      <x v="572"/>
    </i>
    <i>
      <x v="418"/>
    </i>
    <i>
      <x v="200"/>
    </i>
    <i>
      <x v="387"/>
    </i>
    <i>
      <x v="546"/>
    </i>
    <i>
      <x v="430"/>
    </i>
    <i>
      <x v="570"/>
    </i>
    <i>
      <x v="548"/>
    </i>
    <i>
      <x v="84"/>
    </i>
    <i>
      <x v="435"/>
    </i>
    <i>
      <x v="678"/>
    </i>
    <i>
      <x v="603"/>
    </i>
    <i>
      <x v="324"/>
    </i>
    <i>
      <x v="561"/>
    </i>
    <i>
      <x v="401"/>
    </i>
    <i>
      <x v="625"/>
    </i>
    <i>
      <x v="294"/>
    </i>
    <i>
      <x v="377"/>
    </i>
    <i>
      <x v="402"/>
    </i>
    <i>
      <x v="12"/>
    </i>
    <i t="grand">
      <x/>
    </i>
  </rowItems>
  <colItems count="1">
    <i/>
  </colItems>
  <pageFields count="2">
    <pageField fld="4" hier="-1"/>
    <pageField fld="0" hier="-1"/>
  </pageFields>
  <dataFields count="1">
    <dataField name="Sum of weekly_vis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3A49E-D425-774B-BAEE-AB5798EFC0B4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54" firstHeaderRow="1" firstDataRow="1" firstDataCol="1" rowPageCount="1" colPageCount="1"/>
  <pivotFields count="6">
    <pivotField axis="axisRow" showAll="0" sortType="descending">
      <items count="5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40"/>
        <item x="41"/>
        <item x="42"/>
        <item x="43"/>
        <item x="44"/>
        <item x="45"/>
        <item x="46"/>
        <item h="1" x="0"/>
        <item x="47"/>
        <item x="48"/>
        <item x="49"/>
        <item x="50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82">
        <item x="197"/>
        <item x="90"/>
        <item x="527"/>
        <item x="131"/>
        <item x="386"/>
        <item x="68"/>
        <item x="445"/>
        <item x="619"/>
        <item x="610"/>
        <item x="294"/>
        <item x="500"/>
        <item x="229"/>
        <item x="62"/>
        <item x="1"/>
        <item x="525"/>
        <item x="298"/>
        <item x="581"/>
        <item x="289"/>
        <item x="327"/>
        <item x="85"/>
        <item x="620"/>
        <item x="266"/>
        <item x="460"/>
        <item x="417"/>
        <item x="11"/>
        <item x="286"/>
        <item x="288"/>
        <item x="195"/>
        <item x="280"/>
        <item x="668"/>
        <item x="157"/>
        <item x="227"/>
        <item x="152"/>
        <item x="567"/>
        <item x="126"/>
        <item x="518"/>
        <item x="377"/>
        <item x="499"/>
        <item x="404"/>
        <item x="586"/>
        <item x="467"/>
        <item x="325"/>
        <item x="639"/>
        <item x="25"/>
        <item x="413"/>
        <item x="524"/>
        <item x="508"/>
        <item x="278"/>
        <item x="427"/>
        <item x="310"/>
        <item x="585"/>
        <item x="162"/>
        <item x="186"/>
        <item x="506"/>
        <item x="547"/>
        <item x="326"/>
        <item x="194"/>
        <item x="198"/>
        <item x="244"/>
        <item x="261"/>
        <item x="87"/>
        <item x="592"/>
        <item x="251"/>
        <item x="551"/>
        <item x="566"/>
        <item x="574"/>
        <item x="135"/>
        <item x="614"/>
        <item x="276"/>
        <item x="441"/>
        <item x="435"/>
        <item x="132"/>
        <item x="538"/>
        <item x="389"/>
        <item x="345"/>
        <item x="496"/>
        <item x="399"/>
        <item x="169"/>
        <item x="376"/>
        <item x="379"/>
        <item x="393"/>
        <item x="411"/>
        <item x="558"/>
        <item x="343"/>
        <item x="44"/>
        <item x="676"/>
        <item x="598"/>
        <item x="258"/>
        <item x="514"/>
        <item x="271"/>
        <item x="9"/>
        <item x="243"/>
        <item x="663"/>
        <item x="293"/>
        <item x="503"/>
        <item x="410"/>
        <item x="552"/>
        <item x="249"/>
        <item x="477"/>
        <item x="199"/>
        <item x="346"/>
        <item x="419"/>
        <item x="515"/>
        <item x="174"/>
        <item x="429"/>
        <item x="483"/>
        <item x="380"/>
        <item x="331"/>
        <item x="356"/>
        <item x="347"/>
        <item x="365"/>
        <item x="175"/>
        <item x="454"/>
        <item x="448"/>
        <item x="284"/>
        <item x="511"/>
        <item x="181"/>
        <item x="218"/>
        <item x="285"/>
        <item x="531"/>
        <item x="109"/>
        <item x="633"/>
        <item x="144"/>
        <item x="437"/>
        <item x="422"/>
        <item x="648"/>
        <item x="432"/>
        <item x="156"/>
        <item x="634"/>
        <item x="403"/>
        <item x="509"/>
        <item x="623"/>
        <item x="638"/>
        <item x="250"/>
        <item x="114"/>
        <item x="491"/>
        <item x="657"/>
        <item x="236"/>
        <item x="155"/>
        <item x="487"/>
        <item x="141"/>
        <item x="172"/>
        <item x="455"/>
        <item x="387"/>
        <item x="452"/>
        <item x="158"/>
        <item x="37"/>
        <item x="36"/>
        <item x="15"/>
        <item x="337"/>
        <item x="124"/>
        <item x="571"/>
        <item x="618"/>
        <item x="128"/>
        <item x="587"/>
        <item x="479"/>
        <item x="53"/>
        <item x="210"/>
        <item x="492"/>
        <item x="153"/>
        <item x="646"/>
        <item x="28"/>
        <item x="381"/>
        <item x="324"/>
        <item x="7"/>
        <item x="297"/>
        <item x="426"/>
        <item x="457"/>
        <item x="329"/>
        <item x="189"/>
        <item x="660"/>
        <item x="625"/>
        <item x="390"/>
        <item x="497"/>
        <item x="545"/>
        <item x="247"/>
        <item x="601"/>
        <item x="469"/>
        <item x="145"/>
        <item x="221"/>
        <item x="575"/>
        <item x="83"/>
        <item x="190"/>
        <item x="489"/>
        <item x="348"/>
        <item x="542"/>
        <item x="102"/>
        <item x="423"/>
        <item x="395"/>
        <item x="154"/>
        <item x="82"/>
        <item x="184"/>
        <item x="203"/>
        <item x="383"/>
        <item x="450"/>
        <item x="125"/>
        <item x="257"/>
        <item x="315"/>
        <item x="658"/>
        <item x="584"/>
        <item x="46"/>
        <item x="84"/>
        <item x="230"/>
        <item x="428"/>
        <item x="579"/>
        <item x="10"/>
        <item x="313"/>
        <item x="562"/>
        <item x="444"/>
        <item x="111"/>
        <item x="281"/>
        <item x="20"/>
        <item x="3"/>
        <item x="602"/>
        <item x="617"/>
        <item x="99"/>
        <item x="613"/>
        <item x="31"/>
        <item x="615"/>
        <item x="163"/>
        <item x="241"/>
        <item x="116"/>
        <item x="361"/>
        <item x="528"/>
        <item x="149"/>
        <item x="669"/>
        <item x="173"/>
        <item x="572"/>
        <item x="254"/>
        <item x="290"/>
        <item x="632"/>
        <item x="79"/>
        <item x="69"/>
        <item x="160"/>
        <item x="358"/>
        <item x="578"/>
        <item x="91"/>
        <item x="26"/>
        <item x="366"/>
        <item x="307"/>
        <item x="409"/>
        <item x="176"/>
        <item x="159"/>
        <item x="405"/>
        <item x="392"/>
        <item x="317"/>
        <item x="647"/>
        <item x="656"/>
        <item x="596"/>
        <item x="342"/>
        <item x="532"/>
        <item x="533"/>
        <item x="569"/>
        <item x="564"/>
        <item x="513"/>
        <item x="385"/>
        <item x="170"/>
        <item x="161"/>
        <item x="546"/>
        <item x="224"/>
        <item x="275"/>
        <item x="274"/>
        <item x="637"/>
        <item x="624"/>
        <item x="246"/>
        <item x="287"/>
        <item x="568"/>
        <item x="353"/>
        <item x="628"/>
        <item x="97"/>
        <item x="179"/>
        <item x="594"/>
        <item x="368"/>
        <item x="363"/>
        <item x="233"/>
        <item x="321"/>
        <item x="607"/>
        <item x="147"/>
        <item x="117"/>
        <item x="563"/>
        <item x="137"/>
        <item x="121"/>
        <item x="311"/>
        <item x="350"/>
        <item x="178"/>
        <item x="583"/>
        <item x="517"/>
        <item x="523"/>
        <item x="6"/>
        <item x="226"/>
        <item x="408"/>
        <item x="553"/>
        <item x="418"/>
        <item x="269"/>
        <item x="49"/>
        <item x="107"/>
        <item x="510"/>
        <item x="312"/>
        <item x="364"/>
        <item x="320"/>
        <item x="655"/>
        <item x="214"/>
        <item x="616"/>
        <item x="339"/>
        <item x="17"/>
        <item x="256"/>
        <item x="185"/>
        <item x="352"/>
        <item x="488"/>
        <item x="2"/>
        <item x="305"/>
        <item x="675"/>
        <item x="328"/>
        <item x="202"/>
        <item x="220"/>
        <item x="476"/>
        <item x="216"/>
        <item x="299"/>
        <item x="667"/>
        <item x="105"/>
        <item x="248"/>
        <item x="74"/>
        <item x="576"/>
        <item x="641"/>
        <item x="58"/>
        <item x="644"/>
        <item x="486"/>
        <item x="235"/>
        <item x="201"/>
        <item x="223"/>
        <item x="671"/>
        <item x="88"/>
        <item x="498"/>
        <item x="349"/>
        <item x="267"/>
        <item x="264"/>
        <item x="108"/>
        <item x="354"/>
        <item x="398"/>
        <item x="490"/>
        <item x="302"/>
        <item x="231"/>
        <item x="81"/>
        <item x="219"/>
        <item x="196"/>
        <item x="13"/>
        <item x="242"/>
        <item x="168"/>
        <item x="421"/>
        <item x="505"/>
        <item x="18"/>
        <item x="501"/>
        <item x="319"/>
        <item x="138"/>
        <item x="359"/>
        <item x="650"/>
        <item x="536"/>
        <item x="456"/>
        <item x="21"/>
        <item x="539"/>
        <item x="260"/>
        <item x="187"/>
        <item x="98"/>
        <item x="309"/>
        <item x="272"/>
        <item x="463"/>
        <item x="66"/>
        <item x="609"/>
        <item x="165"/>
        <item x="554"/>
        <item x="466"/>
        <item x="495"/>
        <item x="512"/>
        <item x="622"/>
        <item x="238"/>
        <item x="314"/>
        <item x="208"/>
        <item x="64"/>
        <item x="4"/>
        <item x="473"/>
        <item x="494"/>
        <item x="611"/>
        <item x="520"/>
        <item x="129"/>
        <item x="665"/>
        <item x="672"/>
        <item x="34"/>
        <item x="63"/>
        <item x="139"/>
        <item x="14"/>
        <item x="127"/>
        <item x="608"/>
        <item x="180"/>
        <item x="548"/>
        <item x="253"/>
        <item x="215"/>
        <item x="212"/>
        <item x="570"/>
        <item x="541"/>
        <item x="382"/>
        <item x="464"/>
        <item x="70"/>
        <item x="76"/>
        <item x="412"/>
        <item x="402"/>
        <item x="89"/>
        <item x="470"/>
        <item x="119"/>
        <item x="94"/>
        <item x="308"/>
        <item x="664"/>
        <item x="540"/>
        <item x="360"/>
        <item x="5"/>
        <item x="32"/>
        <item x="406"/>
        <item x="674"/>
        <item x="112"/>
        <item x="41"/>
        <item x="16"/>
        <item x="86"/>
        <item x="372"/>
        <item x="12"/>
        <item x="416"/>
        <item x="485"/>
        <item x="146"/>
        <item x="306"/>
        <item x="472"/>
        <item x="482"/>
        <item x="577"/>
        <item x="77"/>
        <item x="384"/>
        <item x="115"/>
        <item x="678"/>
        <item x="555"/>
        <item x="57"/>
        <item x="104"/>
        <item x="374"/>
        <item x="100"/>
        <item x="101"/>
        <item x="431"/>
        <item x="522"/>
        <item x="612"/>
        <item x="193"/>
        <item x="453"/>
        <item x="605"/>
        <item x="277"/>
        <item x="504"/>
        <item x="631"/>
        <item x="573"/>
        <item x="301"/>
        <item x="415"/>
        <item x="535"/>
        <item x="136"/>
        <item x="481"/>
        <item x="334"/>
        <item x="446"/>
        <item x="436"/>
        <item x="371"/>
        <item x="434"/>
        <item x="51"/>
        <item x="530"/>
        <item x="259"/>
        <item x="113"/>
        <item x="420"/>
        <item x="440"/>
        <item x="304"/>
        <item x="268"/>
        <item x="659"/>
        <item x="666"/>
        <item x="130"/>
        <item x="561"/>
        <item x="133"/>
        <item x="378"/>
        <item x="414"/>
        <item x="150"/>
        <item x="480"/>
        <item x="537"/>
        <item x="300"/>
        <item x="207"/>
        <item x="335"/>
        <item x="336"/>
        <item x="507"/>
        <item x="526"/>
        <item x="642"/>
        <item x="245"/>
        <item x="38"/>
        <item x="35"/>
        <item x="120"/>
        <item x="375"/>
        <item x="47"/>
        <item x="344"/>
        <item x="279"/>
        <item x="110"/>
        <item x="516"/>
        <item x="478"/>
        <item x="24"/>
        <item x="462"/>
        <item x="232"/>
        <item x="239"/>
        <item x="191"/>
        <item x="557"/>
        <item x="283"/>
        <item x="630"/>
        <item x="521"/>
        <item x="92"/>
        <item x="30"/>
        <item x="118"/>
        <item x="449"/>
        <item x="670"/>
        <item x="677"/>
        <item x="323"/>
        <item x="580"/>
        <item x="370"/>
        <item x="351"/>
        <item x="255"/>
        <item x="447"/>
        <item x="465"/>
        <item x="621"/>
        <item x="177"/>
        <item x="67"/>
        <item x="626"/>
        <item x="661"/>
        <item x="204"/>
        <item x="167"/>
        <item x="401"/>
        <item x="433"/>
        <item x="588"/>
        <item x="459"/>
        <item x="369"/>
        <item x="362"/>
        <item x="640"/>
        <item x="52"/>
        <item x="318"/>
        <item x="22"/>
        <item x="597"/>
        <item x="43"/>
        <item x="65"/>
        <item x="56"/>
        <item x="60"/>
        <item x="425"/>
        <item x="519"/>
        <item x="42"/>
        <item x="72"/>
        <item x="461"/>
        <item x="213"/>
        <item x="73"/>
        <item x="54"/>
        <item x="40"/>
        <item x="424"/>
        <item x="123"/>
        <item x="106"/>
        <item x="442"/>
        <item x="397"/>
        <item x="438"/>
        <item x="192"/>
        <item x="396"/>
        <item x="27"/>
        <item x="240"/>
        <item x="134"/>
        <item x="549"/>
        <item x="50"/>
        <item x="237"/>
        <item x="673"/>
        <item x="19"/>
        <item x="322"/>
        <item x="357"/>
        <item x="652"/>
        <item x="589"/>
        <item x="643"/>
        <item x="59"/>
        <item x="407"/>
        <item x="48"/>
        <item x="166"/>
        <item x="534"/>
        <item x="653"/>
        <item x="341"/>
        <item x="217"/>
        <item x="636"/>
        <item x="340"/>
        <item x="265"/>
        <item x="142"/>
        <item x="222"/>
        <item x="338"/>
        <item x="333"/>
        <item x="122"/>
        <item x="295"/>
        <item x="263"/>
        <item x="603"/>
        <item x="71"/>
        <item x="458"/>
        <item x="606"/>
        <item x="332"/>
        <item x="183"/>
        <item x="400"/>
        <item x="604"/>
        <item x="273"/>
        <item x="550"/>
        <item x="93"/>
        <item x="544"/>
        <item x="529"/>
        <item x="388"/>
        <item x="103"/>
        <item x="75"/>
        <item x="680"/>
        <item x="291"/>
        <item x="262"/>
        <item x="556"/>
        <item x="590"/>
        <item x="205"/>
        <item x="270"/>
        <item x="679"/>
        <item x="164"/>
        <item x="651"/>
        <item x="143"/>
        <item x="225"/>
        <item x="560"/>
        <item x="96"/>
        <item x="593"/>
        <item x="451"/>
        <item x="565"/>
        <item x="151"/>
        <item x="471"/>
        <item x="45"/>
        <item x="475"/>
        <item x="78"/>
        <item x="8"/>
        <item x="468"/>
        <item x="200"/>
        <item x="439"/>
        <item x="29"/>
        <item x="599"/>
        <item x="0"/>
        <item x="234"/>
        <item x="55"/>
        <item x="595"/>
        <item x="228"/>
        <item x="629"/>
        <item x="140"/>
        <item x="373"/>
        <item x="582"/>
        <item x="645"/>
        <item x="394"/>
        <item x="171"/>
        <item x="252"/>
        <item x="493"/>
        <item x="23"/>
        <item x="430"/>
        <item x="303"/>
        <item x="391"/>
        <item x="662"/>
        <item x="316"/>
        <item x="591"/>
        <item x="600"/>
        <item x="182"/>
        <item x="80"/>
        <item x="443"/>
        <item x="502"/>
        <item x="654"/>
        <item x="209"/>
        <item x="148"/>
        <item x="559"/>
        <item x="292"/>
        <item x="206"/>
        <item x="635"/>
        <item x="543"/>
        <item x="367"/>
        <item x="627"/>
        <item x="95"/>
        <item x="211"/>
        <item x="474"/>
        <item x="188"/>
        <item x="282"/>
        <item x="330"/>
        <item x="649"/>
        <item x="484"/>
        <item x="33"/>
        <item x="355"/>
        <item x="61"/>
        <item x="296"/>
        <item x="39"/>
        <item t="default"/>
      </items>
    </pivotField>
    <pivotField showAll="0"/>
    <pivotField showAll="0"/>
    <pivotField axis="axisPage" showAll="0">
      <items count="8">
        <item x="3"/>
        <item x="1"/>
        <item x="0"/>
        <item x="4"/>
        <item x="5"/>
        <item x="6"/>
        <item x="2"/>
        <item t="default"/>
      </items>
    </pivotField>
    <pivotField dataField="1" showAll="0"/>
  </pivotFields>
  <rowFields count="1">
    <field x="0"/>
  </rowFields>
  <rowItems count="51">
    <i>
      <x v="4"/>
    </i>
    <i>
      <x v="9"/>
    </i>
    <i>
      <x v="44"/>
    </i>
    <i>
      <x v="34"/>
    </i>
    <i>
      <x v="10"/>
    </i>
    <i>
      <x v="27"/>
    </i>
    <i>
      <x v="35"/>
    </i>
    <i>
      <x v="38"/>
    </i>
    <i>
      <x v="14"/>
    </i>
    <i>
      <x v="31"/>
    </i>
    <i>
      <x v="43"/>
    </i>
    <i>
      <x v="41"/>
    </i>
    <i>
      <x v="1"/>
    </i>
    <i>
      <x v="22"/>
    </i>
    <i>
      <x v="3"/>
    </i>
    <i>
      <x v="19"/>
    </i>
    <i>
      <x v="5"/>
    </i>
    <i>
      <x v="20"/>
    </i>
    <i>
      <x v="18"/>
    </i>
    <i>
      <x v="24"/>
    </i>
    <i>
      <x v="48"/>
    </i>
    <i>
      <x v="15"/>
    </i>
    <i>
      <x v="36"/>
    </i>
    <i>
      <x v="6"/>
    </i>
    <i>
      <x v="23"/>
    </i>
    <i>
      <x v="49"/>
    </i>
    <i>
      <x v="25"/>
    </i>
    <i>
      <x v="17"/>
    </i>
    <i>
      <x v="37"/>
    </i>
    <i>
      <x v="33"/>
    </i>
    <i>
      <x v="2"/>
    </i>
    <i>
      <x v="12"/>
    </i>
    <i>
      <x v="45"/>
    </i>
    <i>
      <x v="16"/>
    </i>
    <i>
      <x v="13"/>
    </i>
    <i>
      <x v="29"/>
    </i>
    <i>
      <x v="30"/>
    </i>
    <i>
      <x v="32"/>
    </i>
    <i>
      <x v="11"/>
    </i>
    <i>
      <x v="8"/>
    </i>
    <i>
      <x v="50"/>
    </i>
    <i>
      <x v="26"/>
    </i>
    <i>
      <x v="21"/>
    </i>
    <i>
      <x v="40"/>
    </i>
    <i>
      <x v="28"/>
    </i>
    <i>
      <x v="7"/>
    </i>
    <i>
      <x v="42"/>
    </i>
    <i>
      <x/>
    </i>
    <i>
      <x v="51"/>
    </i>
    <i>
      <x v="47"/>
    </i>
    <i t="grand">
      <x/>
    </i>
  </rowItems>
  <colItems count="1">
    <i/>
  </colItems>
  <pageFields count="1">
    <pageField fld="4" hier="-1"/>
  </pageFields>
  <dataFields count="1">
    <dataField name="Sum of weekly_visi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B82BFB-FB63-BD40-9B70-D3B926089543}" name="Table3" displayName="Table3" ref="G1:H8" totalsRowShown="0" headerRowDxfId="3">
  <autoFilter ref="G1:H8" xr:uid="{28B82BFB-FB63-BD40-9B70-D3B926089543}"/>
  <tableColumns count="2">
    <tableColumn id="1" xr3:uid="{954E954B-A546-4D46-8E36-053057DFA94E}" name="Market Share"/>
    <tableColumn id="2" xr3:uid="{3AEE3666-F5D1-0B48-96A0-EA262CF74839}" name="Column1" dataDxfId="2" dataCellStyle="Per cent">
      <calculatedColumnFormula>C2/SUM($C$2:$C$8)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526E43-0DB8-D042-9B70-6B1CF3A03498}" name="Table4" displayName="Table4" ref="B1:E8" totalsRowShown="0">
  <autoFilter ref="B1:E8" xr:uid="{CC526E43-0DB8-D042-9B70-6B1CF3A03498}"/>
  <tableColumns count="4">
    <tableColumn id="1" xr3:uid="{F77498B3-3DA3-1943-90B0-4237BBD7233F}" name="brand_name"/>
    <tableColumn id="2" xr3:uid="{13D5CA7E-119A-1944-8803-58F4F0960A6D}" name="total_visits"/>
    <tableColumn id="3" xr3:uid="{C7204217-07A9-5144-8AA4-4B5EF2B568D7}" name="avg_dwell_time"/>
    <tableColumn id="4" xr3:uid="{F784A434-035D-CA48-BCF5-AE15A8A4AFDC}" name="total_visits_for_scatterplot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1DEBEB-8588-A145-84D5-EED5A9D90B62}" name="Table2" displayName="Table2" ref="A1:E127" totalsRowShown="0">
  <autoFilter ref="A1:E127" xr:uid="{461DEBEB-8588-A145-84D5-EED5A9D90B62}"/>
  <tableColumns count="5">
    <tableColumn id="1" xr3:uid="{A954D92F-D1D3-CC49-8899-EEBD5AE08518}" name="Row"/>
    <tableColumn id="2" xr3:uid="{309E2DA1-DC33-B242-82DF-1CD214AF4BC0}" name="brand_name"/>
    <tableColumn id="3" xr3:uid="{9E43AAA5-E4CD-1041-A34B-39A700968772}" name="week_start" dataDxfId="1"/>
    <tableColumn id="4" xr3:uid="{E3DE6434-98DA-0143-BD9C-682DF1407BE2}" name="week_number"/>
    <tableColumn id="5" xr3:uid="{E0004162-8866-BD47-AE5F-E7CD35B311B8}" name="weekly_visit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39F67-DA8C-714B-8408-A78CDEBA0AD6}" name="Table1" displayName="Table1" ref="A1:D21" totalsRowShown="0">
  <autoFilter ref="A1:D21" xr:uid="{EC139F67-DA8C-714B-8408-A78CDEBA0AD6}"/>
  <sortState xmlns:xlrd2="http://schemas.microsoft.com/office/spreadsheetml/2017/richdata2" ref="A2:D21">
    <sortCondition ref="B2:B21"/>
    <sortCondition ref="A2:A21"/>
  </sortState>
  <tableColumns count="4">
    <tableColumn id="2" xr3:uid="{FBCA67CA-48D0-054F-9B8C-B084A645081D}" name="urban_class"/>
    <tableColumn id="3" xr3:uid="{9E835094-5ABD-DB43-BA8E-FAC9166176F0}" name="brand_name"/>
    <tableColumn id="4" xr3:uid="{5836F81A-789B-E940-9BE5-7BE0AD89F11A}" name="total_visits"/>
    <tableColumn id="5" xr3:uid="{C4B1C0F0-3470-6F4C-83F9-2503E052395D}" name="avg_median_dwell_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0D3F-C49A-5D4E-BC83-644A9590CFE7}">
  <dimension ref="B1:H8"/>
  <sheetViews>
    <sheetView showGridLines="0" workbookViewId="0">
      <selection activeCell="K6" sqref="K6"/>
    </sheetView>
  </sheetViews>
  <sheetFormatPr baseColWidth="10" defaultColWidth="11" defaultRowHeight="16" x14ac:dyDescent="0.2"/>
  <cols>
    <col min="1" max="1" width="2.6640625" customWidth="1"/>
    <col min="2" max="2" width="18.33203125" bestFit="1" customWidth="1"/>
    <col min="3" max="3" width="12.6640625" customWidth="1"/>
    <col min="4" max="4" width="16.1640625" customWidth="1"/>
    <col min="5" max="5" width="25.83203125" customWidth="1"/>
    <col min="7" max="7" width="14.33203125" customWidth="1"/>
  </cols>
  <sheetData>
    <row r="1" spans="2:8" x14ac:dyDescent="0.2">
      <c r="B1" t="s">
        <v>1</v>
      </c>
      <c r="C1" t="s">
        <v>2</v>
      </c>
      <c r="D1" t="s">
        <v>3</v>
      </c>
      <c r="E1" t="s">
        <v>4</v>
      </c>
      <c r="G1" s="17" t="s">
        <v>1233</v>
      </c>
      <c r="H1" s="17" t="s">
        <v>1234</v>
      </c>
    </row>
    <row r="2" spans="2:8" x14ac:dyDescent="0.2">
      <c r="B2" t="s">
        <v>5</v>
      </c>
      <c r="C2">
        <v>1759141</v>
      </c>
      <c r="D2">
        <v>16.863477246207701</v>
      </c>
      <c r="E2">
        <v>17.59141</v>
      </c>
      <c r="G2" t="s">
        <v>5</v>
      </c>
      <c r="H2" s="21">
        <f>C2/SUM($C$2:$C$8)</f>
        <v>0.37850712317407542</v>
      </c>
    </row>
    <row r="3" spans="2:8" x14ac:dyDescent="0.2">
      <c r="B3" t="s">
        <v>6</v>
      </c>
      <c r="C3">
        <v>1618284</v>
      </c>
      <c r="D3">
        <v>17.547034764826101</v>
      </c>
      <c r="E3">
        <v>16.182839999999999</v>
      </c>
      <c r="G3" t="s">
        <v>6</v>
      </c>
      <c r="H3" s="21">
        <f t="shared" ref="H3:H8" si="0">C3/SUM($C$2:$C$8)</f>
        <v>0.34819950266558253</v>
      </c>
    </row>
    <row r="4" spans="2:8" x14ac:dyDescent="0.2">
      <c r="B4" t="s">
        <v>7</v>
      </c>
      <c r="C4">
        <v>795792</v>
      </c>
      <c r="D4">
        <v>16.8464861751151</v>
      </c>
      <c r="E4">
        <v>7.9579199999999997</v>
      </c>
      <c r="G4" t="s">
        <v>7</v>
      </c>
      <c r="H4" s="21">
        <f t="shared" si="0"/>
        <v>0.17122728682063793</v>
      </c>
    </row>
    <row r="5" spans="2:8" x14ac:dyDescent="0.2">
      <c r="B5" t="s">
        <v>8</v>
      </c>
      <c r="C5">
        <v>217547</v>
      </c>
      <c r="D5">
        <v>31.123629719853799</v>
      </c>
      <c r="E5">
        <v>2.1754699999999998</v>
      </c>
      <c r="G5" t="s">
        <v>8</v>
      </c>
      <c r="H5" s="21">
        <f t="shared" si="0"/>
        <v>4.6808691926997659E-2</v>
      </c>
    </row>
    <row r="6" spans="2:8" x14ac:dyDescent="0.2">
      <c r="B6" t="s">
        <v>9</v>
      </c>
      <c r="C6">
        <v>130175</v>
      </c>
      <c r="D6">
        <v>39.414040114613201</v>
      </c>
      <c r="E6">
        <v>1.30175</v>
      </c>
      <c r="G6" t="s">
        <v>9</v>
      </c>
      <c r="H6" s="21">
        <f t="shared" si="0"/>
        <v>2.8009218567008141E-2</v>
      </c>
    </row>
    <row r="7" spans="2:8" x14ac:dyDescent="0.2">
      <c r="B7" t="s">
        <v>10</v>
      </c>
      <c r="C7">
        <v>124499</v>
      </c>
      <c r="D7">
        <v>29.941747572815501</v>
      </c>
      <c r="E7">
        <v>1.24499</v>
      </c>
      <c r="G7" t="s">
        <v>10</v>
      </c>
      <c r="H7" s="21">
        <f t="shared" si="0"/>
        <v>2.6787937026110594E-2</v>
      </c>
    </row>
    <row r="8" spans="2:8" x14ac:dyDescent="0.2">
      <c r="B8" t="s">
        <v>11</v>
      </c>
      <c r="C8">
        <v>2139</v>
      </c>
      <c r="D8">
        <v>50.125</v>
      </c>
      <c r="E8">
        <v>2.1389999999999999E-2</v>
      </c>
      <c r="G8" t="s">
        <v>11</v>
      </c>
      <c r="H8" s="21">
        <f t="shared" si="0"/>
        <v>4.6023981958771202E-4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DCC9-8452-DE4E-BAE8-C0FD578892D9}">
  <dimension ref="A3:I23"/>
  <sheetViews>
    <sheetView showGridLines="0" tabSelected="1" workbookViewId="0">
      <selection activeCell="M21" sqref="M21"/>
    </sheetView>
  </sheetViews>
  <sheetFormatPr baseColWidth="10" defaultRowHeight="16" x14ac:dyDescent="0.2"/>
  <cols>
    <col min="1" max="1" width="18.33203125" bestFit="1" customWidth="1"/>
    <col min="2" max="2" width="16" bestFit="1" customWidth="1"/>
    <col min="3" max="3" width="11.6640625" bestFit="1" customWidth="1"/>
    <col min="4" max="4" width="9.6640625" bestFit="1" customWidth="1"/>
    <col min="5" max="5" width="12" bestFit="1" customWidth="1"/>
    <col min="6" max="6" width="7.83203125" bestFit="1" customWidth="1"/>
    <col min="7" max="7" width="10.5" bestFit="1" customWidth="1"/>
    <col min="8" max="8" width="8.1640625" bestFit="1" customWidth="1"/>
    <col min="9" max="9" width="10.5" bestFit="1" customWidth="1"/>
    <col min="10" max="10" width="14.1640625" bestFit="1" customWidth="1"/>
    <col min="11" max="11" width="11.6640625" bestFit="1" customWidth="1"/>
    <col min="12" max="12" width="9.6640625" bestFit="1" customWidth="1"/>
    <col min="13" max="13" width="12" bestFit="1" customWidth="1"/>
    <col min="14" max="14" width="7.83203125" bestFit="1" customWidth="1"/>
    <col min="15" max="15" width="10.5" bestFit="1" customWidth="1"/>
    <col min="16" max="16" width="7.33203125" bestFit="1" customWidth="1"/>
    <col min="17" max="17" width="9.83203125" bestFit="1" customWidth="1"/>
    <col min="18" max="18" width="14.1640625" bestFit="1" customWidth="1"/>
    <col min="19" max="19" width="11.6640625" bestFit="1" customWidth="1"/>
    <col min="20" max="20" width="9.6640625" bestFit="1" customWidth="1"/>
    <col min="21" max="21" width="12" bestFit="1" customWidth="1"/>
    <col min="22" max="22" width="7.83203125" bestFit="1" customWidth="1"/>
    <col min="23" max="23" width="10.5" bestFit="1" customWidth="1"/>
    <col min="24" max="24" width="7.33203125" bestFit="1" customWidth="1"/>
    <col min="25" max="25" width="9.83203125" bestFit="1" customWidth="1"/>
    <col min="26" max="26" width="14.1640625" bestFit="1" customWidth="1"/>
    <col min="27" max="27" width="11.6640625" bestFit="1" customWidth="1"/>
    <col min="28" max="28" width="9.6640625" bestFit="1" customWidth="1"/>
    <col min="29" max="29" width="12" bestFit="1" customWidth="1"/>
    <col min="30" max="30" width="7.83203125" bestFit="1" customWidth="1"/>
    <col min="31" max="31" width="10.5" bestFit="1" customWidth="1"/>
    <col min="32" max="32" width="7.33203125" bestFit="1" customWidth="1"/>
    <col min="33" max="33" width="9.83203125" bestFit="1" customWidth="1"/>
    <col min="34" max="34" width="14.1640625" bestFit="1" customWidth="1"/>
    <col min="35" max="35" width="11.6640625" bestFit="1" customWidth="1"/>
    <col min="36" max="36" width="9.6640625" bestFit="1" customWidth="1"/>
    <col min="37" max="37" width="12" bestFit="1" customWidth="1"/>
    <col min="38" max="38" width="7.83203125" bestFit="1" customWidth="1"/>
    <col min="39" max="39" width="10.5" bestFit="1" customWidth="1"/>
    <col min="40" max="40" width="7.33203125" bestFit="1" customWidth="1"/>
    <col min="41" max="41" width="9.83203125" bestFit="1" customWidth="1"/>
    <col min="42" max="42" width="14.1640625" bestFit="1" customWidth="1"/>
    <col min="43" max="43" width="11.6640625" bestFit="1" customWidth="1"/>
    <col min="44" max="44" width="9.6640625" bestFit="1" customWidth="1"/>
    <col min="45" max="45" width="12" bestFit="1" customWidth="1"/>
    <col min="46" max="46" width="7.83203125" bestFit="1" customWidth="1"/>
    <col min="47" max="47" width="10.5" bestFit="1" customWidth="1"/>
    <col min="48" max="48" width="7.33203125" bestFit="1" customWidth="1"/>
    <col min="49" max="49" width="9.83203125" bestFit="1" customWidth="1"/>
    <col min="50" max="50" width="14.1640625" bestFit="1" customWidth="1"/>
    <col min="51" max="51" width="11.6640625" bestFit="1" customWidth="1"/>
    <col min="52" max="52" width="9.6640625" bestFit="1" customWidth="1"/>
    <col min="53" max="53" width="12" bestFit="1" customWidth="1"/>
    <col min="54" max="54" width="7.83203125" bestFit="1" customWidth="1"/>
    <col min="55" max="55" width="10.5" bestFit="1" customWidth="1"/>
    <col min="56" max="56" width="7.33203125" bestFit="1" customWidth="1"/>
    <col min="57" max="57" width="9.83203125" bestFit="1" customWidth="1"/>
    <col min="58" max="58" width="14.1640625" bestFit="1" customWidth="1"/>
    <col min="59" max="59" width="11.6640625" bestFit="1" customWidth="1"/>
    <col min="60" max="60" width="9.6640625" bestFit="1" customWidth="1"/>
    <col min="61" max="61" width="12" bestFit="1" customWidth="1"/>
    <col min="62" max="62" width="7.83203125" bestFit="1" customWidth="1"/>
    <col min="63" max="63" width="10.5" bestFit="1" customWidth="1"/>
    <col min="64" max="64" width="7.33203125" bestFit="1" customWidth="1"/>
    <col min="65" max="65" width="9.83203125" bestFit="1" customWidth="1"/>
    <col min="66" max="66" width="14.1640625" bestFit="1" customWidth="1"/>
    <col min="67" max="67" width="11.6640625" bestFit="1" customWidth="1"/>
    <col min="68" max="68" width="9.6640625" bestFit="1" customWidth="1"/>
    <col min="69" max="69" width="12" bestFit="1" customWidth="1"/>
    <col min="70" max="70" width="7.83203125" bestFit="1" customWidth="1"/>
    <col min="71" max="71" width="10.5" bestFit="1" customWidth="1"/>
    <col min="72" max="72" width="7.33203125" bestFit="1" customWidth="1"/>
    <col min="73" max="73" width="9.83203125" bestFit="1" customWidth="1"/>
    <col min="74" max="74" width="14.1640625" bestFit="1" customWidth="1"/>
    <col min="75" max="75" width="11.6640625" bestFit="1" customWidth="1"/>
    <col min="76" max="76" width="9.6640625" bestFit="1" customWidth="1"/>
    <col min="77" max="77" width="12" bestFit="1" customWidth="1"/>
    <col min="78" max="78" width="7.83203125" bestFit="1" customWidth="1"/>
    <col min="79" max="79" width="10.5" bestFit="1" customWidth="1"/>
    <col min="80" max="80" width="7.33203125" bestFit="1" customWidth="1"/>
    <col min="81" max="81" width="9.83203125" bestFit="1" customWidth="1"/>
    <col min="82" max="82" width="14.1640625" bestFit="1" customWidth="1"/>
    <col min="83" max="83" width="11.6640625" bestFit="1" customWidth="1"/>
    <col min="84" max="84" width="9.6640625" bestFit="1" customWidth="1"/>
    <col min="85" max="85" width="12" bestFit="1" customWidth="1"/>
    <col min="86" max="86" width="7.83203125" bestFit="1" customWidth="1"/>
    <col min="87" max="87" width="10.5" bestFit="1" customWidth="1"/>
    <col min="88" max="88" width="7.33203125" bestFit="1" customWidth="1"/>
    <col min="89" max="89" width="9.83203125" bestFit="1" customWidth="1"/>
    <col min="90" max="90" width="14.1640625" bestFit="1" customWidth="1"/>
    <col min="91" max="91" width="11.6640625" bestFit="1" customWidth="1"/>
    <col min="92" max="92" width="9.6640625" bestFit="1" customWidth="1"/>
    <col min="93" max="93" width="12" bestFit="1" customWidth="1"/>
    <col min="94" max="94" width="7.83203125" bestFit="1" customWidth="1"/>
    <col min="95" max="95" width="10.5" bestFit="1" customWidth="1"/>
    <col min="96" max="96" width="7.33203125" bestFit="1" customWidth="1"/>
    <col min="97" max="97" width="9.83203125" bestFit="1" customWidth="1"/>
    <col min="98" max="98" width="14.1640625" bestFit="1" customWidth="1"/>
    <col min="99" max="99" width="11.6640625" bestFit="1" customWidth="1"/>
    <col min="100" max="100" width="9.6640625" bestFit="1" customWidth="1"/>
    <col min="101" max="101" width="12" bestFit="1" customWidth="1"/>
    <col min="102" max="102" width="7.83203125" bestFit="1" customWidth="1"/>
    <col min="103" max="103" width="10.5" bestFit="1" customWidth="1"/>
    <col min="104" max="104" width="7.33203125" bestFit="1" customWidth="1"/>
    <col min="105" max="105" width="9.83203125" bestFit="1" customWidth="1"/>
    <col min="106" max="106" width="14.1640625" bestFit="1" customWidth="1"/>
    <col min="107" max="107" width="11.6640625" bestFit="1" customWidth="1"/>
    <col min="108" max="108" width="9.6640625" bestFit="1" customWidth="1"/>
    <col min="109" max="109" width="12" bestFit="1" customWidth="1"/>
    <col min="110" max="110" width="7.83203125" bestFit="1" customWidth="1"/>
    <col min="111" max="111" width="10.5" bestFit="1" customWidth="1"/>
    <col min="112" max="112" width="7.33203125" bestFit="1" customWidth="1"/>
    <col min="113" max="113" width="9.83203125" bestFit="1" customWidth="1"/>
    <col min="114" max="114" width="14.1640625" bestFit="1" customWidth="1"/>
    <col min="115" max="115" width="11.6640625" bestFit="1" customWidth="1"/>
    <col min="116" max="116" width="9.6640625" bestFit="1" customWidth="1"/>
    <col min="117" max="117" width="12" bestFit="1" customWidth="1"/>
    <col min="118" max="118" width="7.83203125" bestFit="1" customWidth="1"/>
    <col min="119" max="119" width="10.5" bestFit="1" customWidth="1"/>
    <col min="120" max="120" width="7.33203125" bestFit="1" customWidth="1"/>
    <col min="121" max="121" width="9.83203125" bestFit="1" customWidth="1"/>
    <col min="122" max="122" width="14.1640625" bestFit="1" customWidth="1"/>
    <col min="123" max="123" width="11.6640625" bestFit="1" customWidth="1"/>
    <col min="124" max="124" width="9.6640625" bestFit="1" customWidth="1"/>
    <col min="125" max="125" width="12" bestFit="1" customWidth="1"/>
    <col min="126" max="126" width="7.83203125" bestFit="1" customWidth="1"/>
    <col min="127" max="127" width="10.5" bestFit="1" customWidth="1"/>
    <col min="128" max="128" width="7.33203125" bestFit="1" customWidth="1"/>
    <col min="129" max="129" width="9.83203125" bestFit="1" customWidth="1"/>
    <col min="130" max="130" width="14.1640625" bestFit="1" customWidth="1"/>
    <col min="131" max="131" width="11.6640625" bestFit="1" customWidth="1"/>
    <col min="132" max="132" width="9.6640625" bestFit="1" customWidth="1"/>
    <col min="133" max="133" width="12" bestFit="1" customWidth="1"/>
    <col min="134" max="134" width="7.83203125" bestFit="1" customWidth="1"/>
    <col min="135" max="135" width="10.5" bestFit="1" customWidth="1"/>
    <col min="136" max="136" width="7.33203125" bestFit="1" customWidth="1"/>
    <col min="137" max="137" width="9.83203125" bestFit="1" customWidth="1"/>
    <col min="138" max="138" width="14.1640625" bestFit="1" customWidth="1"/>
    <col min="139" max="139" width="11.6640625" bestFit="1" customWidth="1"/>
    <col min="140" max="140" width="9.6640625" bestFit="1" customWidth="1"/>
    <col min="141" max="141" width="12" bestFit="1" customWidth="1"/>
    <col min="142" max="142" width="7.83203125" bestFit="1" customWidth="1"/>
    <col min="143" max="143" width="10.5" bestFit="1" customWidth="1"/>
    <col min="144" max="144" width="7.33203125" bestFit="1" customWidth="1"/>
    <col min="145" max="145" width="9.83203125" bestFit="1" customWidth="1"/>
    <col min="146" max="146" width="10.5" bestFit="1" customWidth="1"/>
  </cols>
  <sheetData>
    <row r="3" spans="1:9" x14ac:dyDescent="0.2">
      <c r="A3" s="2" t="s">
        <v>16</v>
      </c>
      <c r="B3" s="2" t="s">
        <v>17</v>
      </c>
    </row>
    <row r="4" spans="1:9" x14ac:dyDescent="0.2">
      <c r="A4" s="2" t="s">
        <v>19</v>
      </c>
      <c r="B4" t="s">
        <v>8</v>
      </c>
      <c r="C4" t="s">
        <v>6</v>
      </c>
      <c r="D4" t="s">
        <v>7</v>
      </c>
      <c r="E4" t="s">
        <v>10</v>
      </c>
      <c r="F4" t="s">
        <v>9</v>
      </c>
      <c r="G4" t="s">
        <v>11</v>
      </c>
      <c r="H4" t="s">
        <v>5</v>
      </c>
      <c r="I4" t="s">
        <v>20</v>
      </c>
    </row>
    <row r="5" spans="1:9" x14ac:dyDescent="0.2">
      <c r="A5" s="3" t="s">
        <v>15</v>
      </c>
      <c r="B5">
        <v>10045</v>
      </c>
      <c r="C5">
        <v>88525</v>
      </c>
      <c r="D5">
        <v>45223</v>
      </c>
      <c r="E5">
        <v>10386</v>
      </c>
      <c r="F5">
        <v>9145</v>
      </c>
      <c r="G5">
        <v>159</v>
      </c>
      <c r="H5">
        <v>98639</v>
      </c>
      <c r="I5">
        <v>262122</v>
      </c>
    </row>
    <row r="6" spans="1:9" x14ac:dyDescent="0.2">
      <c r="A6" s="3" t="s">
        <v>18</v>
      </c>
      <c r="B6">
        <v>15829</v>
      </c>
      <c r="C6">
        <v>137625</v>
      </c>
      <c r="D6">
        <v>64867</v>
      </c>
      <c r="E6">
        <v>12489</v>
      </c>
      <c r="F6">
        <v>14187</v>
      </c>
      <c r="G6">
        <v>219</v>
      </c>
      <c r="H6">
        <v>145277</v>
      </c>
      <c r="I6">
        <v>390493</v>
      </c>
    </row>
    <row r="7" spans="1:9" x14ac:dyDescent="0.2">
      <c r="A7" s="3" t="s">
        <v>21</v>
      </c>
      <c r="B7">
        <v>16923</v>
      </c>
      <c r="C7">
        <v>127302</v>
      </c>
      <c r="D7">
        <v>60438</v>
      </c>
      <c r="E7">
        <v>11264</v>
      </c>
      <c r="F7">
        <v>15126</v>
      </c>
      <c r="G7">
        <v>186</v>
      </c>
      <c r="H7">
        <v>133421</v>
      </c>
      <c r="I7">
        <v>364660</v>
      </c>
    </row>
    <row r="8" spans="1:9" x14ac:dyDescent="0.2">
      <c r="A8" s="3" t="s">
        <v>22</v>
      </c>
      <c r="B8">
        <v>16715</v>
      </c>
      <c r="C8">
        <v>122799</v>
      </c>
      <c r="D8">
        <v>59669</v>
      </c>
      <c r="E8">
        <v>10938</v>
      </c>
      <c r="F8">
        <v>11680</v>
      </c>
      <c r="G8">
        <v>193</v>
      </c>
      <c r="H8">
        <v>133421</v>
      </c>
      <c r="I8">
        <v>355415</v>
      </c>
    </row>
    <row r="9" spans="1:9" x14ac:dyDescent="0.2">
      <c r="A9" s="3" t="s">
        <v>23</v>
      </c>
      <c r="B9">
        <v>17319</v>
      </c>
      <c r="C9">
        <v>120393</v>
      </c>
      <c r="D9">
        <v>58903</v>
      </c>
      <c r="E9">
        <v>10243</v>
      </c>
      <c r="F9">
        <v>10608</v>
      </c>
      <c r="G9">
        <v>165</v>
      </c>
      <c r="H9">
        <v>130879</v>
      </c>
      <c r="I9">
        <v>348510</v>
      </c>
    </row>
    <row r="10" spans="1:9" x14ac:dyDescent="0.2">
      <c r="A10" s="3" t="s">
        <v>24</v>
      </c>
      <c r="B10">
        <v>16348</v>
      </c>
      <c r="C10">
        <v>108226</v>
      </c>
      <c r="D10">
        <v>52893</v>
      </c>
      <c r="E10">
        <v>10244</v>
      </c>
      <c r="F10">
        <v>10223</v>
      </c>
      <c r="G10">
        <v>165</v>
      </c>
      <c r="H10">
        <v>116420</v>
      </c>
      <c r="I10">
        <v>314519</v>
      </c>
    </row>
    <row r="11" spans="1:9" x14ac:dyDescent="0.2">
      <c r="A11" s="3" t="s">
        <v>25</v>
      </c>
      <c r="B11">
        <v>17267</v>
      </c>
      <c r="C11">
        <v>107635</v>
      </c>
      <c r="D11">
        <v>52919</v>
      </c>
      <c r="E11">
        <v>11349</v>
      </c>
      <c r="F11">
        <v>10789</v>
      </c>
      <c r="G11">
        <v>179</v>
      </c>
      <c r="H11">
        <v>113362</v>
      </c>
      <c r="I11">
        <v>313500</v>
      </c>
    </row>
    <row r="12" spans="1:9" x14ac:dyDescent="0.2">
      <c r="A12" s="3" t="s">
        <v>26</v>
      </c>
      <c r="B12">
        <v>15339</v>
      </c>
      <c r="C12">
        <v>106101</v>
      </c>
      <c r="D12">
        <v>52508</v>
      </c>
      <c r="E12">
        <v>10546</v>
      </c>
      <c r="F12">
        <v>10423</v>
      </c>
      <c r="G12">
        <v>162</v>
      </c>
      <c r="H12">
        <v>114201</v>
      </c>
      <c r="I12">
        <v>309280</v>
      </c>
    </row>
    <row r="13" spans="1:9" x14ac:dyDescent="0.2">
      <c r="A13" s="3" t="s">
        <v>27</v>
      </c>
      <c r="B13">
        <v>14285</v>
      </c>
      <c r="C13">
        <v>111638</v>
      </c>
      <c r="D13">
        <v>55379</v>
      </c>
      <c r="E13">
        <v>10260</v>
      </c>
      <c r="F13">
        <v>9703</v>
      </c>
      <c r="G13">
        <v>169</v>
      </c>
      <c r="H13">
        <v>118652</v>
      </c>
      <c r="I13">
        <v>320086</v>
      </c>
    </row>
    <row r="14" spans="1:9" x14ac:dyDescent="0.2">
      <c r="A14" s="3" t="s">
        <v>28</v>
      </c>
      <c r="B14">
        <v>18981</v>
      </c>
      <c r="C14">
        <v>106349</v>
      </c>
      <c r="D14">
        <v>59389</v>
      </c>
      <c r="E14">
        <v>9872</v>
      </c>
      <c r="F14">
        <v>10471</v>
      </c>
      <c r="G14">
        <v>162</v>
      </c>
      <c r="H14">
        <v>123411</v>
      </c>
      <c r="I14">
        <v>328635</v>
      </c>
    </row>
    <row r="15" spans="1:9" x14ac:dyDescent="0.2">
      <c r="A15" s="3" t="s">
        <v>29</v>
      </c>
      <c r="B15">
        <v>14159</v>
      </c>
      <c r="C15">
        <v>104167</v>
      </c>
      <c r="D15">
        <v>52653</v>
      </c>
      <c r="E15">
        <v>8069</v>
      </c>
      <c r="F15">
        <v>8029</v>
      </c>
      <c r="G15">
        <v>128</v>
      </c>
      <c r="H15">
        <v>115674</v>
      </c>
      <c r="I15">
        <v>302879</v>
      </c>
    </row>
    <row r="16" spans="1:9" x14ac:dyDescent="0.2">
      <c r="A16" s="3" t="s">
        <v>30</v>
      </c>
      <c r="B16">
        <v>9376</v>
      </c>
      <c r="C16">
        <v>74510</v>
      </c>
      <c r="D16">
        <v>36008</v>
      </c>
      <c r="E16">
        <v>2044</v>
      </c>
      <c r="F16">
        <v>2655</v>
      </c>
      <c r="G16">
        <v>61</v>
      </c>
      <c r="H16">
        <v>76755</v>
      </c>
      <c r="I16">
        <v>201409</v>
      </c>
    </row>
    <row r="17" spans="1:9" x14ac:dyDescent="0.2">
      <c r="A17" s="3" t="s">
        <v>31</v>
      </c>
      <c r="B17">
        <v>6902</v>
      </c>
      <c r="C17">
        <v>54469</v>
      </c>
      <c r="D17">
        <v>25589</v>
      </c>
      <c r="E17">
        <v>1307</v>
      </c>
      <c r="F17">
        <v>1397</v>
      </c>
      <c r="G17">
        <v>28</v>
      </c>
      <c r="H17">
        <v>50221</v>
      </c>
      <c r="I17">
        <v>139913</v>
      </c>
    </row>
    <row r="18" spans="1:9" x14ac:dyDescent="0.2">
      <c r="A18" s="3" t="s">
        <v>32</v>
      </c>
      <c r="B18">
        <v>6307</v>
      </c>
      <c r="C18">
        <v>54841</v>
      </c>
      <c r="D18">
        <v>26915</v>
      </c>
      <c r="E18">
        <v>1216</v>
      </c>
      <c r="F18">
        <v>1338</v>
      </c>
      <c r="G18">
        <v>35</v>
      </c>
      <c r="H18">
        <v>53861</v>
      </c>
      <c r="I18">
        <v>144513</v>
      </c>
    </row>
    <row r="19" spans="1:9" x14ac:dyDescent="0.2">
      <c r="A19" s="3" t="s">
        <v>33</v>
      </c>
      <c r="B19">
        <v>5381</v>
      </c>
      <c r="C19">
        <v>47126</v>
      </c>
      <c r="D19">
        <v>22614</v>
      </c>
      <c r="E19">
        <v>1175</v>
      </c>
      <c r="F19">
        <v>1185</v>
      </c>
      <c r="G19">
        <v>25</v>
      </c>
      <c r="H19">
        <v>46907</v>
      </c>
      <c r="I19">
        <v>124413</v>
      </c>
    </row>
    <row r="20" spans="1:9" x14ac:dyDescent="0.2">
      <c r="A20" s="3" t="s">
        <v>34</v>
      </c>
      <c r="B20">
        <v>5727</v>
      </c>
      <c r="C20">
        <v>53865</v>
      </c>
      <c r="D20">
        <v>25876</v>
      </c>
      <c r="E20">
        <v>1140</v>
      </c>
      <c r="F20">
        <v>1120</v>
      </c>
      <c r="G20">
        <v>43</v>
      </c>
      <c r="H20">
        <v>52387</v>
      </c>
      <c r="I20">
        <v>140158</v>
      </c>
    </row>
    <row r="21" spans="1:9" x14ac:dyDescent="0.2">
      <c r="A21" s="3" t="s">
        <v>35</v>
      </c>
      <c r="B21">
        <v>6507</v>
      </c>
      <c r="C21">
        <v>57328</v>
      </c>
      <c r="D21">
        <v>27311</v>
      </c>
      <c r="E21">
        <v>1218</v>
      </c>
      <c r="F21">
        <v>1302</v>
      </c>
      <c r="G21">
        <v>41</v>
      </c>
      <c r="H21">
        <v>98370</v>
      </c>
      <c r="I21">
        <v>192077</v>
      </c>
    </row>
    <row r="22" spans="1:9" x14ac:dyDescent="0.2">
      <c r="A22" s="3" t="s">
        <v>36</v>
      </c>
      <c r="B22">
        <v>4137</v>
      </c>
      <c r="C22">
        <v>35374</v>
      </c>
      <c r="D22">
        <v>16599</v>
      </c>
      <c r="E22">
        <v>739</v>
      </c>
      <c r="F22">
        <v>794</v>
      </c>
      <c r="G22">
        <v>19</v>
      </c>
      <c r="H22">
        <v>37283</v>
      </c>
      <c r="I22">
        <v>94945</v>
      </c>
    </row>
    <row r="23" spans="1:9" x14ac:dyDescent="0.2">
      <c r="A23" s="3" t="s">
        <v>20</v>
      </c>
      <c r="B23">
        <v>217547</v>
      </c>
      <c r="C23">
        <v>1618273</v>
      </c>
      <c r="D23">
        <v>795753</v>
      </c>
      <c r="E23">
        <v>124499</v>
      </c>
      <c r="F23">
        <v>130175</v>
      </c>
      <c r="G23">
        <v>2139</v>
      </c>
      <c r="H23">
        <v>1759141</v>
      </c>
      <c r="I23">
        <v>4647527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7F09-99EE-5044-AA9C-1F630529F7D7}">
  <dimension ref="A1:O127"/>
  <sheetViews>
    <sheetView showGridLines="0" zoomScale="90" zoomScaleNormal="130" workbookViewId="0">
      <selection activeCell="C2" sqref="C2"/>
    </sheetView>
  </sheetViews>
  <sheetFormatPr baseColWidth="10" defaultColWidth="11" defaultRowHeight="16" x14ac:dyDescent="0.2"/>
  <cols>
    <col min="2" max="2" width="14" bestFit="1" customWidth="1"/>
    <col min="3" max="3" width="12.5" customWidth="1"/>
    <col min="4" max="4" width="14.83203125" customWidth="1"/>
    <col min="5" max="5" width="14.33203125" customWidth="1"/>
    <col min="7" max="7" width="18.33203125" bestFit="1" customWidth="1"/>
    <col min="8" max="8" width="16" bestFit="1" customWidth="1"/>
    <col min="9" max="9" width="11.6640625" bestFit="1" customWidth="1"/>
    <col min="10" max="10" width="9.6640625" bestFit="1" customWidth="1"/>
    <col min="11" max="11" width="12" bestFit="1" customWidth="1"/>
    <col min="12" max="12" width="7.83203125" bestFit="1" customWidth="1"/>
    <col min="13" max="13" width="10.5" bestFit="1" customWidth="1"/>
    <col min="14" max="14" width="8.1640625" bestFit="1" customWidth="1"/>
    <col min="15" max="15" width="10.5" bestFit="1" customWidth="1"/>
    <col min="16" max="17" width="5.1640625" bestFit="1" customWidth="1"/>
    <col min="18" max="25" width="6.1640625" bestFit="1" customWidth="1"/>
    <col min="26" max="26" width="18.6640625" bestFit="1" customWidth="1"/>
    <col min="27" max="27" width="13.33203125" bestFit="1" customWidth="1"/>
    <col min="28" max="29" width="7.1640625" bestFit="1" customWidth="1"/>
    <col min="30" max="36" width="6.1640625" bestFit="1" customWidth="1"/>
    <col min="37" max="44" width="7.1640625" bestFit="1" customWidth="1"/>
    <col min="45" max="45" width="16" bestFit="1" customWidth="1"/>
    <col min="46" max="46" width="11.33203125" bestFit="1" customWidth="1"/>
    <col min="47" max="63" width="6.1640625" bestFit="1" customWidth="1"/>
    <col min="64" max="64" width="14" bestFit="1" customWidth="1"/>
    <col min="65" max="65" width="13.6640625" bestFit="1" customWidth="1"/>
    <col min="66" max="74" width="5.1640625" bestFit="1" customWidth="1"/>
    <col min="75" max="82" width="6.1640625" bestFit="1" customWidth="1"/>
    <col min="83" max="83" width="16.5" bestFit="1" customWidth="1"/>
    <col min="84" max="84" width="9.5" bestFit="1" customWidth="1"/>
    <col min="85" max="85" width="6.1640625" bestFit="1" customWidth="1"/>
    <col min="86" max="93" width="5.1640625" bestFit="1" customWidth="1"/>
    <col min="94" max="100" width="6.1640625" bestFit="1" customWidth="1"/>
    <col min="101" max="101" width="5.1640625" bestFit="1" customWidth="1"/>
    <col min="102" max="103" width="12.1640625" bestFit="1" customWidth="1"/>
    <col min="104" max="112" width="5.1640625" bestFit="1" customWidth="1"/>
    <col min="113" max="120" width="4.1640625" bestFit="1" customWidth="1"/>
    <col min="121" max="121" width="14.83203125" bestFit="1" customWidth="1"/>
    <col min="122" max="122" width="9" bestFit="1" customWidth="1"/>
    <col min="123" max="124" width="7.1640625" bestFit="1" customWidth="1"/>
    <col min="125" max="131" width="6.1640625" bestFit="1" customWidth="1"/>
    <col min="132" max="139" width="7.1640625" bestFit="1" customWidth="1"/>
    <col min="140" max="140" width="11.6640625" bestFit="1" customWidth="1"/>
    <col min="141" max="141" width="10.5" bestFit="1" customWidth="1"/>
  </cols>
  <sheetData>
    <row r="1" spans="1:15" x14ac:dyDescent="0.2">
      <c r="A1" t="s">
        <v>0</v>
      </c>
      <c r="B1" t="s">
        <v>1</v>
      </c>
      <c r="C1" t="s">
        <v>12</v>
      </c>
      <c r="D1" t="s">
        <v>13</v>
      </c>
      <c r="E1" t="s">
        <v>14</v>
      </c>
    </row>
    <row r="2" spans="1:15" x14ac:dyDescent="0.2">
      <c r="A2">
        <v>1</v>
      </c>
      <c r="B2" t="s">
        <v>8</v>
      </c>
      <c r="C2" s="1">
        <v>43829</v>
      </c>
      <c r="D2" t="s">
        <v>15</v>
      </c>
      <c r="E2">
        <v>10045</v>
      </c>
      <c r="G2" s="2" t="s">
        <v>16</v>
      </c>
      <c r="H2" s="2" t="s">
        <v>17</v>
      </c>
    </row>
    <row r="3" spans="1:15" x14ac:dyDescent="0.2">
      <c r="A3">
        <v>2</v>
      </c>
      <c r="B3" t="s">
        <v>8</v>
      </c>
      <c r="C3" s="1">
        <v>43836</v>
      </c>
      <c r="D3" t="s">
        <v>18</v>
      </c>
      <c r="E3">
        <v>15829</v>
      </c>
      <c r="G3" s="2" t="s">
        <v>19</v>
      </c>
      <c r="H3" t="s">
        <v>8</v>
      </c>
      <c r="I3" t="s">
        <v>6</v>
      </c>
      <c r="J3" t="s">
        <v>7</v>
      </c>
      <c r="K3" t="s">
        <v>10</v>
      </c>
      <c r="L3" t="s">
        <v>9</v>
      </c>
      <c r="M3" t="s">
        <v>11</v>
      </c>
      <c r="N3" t="s">
        <v>5</v>
      </c>
      <c r="O3" t="s">
        <v>20</v>
      </c>
    </row>
    <row r="4" spans="1:15" x14ac:dyDescent="0.2">
      <c r="A4">
        <v>3</v>
      </c>
      <c r="B4" t="s">
        <v>8</v>
      </c>
      <c r="C4" s="1">
        <v>43843</v>
      </c>
      <c r="D4" t="s">
        <v>21</v>
      </c>
      <c r="E4">
        <v>16923</v>
      </c>
      <c r="G4" s="3" t="s">
        <v>15</v>
      </c>
      <c r="H4">
        <v>10045</v>
      </c>
      <c r="I4">
        <v>88525</v>
      </c>
      <c r="J4">
        <v>45223</v>
      </c>
      <c r="K4">
        <v>10386</v>
      </c>
      <c r="L4">
        <v>9145</v>
      </c>
      <c r="M4">
        <v>159</v>
      </c>
      <c r="N4">
        <v>98639</v>
      </c>
      <c r="O4">
        <v>262122</v>
      </c>
    </row>
    <row r="5" spans="1:15" x14ac:dyDescent="0.2">
      <c r="A5">
        <v>4</v>
      </c>
      <c r="B5" t="s">
        <v>8</v>
      </c>
      <c r="C5" s="1">
        <v>43850</v>
      </c>
      <c r="D5" t="s">
        <v>22</v>
      </c>
      <c r="E5">
        <v>16715</v>
      </c>
      <c r="G5" s="3" t="s">
        <v>18</v>
      </c>
      <c r="H5">
        <v>15829</v>
      </c>
      <c r="I5">
        <v>137625</v>
      </c>
      <c r="J5">
        <v>64867</v>
      </c>
      <c r="K5">
        <v>12489</v>
      </c>
      <c r="L5">
        <v>14187</v>
      </c>
      <c r="M5">
        <v>219</v>
      </c>
      <c r="N5">
        <v>145277</v>
      </c>
      <c r="O5">
        <v>390493</v>
      </c>
    </row>
    <row r="6" spans="1:15" x14ac:dyDescent="0.2">
      <c r="A6">
        <v>5</v>
      </c>
      <c r="B6" t="s">
        <v>8</v>
      </c>
      <c r="C6" s="1">
        <v>43857</v>
      </c>
      <c r="D6" t="s">
        <v>23</v>
      </c>
      <c r="E6">
        <v>17319</v>
      </c>
      <c r="G6" s="3" t="s">
        <v>21</v>
      </c>
      <c r="H6">
        <v>16923</v>
      </c>
      <c r="I6">
        <v>127302</v>
      </c>
      <c r="J6">
        <v>60438</v>
      </c>
      <c r="K6">
        <v>11264</v>
      </c>
      <c r="L6">
        <v>15126</v>
      </c>
      <c r="M6">
        <v>186</v>
      </c>
      <c r="N6">
        <v>133421</v>
      </c>
      <c r="O6">
        <v>364660</v>
      </c>
    </row>
    <row r="7" spans="1:15" x14ac:dyDescent="0.2">
      <c r="A7">
        <v>6</v>
      </c>
      <c r="B7" t="s">
        <v>8</v>
      </c>
      <c r="C7" s="1">
        <v>43864</v>
      </c>
      <c r="D7" t="s">
        <v>24</v>
      </c>
      <c r="E7">
        <v>16348</v>
      </c>
      <c r="G7" s="3" t="s">
        <v>22</v>
      </c>
      <c r="H7">
        <v>16715</v>
      </c>
      <c r="I7">
        <v>122799</v>
      </c>
      <c r="J7">
        <v>59669</v>
      </c>
      <c r="K7">
        <v>10938</v>
      </c>
      <c r="L7">
        <v>11680</v>
      </c>
      <c r="M7">
        <v>193</v>
      </c>
      <c r="N7">
        <v>133421</v>
      </c>
      <c r="O7">
        <v>355415</v>
      </c>
    </row>
    <row r="8" spans="1:15" x14ac:dyDescent="0.2">
      <c r="A8">
        <v>7</v>
      </c>
      <c r="B8" t="s">
        <v>8</v>
      </c>
      <c r="C8" s="1">
        <v>43871</v>
      </c>
      <c r="D8" t="s">
        <v>25</v>
      </c>
      <c r="E8">
        <v>17267</v>
      </c>
      <c r="G8" s="3" t="s">
        <v>23</v>
      </c>
      <c r="H8">
        <v>17319</v>
      </c>
      <c r="I8">
        <v>120393</v>
      </c>
      <c r="J8">
        <v>58903</v>
      </c>
      <c r="K8">
        <v>10243</v>
      </c>
      <c r="L8">
        <v>10608</v>
      </c>
      <c r="M8">
        <v>165</v>
      </c>
      <c r="N8">
        <v>130879</v>
      </c>
      <c r="O8">
        <v>348510</v>
      </c>
    </row>
    <row r="9" spans="1:15" x14ac:dyDescent="0.2">
      <c r="A9">
        <v>8</v>
      </c>
      <c r="B9" t="s">
        <v>8</v>
      </c>
      <c r="C9" s="1">
        <v>43878</v>
      </c>
      <c r="D9" t="s">
        <v>26</v>
      </c>
      <c r="E9">
        <v>15339</v>
      </c>
      <c r="G9" s="3" t="s">
        <v>24</v>
      </c>
      <c r="H9">
        <v>16348</v>
      </c>
      <c r="I9">
        <v>108226</v>
      </c>
      <c r="J9">
        <v>52893</v>
      </c>
      <c r="K9">
        <v>10244</v>
      </c>
      <c r="L9">
        <v>10223</v>
      </c>
      <c r="M9">
        <v>165</v>
      </c>
      <c r="N9">
        <v>116420</v>
      </c>
      <c r="O9">
        <v>314519</v>
      </c>
    </row>
    <row r="10" spans="1:15" x14ac:dyDescent="0.2">
      <c r="A10">
        <v>9</v>
      </c>
      <c r="B10" t="s">
        <v>8</v>
      </c>
      <c r="C10" s="1">
        <v>43885</v>
      </c>
      <c r="D10" t="s">
        <v>27</v>
      </c>
      <c r="E10">
        <v>14285</v>
      </c>
      <c r="G10" s="3" t="s">
        <v>25</v>
      </c>
      <c r="H10">
        <v>17267</v>
      </c>
      <c r="I10">
        <v>107635</v>
      </c>
      <c r="J10">
        <v>52919</v>
      </c>
      <c r="K10">
        <v>11349</v>
      </c>
      <c r="L10">
        <v>10789</v>
      </c>
      <c r="M10">
        <v>179</v>
      </c>
      <c r="N10">
        <v>113362</v>
      </c>
      <c r="O10">
        <v>313500</v>
      </c>
    </row>
    <row r="11" spans="1:15" x14ac:dyDescent="0.2">
      <c r="A11">
        <v>10</v>
      </c>
      <c r="B11" t="s">
        <v>8</v>
      </c>
      <c r="C11" s="1">
        <v>43892</v>
      </c>
      <c r="D11" t="s">
        <v>28</v>
      </c>
      <c r="E11">
        <v>18981</v>
      </c>
      <c r="G11" s="3" t="s">
        <v>26</v>
      </c>
      <c r="H11">
        <v>15339</v>
      </c>
      <c r="I11">
        <v>106101</v>
      </c>
      <c r="J11">
        <v>52508</v>
      </c>
      <c r="K11">
        <v>10546</v>
      </c>
      <c r="L11">
        <v>10423</v>
      </c>
      <c r="M11">
        <v>162</v>
      </c>
      <c r="N11">
        <v>114201</v>
      </c>
      <c r="O11">
        <v>309280</v>
      </c>
    </row>
    <row r="12" spans="1:15" x14ac:dyDescent="0.2">
      <c r="A12">
        <v>11</v>
      </c>
      <c r="B12" t="s">
        <v>8</v>
      </c>
      <c r="C12" s="1">
        <v>43899</v>
      </c>
      <c r="D12" t="s">
        <v>29</v>
      </c>
      <c r="E12">
        <v>14159</v>
      </c>
      <c r="G12" s="3" t="s">
        <v>27</v>
      </c>
      <c r="H12">
        <v>14285</v>
      </c>
      <c r="I12">
        <v>111638</v>
      </c>
      <c r="J12">
        <v>55379</v>
      </c>
      <c r="K12">
        <v>10260</v>
      </c>
      <c r="L12">
        <v>9703</v>
      </c>
      <c r="M12">
        <v>169</v>
      </c>
      <c r="N12">
        <v>118652</v>
      </c>
      <c r="O12">
        <v>320086</v>
      </c>
    </row>
    <row r="13" spans="1:15" x14ac:dyDescent="0.2">
      <c r="A13">
        <v>12</v>
      </c>
      <c r="B13" t="s">
        <v>8</v>
      </c>
      <c r="C13" s="1">
        <v>43906</v>
      </c>
      <c r="D13" t="s">
        <v>30</v>
      </c>
      <c r="E13">
        <v>9376</v>
      </c>
      <c r="G13" s="3" t="s">
        <v>28</v>
      </c>
      <c r="H13">
        <v>18981</v>
      </c>
      <c r="I13">
        <v>106349</v>
      </c>
      <c r="J13">
        <v>59389</v>
      </c>
      <c r="K13">
        <v>9872</v>
      </c>
      <c r="L13">
        <v>10471</v>
      </c>
      <c r="M13">
        <v>162</v>
      </c>
      <c r="N13">
        <v>123411</v>
      </c>
      <c r="O13">
        <v>328635</v>
      </c>
    </row>
    <row r="14" spans="1:15" x14ac:dyDescent="0.2">
      <c r="A14">
        <v>13</v>
      </c>
      <c r="B14" t="s">
        <v>8</v>
      </c>
      <c r="C14" s="1">
        <v>43913</v>
      </c>
      <c r="D14" t="s">
        <v>31</v>
      </c>
      <c r="E14">
        <v>6902</v>
      </c>
      <c r="G14" s="3" t="s">
        <v>29</v>
      </c>
      <c r="H14">
        <v>14159</v>
      </c>
      <c r="I14">
        <v>104167</v>
      </c>
      <c r="J14">
        <v>52653</v>
      </c>
      <c r="K14">
        <v>8069</v>
      </c>
      <c r="L14">
        <v>8029</v>
      </c>
      <c r="M14">
        <v>128</v>
      </c>
      <c r="N14">
        <v>115674</v>
      </c>
      <c r="O14">
        <v>302879</v>
      </c>
    </row>
    <row r="15" spans="1:15" x14ac:dyDescent="0.2">
      <c r="A15">
        <v>14</v>
      </c>
      <c r="B15" t="s">
        <v>8</v>
      </c>
      <c r="C15" s="1">
        <v>43920</v>
      </c>
      <c r="D15" t="s">
        <v>32</v>
      </c>
      <c r="E15">
        <v>6307</v>
      </c>
      <c r="G15" s="3" t="s">
        <v>30</v>
      </c>
      <c r="H15">
        <v>9376</v>
      </c>
      <c r="I15">
        <v>74510</v>
      </c>
      <c r="J15">
        <v>36008</v>
      </c>
      <c r="K15">
        <v>2044</v>
      </c>
      <c r="L15">
        <v>2655</v>
      </c>
      <c r="M15">
        <v>61</v>
      </c>
      <c r="N15">
        <v>76755</v>
      </c>
      <c r="O15">
        <v>201409</v>
      </c>
    </row>
    <row r="16" spans="1:15" x14ac:dyDescent="0.2">
      <c r="A16">
        <v>15</v>
      </c>
      <c r="B16" t="s">
        <v>8</v>
      </c>
      <c r="C16" s="1">
        <v>43927</v>
      </c>
      <c r="D16" t="s">
        <v>33</v>
      </c>
      <c r="E16">
        <v>5381</v>
      </c>
      <c r="G16" s="3" t="s">
        <v>31</v>
      </c>
      <c r="H16">
        <v>6902</v>
      </c>
      <c r="I16">
        <v>54469</v>
      </c>
      <c r="J16">
        <v>25589</v>
      </c>
      <c r="K16">
        <v>1307</v>
      </c>
      <c r="L16">
        <v>1397</v>
      </c>
      <c r="M16">
        <v>28</v>
      </c>
      <c r="N16">
        <v>50221</v>
      </c>
      <c r="O16">
        <v>139913</v>
      </c>
    </row>
    <row r="17" spans="1:15" x14ac:dyDescent="0.2">
      <c r="A17">
        <v>16</v>
      </c>
      <c r="B17" t="s">
        <v>8</v>
      </c>
      <c r="C17" s="1">
        <v>43934</v>
      </c>
      <c r="D17" t="s">
        <v>34</v>
      </c>
      <c r="E17">
        <v>5727</v>
      </c>
      <c r="G17" s="3" t="s">
        <v>32</v>
      </c>
      <c r="H17">
        <v>6307</v>
      </c>
      <c r="I17">
        <v>54841</v>
      </c>
      <c r="J17">
        <v>26915</v>
      </c>
      <c r="K17">
        <v>1216</v>
      </c>
      <c r="L17">
        <v>1338</v>
      </c>
      <c r="M17">
        <v>35</v>
      </c>
      <c r="N17">
        <v>53861</v>
      </c>
      <c r="O17">
        <v>144513</v>
      </c>
    </row>
    <row r="18" spans="1:15" x14ac:dyDescent="0.2">
      <c r="A18">
        <v>17</v>
      </c>
      <c r="B18" t="s">
        <v>8</v>
      </c>
      <c r="C18" s="1">
        <v>43941</v>
      </c>
      <c r="D18" t="s">
        <v>35</v>
      </c>
      <c r="E18">
        <v>6507</v>
      </c>
      <c r="G18" s="3" t="s">
        <v>33</v>
      </c>
      <c r="H18">
        <v>5381</v>
      </c>
      <c r="I18">
        <v>47126</v>
      </c>
      <c r="J18">
        <v>22614</v>
      </c>
      <c r="K18">
        <v>1175</v>
      </c>
      <c r="L18">
        <v>1185</v>
      </c>
      <c r="M18">
        <v>25</v>
      </c>
      <c r="N18">
        <v>46907</v>
      </c>
      <c r="O18">
        <v>124413</v>
      </c>
    </row>
    <row r="19" spans="1:15" x14ac:dyDescent="0.2">
      <c r="A19">
        <v>18</v>
      </c>
      <c r="B19" t="s">
        <v>8</v>
      </c>
      <c r="C19" s="1">
        <v>43948</v>
      </c>
      <c r="D19" t="s">
        <v>36</v>
      </c>
      <c r="E19">
        <v>4137</v>
      </c>
      <c r="G19" s="3" t="s">
        <v>34</v>
      </c>
      <c r="H19">
        <v>5727</v>
      </c>
      <c r="I19">
        <v>53865</v>
      </c>
      <c r="J19">
        <v>25876</v>
      </c>
      <c r="K19">
        <v>1140</v>
      </c>
      <c r="L19">
        <v>1120</v>
      </c>
      <c r="M19">
        <v>43</v>
      </c>
      <c r="N19">
        <v>52387</v>
      </c>
      <c r="O19">
        <v>140158</v>
      </c>
    </row>
    <row r="20" spans="1:15" x14ac:dyDescent="0.2">
      <c r="A20">
        <v>19</v>
      </c>
      <c r="B20" t="s">
        <v>6</v>
      </c>
      <c r="C20" s="1">
        <v>43829</v>
      </c>
      <c r="D20" t="s">
        <v>15</v>
      </c>
      <c r="E20">
        <v>88525</v>
      </c>
      <c r="G20" s="3" t="s">
        <v>35</v>
      </c>
      <c r="H20">
        <v>6507</v>
      </c>
      <c r="I20">
        <v>57328</v>
      </c>
      <c r="J20">
        <v>27311</v>
      </c>
      <c r="K20">
        <v>1218</v>
      </c>
      <c r="L20">
        <v>1302</v>
      </c>
      <c r="M20">
        <v>41</v>
      </c>
      <c r="N20">
        <v>98370</v>
      </c>
      <c r="O20">
        <v>192077</v>
      </c>
    </row>
    <row r="21" spans="1:15" x14ac:dyDescent="0.2">
      <c r="A21">
        <v>20</v>
      </c>
      <c r="B21" t="s">
        <v>6</v>
      </c>
      <c r="C21" s="1">
        <v>43836</v>
      </c>
      <c r="D21" t="s">
        <v>18</v>
      </c>
      <c r="E21">
        <v>137625</v>
      </c>
      <c r="G21" s="3" t="s">
        <v>36</v>
      </c>
      <c r="H21">
        <v>4137</v>
      </c>
      <c r="I21">
        <v>35374</v>
      </c>
      <c r="J21">
        <v>16599</v>
      </c>
      <c r="K21">
        <v>739</v>
      </c>
      <c r="L21">
        <v>794</v>
      </c>
      <c r="M21">
        <v>19</v>
      </c>
      <c r="N21">
        <v>37283</v>
      </c>
      <c r="O21">
        <v>94945</v>
      </c>
    </row>
    <row r="22" spans="1:15" x14ac:dyDescent="0.2">
      <c r="A22">
        <v>21</v>
      </c>
      <c r="B22" t="s">
        <v>6</v>
      </c>
      <c r="C22" s="1">
        <v>43843</v>
      </c>
      <c r="D22" t="s">
        <v>21</v>
      </c>
      <c r="E22">
        <v>127302</v>
      </c>
      <c r="G22" s="3" t="s">
        <v>20</v>
      </c>
      <c r="H22">
        <v>217547</v>
      </c>
      <c r="I22">
        <v>1618273</v>
      </c>
      <c r="J22">
        <v>795753</v>
      </c>
      <c r="K22">
        <v>124499</v>
      </c>
      <c r="L22">
        <v>130175</v>
      </c>
      <c r="M22">
        <v>2139</v>
      </c>
      <c r="N22">
        <v>1759141</v>
      </c>
      <c r="O22">
        <v>4647527</v>
      </c>
    </row>
    <row r="23" spans="1:15" x14ac:dyDescent="0.2">
      <c r="A23">
        <v>22</v>
      </c>
      <c r="B23" t="s">
        <v>6</v>
      </c>
      <c r="C23" s="1">
        <v>43850</v>
      </c>
      <c r="D23" t="s">
        <v>22</v>
      </c>
      <c r="E23">
        <v>122799</v>
      </c>
    </row>
    <row r="24" spans="1:15" x14ac:dyDescent="0.2">
      <c r="A24">
        <v>23</v>
      </c>
      <c r="B24" t="s">
        <v>6</v>
      </c>
      <c r="C24" s="1">
        <v>43857</v>
      </c>
      <c r="D24" t="s">
        <v>23</v>
      </c>
      <c r="E24">
        <v>120393</v>
      </c>
    </row>
    <row r="25" spans="1:15" x14ac:dyDescent="0.2">
      <c r="A25">
        <v>24</v>
      </c>
      <c r="B25" t="s">
        <v>6</v>
      </c>
      <c r="C25" s="1">
        <v>43864</v>
      </c>
      <c r="D25" t="s">
        <v>24</v>
      </c>
      <c r="E25">
        <v>108226</v>
      </c>
    </row>
    <row r="26" spans="1:15" x14ac:dyDescent="0.2">
      <c r="A26">
        <v>25</v>
      </c>
      <c r="B26" t="s">
        <v>6</v>
      </c>
      <c r="C26" s="1">
        <v>43871</v>
      </c>
      <c r="D26" t="s">
        <v>25</v>
      </c>
      <c r="E26">
        <v>107635</v>
      </c>
    </row>
    <row r="27" spans="1:15" x14ac:dyDescent="0.2">
      <c r="A27">
        <v>26</v>
      </c>
      <c r="B27" t="s">
        <v>6</v>
      </c>
      <c r="C27" s="1">
        <v>43878</v>
      </c>
      <c r="D27" t="s">
        <v>26</v>
      </c>
      <c r="E27">
        <v>106101</v>
      </c>
    </row>
    <row r="28" spans="1:15" x14ac:dyDescent="0.2">
      <c r="A28">
        <v>27</v>
      </c>
      <c r="B28" t="s">
        <v>6</v>
      </c>
      <c r="C28" s="1">
        <v>43885</v>
      </c>
      <c r="D28" t="s">
        <v>27</v>
      </c>
      <c r="E28">
        <v>111638</v>
      </c>
    </row>
    <row r="29" spans="1:15" x14ac:dyDescent="0.2">
      <c r="A29">
        <v>28</v>
      </c>
      <c r="B29" t="s">
        <v>6</v>
      </c>
      <c r="C29" s="1">
        <v>43892</v>
      </c>
      <c r="D29" t="s">
        <v>28</v>
      </c>
      <c r="E29">
        <v>106349</v>
      </c>
    </row>
    <row r="30" spans="1:15" x14ac:dyDescent="0.2">
      <c r="A30">
        <v>29</v>
      </c>
      <c r="B30" t="s">
        <v>6</v>
      </c>
      <c r="C30" s="1">
        <v>43899</v>
      </c>
      <c r="D30" t="s">
        <v>29</v>
      </c>
      <c r="E30">
        <v>104167</v>
      </c>
    </row>
    <row r="31" spans="1:15" x14ac:dyDescent="0.2">
      <c r="A31">
        <v>30</v>
      </c>
      <c r="B31" t="s">
        <v>6</v>
      </c>
      <c r="C31" s="1">
        <v>43906</v>
      </c>
      <c r="D31" t="s">
        <v>30</v>
      </c>
      <c r="E31">
        <v>74510</v>
      </c>
    </row>
    <row r="32" spans="1:15" x14ac:dyDescent="0.2">
      <c r="A32">
        <v>31</v>
      </c>
      <c r="B32" t="s">
        <v>6</v>
      </c>
      <c r="C32" s="1">
        <v>43913</v>
      </c>
      <c r="D32" t="s">
        <v>31</v>
      </c>
      <c r="E32">
        <v>54469</v>
      </c>
    </row>
    <row r="33" spans="1:5" x14ac:dyDescent="0.2">
      <c r="A33">
        <v>32</v>
      </c>
      <c r="B33" t="s">
        <v>6</v>
      </c>
      <c r="C33" s="1">
        <v>43920</v>
      </c>
      <c r="D33" t="s">
        <v>32</v>
      </c>
      <c r="E33">
        <v>54841</v>
      </c>
    </row>
    <row r="34" spans="1:5" x14ac:dyDescent="0.2">
      <c r="A34">
        <v>33</v>
      </c>
      <c r="B34" t="s">
        <v>6</v>
      </c>
      <c r="C34" s="1">
        <v>43927</v>
      </c>
      <c r="D34" t="s">
        <v>33</v>
      </c>
      <c r="E34">
        <v>47126</v>
      </c>
    </row>
    <row r="35" spans="1:5" x14ac:dyDescent="0.2">
      <c r="A35">
        <v>34</v>
      </c>
      <c r="B35" t="s">
        <v>6</v>
      </c>
      <c r="C35" s="1">
        <v>43934</v>
      </c>
      <c r="D35" t="s">
        <v>34</v>
      </c>
      <c r="E35">
        <v>53865</v>
      </c>
    </row>
    <row r="36" spans="1:5" x14ac:dyDescent="0.2">
      <c r="A36">
        <v>35</v>
      </c>
      <c r="B36" t="s">
        <v>6</v>
      </c>
      <c r="C36" s="1">
        <v>43941</v>
      </c>
      <c r="D36" t="s">
        <v>35</v>
      </c>
      <c r="E36">
        <v>57328</v>
      </c>
    </row>
    <row r="37" spans="1:5" x14ac:dyDescent="0.2">
      <c r="A37">
        <v>36</v>
      </c>
      <c r="B37" t="s">
        <v>6</v>
      </c>
      <c r="C37" s="1">
        <v>43948</v>
      </c>
      <c r="D37" t="s">
        <v>36</v>
      </c>
      <c r="E37">
        <v>35374</v>
      </c>
    </row>
    <row r="38" spans="1:5" x14ac:dyDescent="0.2">
      <c r="A38">
        <v>37</v>
      </c>
      <c r="B38" t="s">
        <v>7</v>
      </c>
      <c r="C38" s="1">
        <v>43829</v>
      </c>
      <c r="D38" t="s">
        <v>15</v>
      </c>
      <c r="E38">
        <v>45223</v>
      </c>
    </row>
    <row r="39" spans="1:5" x14ac:dyDescent="0.2">
      <c r="A39">
        <v>38</v>
      </c>
      <c r="B39" t="s">
        <v>7</v>
      </c>
      <c r="C39" s="1">
        <v>43836</v>
      </c>
      <c r="D39" t="s">
        <v>18</v>
      </c>
      <c r="E39">
        <v>64867</v>
      </c>
    </row>
    <row r="40" spans="1:5" x14ac:dyDescent="0.2">
      <c r="A40">
        <v>39</v>
      </c>
      <c r="B40" t="s">
        <v>7</v>
      </c>
      <c r="C40" s="1">
        <v>43843</v>
      </c>
      <c r="D40" t="s">
        <v>21</v>
      </c>
      <c r="E40">
        <v>60438</v>
      </c>
    </row>
    <row r="41" spans="1:5" x14ac:dyDescent="0.2">
      <c r="A41">
        <v>40</v>
      </c>
      <c r="B41" t="s">
        <v>7</v>
      </c>
      <c r="C41" s="1">
        <v>43850</v>
      </c>
      <c r="D41" t="s">
        <v>22</v>
      </c>
      <c r="E41">
        <v>59669</v>
      </c>
    </row>
    <row r="42" spans="1:5" x14ac:dyDescent="0.2">
      <c r="A42">
        <v>41</v>
      </c>
      <c r="B42" t="s">
        <v>7</v>
      </c>
      <c r="C42" s="1">
        <v>43857</v>
      </c>
      <c r="D42" t="s">
        <v>23</v>
      </c>
      <c r="E42">
        <v>58903</v>
      </c>
    </row>
    <row r="43" spans="1:5" x14ac:dyDescent="0.2">
      <c r="A43">
        <v>42</v>
      </c>
      <c r="B43" t="s">
        <v>7</v>
      </c>
      <c r="C43" s="1">
        <v>43864</v>
      </c>
      <c r="D43" t="s">
        <v>24</v>
      </c>
      <c r="E43">
        <v>52893</v>
      </c>
    </row>
    <row r="44" spans="1:5" x14ac:dyDescent="0.2">
      <c r="A44">
        <v>43</v>
      </c>
      <c r="B44" t="s">
        <v>7</v>
      </c>
      <c r="C44" s="1">
        <v>43871</v>
      </c>
      <c r="D44" t="s">
        <v>25</v>
      </c>
      <c r="E44">
        <v>52919</v>
      </c>
    </row>
    <row r="45" spans="1:5" x14ac:dyDescent="0.2">
      <c r="A45">
        <v>44</v>
      </c>
      <c r="B45" t="s">
        <v>7</v>
      </c>
      <c r="C45" s="1">
        <v>43878</v>
      </c>
      <c r="D45" t="s">
        <v>26</v>
      </c>
      <c r="E45">
        <v>52508</v>
      </c>
    </row>
    <row r="46" spans="1:5" x14ac:dyDescent="0.2">
      <c r="A46">
        <v>45</v>
      </c>
      <c r="B46" t="s">
        <v>7</v>
      </c>
      <c r="C46" s="1">
        <v>43885</v>
      </c>
      <c r="D46" t="s">
        <v>27</v>
      </c>
      <c r="E46">
        <v>55379</v>
      </c>
    </row>
    <row r="47" spans="1:5" x14ac:dyDescent="0.2">
      <c r="A47">
        <v>46</v>
      </c>
      <c r="B47" t="s">
        <v>7</v>
      </c>
      <c r="C47" s="1">
        <v>43892</v>
      </c>
      <c r="D47" t="s">
        <v>28</v>
      </c>
      <c r="E47">
        <v>59389</v>
      </c>
    </row>
    <row r="48" spans="1:5" x14ac:dyDescent="0.2">
      <c r="A48">
        <v>47</v>
      </c>
      <c r="B48" t="s">
        <v>7</v>
      </c>
      <c r="C48" s="1">
        <v>43899</v>
      </c>
      <c r="D48" t="s">
        <v>29</v>
      </c>
      <c r="E48">
        <v>52653</v>
      </c>
    </row>
    <row r="49" spans="1:5" x14ac:dyDescent="0.2">
      <c r="A49">
        <v>48</v>
      </c>
      <c r="B49" t="s">
        <v>7</v>
      </c>
      <c r="C49" s="1">
        <v>43906</v>
      </c>
      <c r="D49" t="s">
        <v>30</v>
      </c>
      <c r="E49">
        <v>36008</v>
      </c>
    </row>
    <row r="50" spans="1:5" x14ac:dyDescent="0.2">
      <c r="A50">
        <v>49</v>
      </c>
      <c r="B50" t="s">
        <v>7</v>
      </c>
      <c r="C50" s="1">
        <v>43913</v>
      </c>
      <c r="D50" t="s">
        <v>31</v>
      </c>
      <c r="E50">
        <v>25589</v>
      </c>
    </row>
    <row r="51" spans="1:5" x14ac:dyDescent="0.2">
      <c r="A51">
        <v>50</v>
      </c>
      <c r="B51" t="s">
        <v>7</v>
      </c>
      <c r="C51" s="1">
        <v>43920</v>
      </c>
      <c r="D51" t="s">
        <v>32</v>
      </c>
      <c r="E51">
        <v>26915</v>
      </c>
    </row>
    <row r="52" spans="1:5" x14ac:dyDescent="0.2">
      <c r="A52">
        <v>51</v>
      </c>
      <c r="B52" t="s">
        <v>7</v>
      </c>
      <c r="C52" s="1">
        <v>43927</v>
      </c>
      <c r="D52" t="s">
        <v>33</v>
      </c>
      <c r="E52">
        <v>22614</v>
      </c>
    </row>
    <row r="53" spans="1:5" x14ac:dyDescent="0.2">
      <c r="A53">
        <v>52</v>
      </c>
      <c r="B53" t="s">
        <v>7</v>
      </c>
      <c r="C53" s="1">
        <v>43934</v>
      </c>
      <c r="D53" t="s">
        <v>34</v>
      </c>
      <c r="E53">
        <v>25876</v>
      </c>
    </row>
    <row r="54" spans="1:5" x14ac:dyDescent="0.2">
      <c r="A54">
        <v>53</v>
      </c>
      <c r="B54" t="s">
        <v>7</v>
      </c>
      <c r="C54" s="1">
        <v>43941</v>
      </c>
      <c r="D54" t="s">
        <v>35</v>
      </c>
      <c r="E54">
        <v>27311</v>
      </c>
    </row>
    <row r="55" spans="1:5" x14ac:dyDescent="0.2">
      <c r="A55">
        <v>54</v>
      </c>
      <c r="B55" t="s">
        <v>7</v>
      </c>
      <c r="C55" s="1">
        <v>43948</v>
      </c>
      <c r="D55" t="s">
        <v>36</v>
      </c>
      <c r="E55">
        <v>16599</v>
      </c>
    </row>
    <row r="56" spans="1:5" x14ac:dyDescent="0.2">
      <c r="A56">
        <v>55</v>
      </c>
      <c r="B56" t="s">
        <v>10</v>
      </c>
      <c r="C56" s="1">
        <v>43829</v>
      </c>
      <c r="D56" t="s">
        <v>15</v>
      </c>
      <c r="E56">
        <v>10386</v>
      </c>
    </row>
    <row r="57" spans="1:5" x14ac:dyDescent="0.2">
      <c r="A57">
        <v>56</v>
      </c>
      <c r="B57" t="s">
        <v>10</v>
      </c>
      <c r="C57" s="1">
        <v>43836</v>
      </c>
      <c r="D57" t="s">
        <v>18</v>
      </c>
      <c r="E57">
        <v>12489</v>
      </c>
    </row>
    <row r="58" spans="1:5" x14ac:dyDescent="0.2">
      <c r="A58">
        <v>57</v>
      </c>
      <c r="B58" t="s">
        <v>10</v>
      </c>
      <c r="C58" s="1">
        <v>43843</v>
      </c>
      <c r="D58" t="s">
        <v>21</v>
      </c>
      <c r="E58">
        <v>11264</v>
      </c>
    </row>
    <row r="59" spans="1:5" x14ac:dyDescent="0.2">
      <c r="A59">
        <v>58</v>
      </c>
      <c r="B59" t="s">
        <v>10</v>
      </c>
      <c r="C59" s="1">
        <v>43850</v>
      </c>
      <c r="D59" t="s">
        <v>22</v>
      </c>
      <c r="E59">
        <v>10938</v>
      </c>
    </row>
    <row r="60" spans="1:5" x14ac:dyDescent="0.2">
      <c r="A60">
        <v>59</v>
      </c>
      <c r="B60" t="s">
        <v>10</v>
      </c>
      <c r="C60" s="1">
        <v>43857</v>
      </c>
      <c r="D60" t="s">
        <v>23</v>
      </c>
      <c r="E60">
        <v>10243</v>
      </c>
    </row>
    <row r="61" spans="1:5" x14ac:dyDescent="0.2">
      <c r="A61">
        <v>60</v>
      </c>
      <c r="B61" t="s">
        <v>10</v>
      </c>
      <c r="C61" s="1">
        <v>43864</v>
      </c>
      <c r="D61" t="s">
        <v>24</v>
      </c>
      <c r="E61">
        <v>10244</v>
      </c>
    </row>
    <row r="62" spans="1:5" x14ac:dyDescent="0.2">
      <c r="A62">
        <v>61</v>
      </c>
      <c r="B62" t="s">
        <v>10</v>
      </c>
      <c r="C62" s="1">
        <v>43871</v>
      </c>
      <c r="D62" t="s">
        <v>25</v>
      </c>
      <c r="E62">
        <v>11349</v>
      </c>
    </row>
    <row r="63" spans="1:5" x14ac:dyDescent="0.2">
      <c r="A63">
        <v>62</v>
      </c>
      <c r="B63" t="s">
        <v>10</v>
      </c>
      <c r="C63" s="1">
        <v>43878</v>
      </c>
      <c r="D63" t="s">
        <v>26</v>
      </c>
      <c r="E63">
        <v>10546</v>
      </c>
    </row>
    <row r="64" spans="1:5" x14ac:dyDescent="0.2">
      <c r="A64">
        <v>63</v>
      </c>
      <c r="B64" t="s">
        <v>10</v>
      </c>
      <c r="C64" s="1">
        <v>43885</v>
      </c>
      <c r="D64" t="s">
        <v>27</v>
      </c>
      <c r="E64">
        <v>10260</v>
      </c>
    </row>
    <row r="65" spans="1:5" x14ac:dyDescent="0.2">
      <c r="A65">
        <v>64</v>
      </c>
      <c r="B65" t="s">
        <v>10</v>
      </c>
      <c r="C65" s="1">
        <v>43892</v>
      </c>
      <c r="D65" t="s">
        <v>28</v>
      </c>
      <c r="E65">
        <v>9872</v>
      </c>
    </row>
    <row r="66" spans="1:5" x14ac:dyDescent="0.2">
      <c r="A66">
        <v>65</v>
      </c>
      <c r="B66" t="s">
        <v>10</v>
      </c>
      <c r="C66" s="1">
        <v>43899</v>
      </c>
      <c r="D66" t="s">
        <v>29</v>
      </c>
      <c r="E66">
        <v>8069</v>
      </c>
    </row>
    <row r="67" spans="1:5" x14ac:dyDescent="0.2">
      <c r="A67">
        <v>66</v>
      </c>
      <c r="B67" t="s">
        <v>10</v>
      </c>
      <c r="C67" s="1">
        <v>43906</v>
      </c>
      <c r="D67" t="s">
        <v>30</v>
      </c>
      <c r="E67">
        <v>2044</v>
      </c>
    </row>
    <row r="68" spans="1:5" x14ac:dyDescent="0.2">
      <c r="A68">
        <v>67</v>
      </c>
      <c r="B68" t="s">
        <v>10</v>
      </c>
      <c r="C68" s="1">
        <v>43913</v>
      </c>
      <c r="D68" t="s">
        <v>31</v>
      </c>
      <c r="E68">
        <v>1307</v>
      </c>
    </row>
    <row r="69" spans="1:5" x14ac:dyDescent="0.2">
      <c r="A69">
        <v>68</v>
      </c>
      <c r="B69" t="s">
        <v>10</v>
      </c>
      <c r="C69" s="1">
        <v>43920</v>
      </c>
      <c r="D69" t="s">
        <v>32</v>
      </c>
      <c r="E69">
        <v>1216</v>
      </c>
    </row>
    <row r="70" spans="1:5" x14ac:dyDescent="0.2">
      <c r="A70">
        <v>69</v>
      </c>
      <c r="B70" t="s">
        <v>10</v>
      </c>
      <c r="C70" s="1">
        <v>43927</v>
      </c>
      <c r="D70" t="s">
        <v>33</v>
      </c>
      <c r="E70">
        <v>1175</v>
      </c>
    </row>
    <row r="71" spans="1:5" x14ac:dyDescent="0.2">
      <c r="A71">
        <v>70</v>
      </c>
      <c r="B71" t="s">
        <v>10</v>
      </c>
      <c r="C71" s="1">
        <v>43934</v>
      </c>
      <c r="D71" t="s">
        <v>34</v>
      </c>
      <c r="E71">
        <v>1140</v>
      </c>
    </row>
    <row r="72" spans="1:5" x14ac:dyDescent="0.2">
      <c r="A72">
        <v>71</v>
      </c>
      <c r="B72" t="s">
        <v>10</v>
      </c>
      <c r="C72" s="1">
        <v>43941</v>
      </c>
      <c r="D72" t="s">
        <v>35</v>
      </c>
      <c r="E72">
        <v>1218</v>
      </c>
    </row>
    <row r="73" spans="1:5" x14ac:dyDescent="0.2">
      <c r="A73">
        <v>72</v>
      </c>
      <c r="B73" t="s">
        <v>10</v>
      </c>
      <c r="C73" s="1">
        <v>43948</v>
      </c>
      <c r="D73" t="s">
        <v>36</v>
      </c>
      <c r="E73">
        <v>739</v>
      </c>
    </row>
    <row r="74" spans="1:5" x14ac:dyDescent="0.2">
      <c r="A74">
        <v>73</v>
      </c>
      <c r="B74" t="s">
        <v>9</v>
      </c>
      <c r="C74" s="1">
        <v>43829</v>
      </c>
      <c r="D74" t="s">
        <v>15</v>
      </c>
      <c r="E74">
        <v>9145</v>
      </c>
    </row>
    <row r="75" spans="1:5" x14ac:dyDescent="0.2">
      <c r="A75">
        <v>74</v>
      </c>
      <c r="B75" t="s">
        <v>9</v>
      </c>
      <c r="C75" s="1">
        <v>43836</v>
      </c>
      <c r="D75" t="s">
        <v>18</v>
      </c>
      <c r="E75">
        <v>14187</v>
      </c>
    </row>
    <row r="76" spans="1:5" x14ac:dyDescent="0.2">
      <c r="A76">
        <v>75</v>
      </c>
      <c r="B76" t="s">
        <v>9</v>
      </c>
      <c r="C76" s="1">
        <v>43843</v>
      </c>
      <c r="D76" t="s">
        <v>21</v>
      </c>
      <c r="E76">
        <v>15126</v>
      </c>
    </row>
    <row r="77" spans="1:5" x14ac:dyDescent="0.2">
      <c r="A77">
        <v>76</v>
      </c>
      <c r="B77" t="s">
        <v>9</v>
      </c>
      <c r="C77" s="1">
        <v>43850</v>
      </c>
      <c r="D77" t="s">
        <v>22</v>
      </c>
      <c r="E77">
        <v>11680</v>
      </c>
    </row>
    <row r="78" spans="1:5" x14ac:dyDescent="0.2">
      <c r="A78">
        <v>77</v>
      </c>
      <c r="B78" t="s">
        <v>9</v>
      </c>
      <c r="C78" s="1">
        <v>43857</v>
      </c>
      <c r="D78" t="s">
        <v>23</v>
      </c>
      <c r="E78">
        <v>10608</v>
      </c>
    </row>
    <row r="79" spans="1:5" x14ac:dyDescent="0.2">
      <c r="A79">
        <v>78</v>
      </c>
      <c r="B79" t="s">
        <v>9</v>
      </c>
      <c r="C79" s="1">
        <v>43864</v>
      </c>
      <c r="D79" t="s">
        <v>24</v>
      </c>
      <c r="E79">
        <v>10223</v>
      </c>
    </row>
    <row r="80" spans="1:5" x14ac:dyDescent="0.2">
      <c r="A80">
        <v>79</v>
      </c>
      <c r="B80" t="s">
        <v>9</v>
      </c>
      <c r="C80" s="1">
        <v>43871</v>
      </c>
      <c r="D80" t="s">
        <v>25</v>
      </c>
      <c r="E80">
        <v>10789</v>
      </c>
    </row>
    <row r="81" spans="1:5" x14ac:dyDescent="0.2">
      <c r="A81">
        <v>80</v>
      </c>
      <c r="B81" t="s">
        <v>9</v>
      </c>
      <c r="C81" s="1">
        <v>43878</v>
      </c>
      <c r="D81" t="s">
        <v>26</v>
      </c>
      <c r="E81">
        <v>10423</v>
      </c>
    </row>
    <row r="82" spans="1:5" x14ac:dyDescent="0.2">
      <c r="A82">
        <v>81</v>
      </c>
      <c r="B82" t="s">
        <v>9</v>
      </c>
      <c r="C82" s="1">
        <v>43885</v>
      </c>
      <c r="D82" t="s">
        <v>27</v>
      </c>
      <c r="E82">
        <v>9703</v>
      </c>
    </row>
    <row r="83" spans="1:5" x14ac:dyDescent="0.2">
      <c r="A83">
        <v>82</v>
      </c>
      <c r="B83" t="s">
        <v>9</v>
      </c>
      <c r="C83" s="1">
        <v>43892</v>
      </c>
      <c r="D83" t="s">
        <v>28</v>
      </c>
      <c r="E83">
        <v>10471</v>
      </c>
    </row>
    <row r="84" spans="1:5" x14ac:dyDescent="0.2">
      <c r="A84">
        <v>83</v>
      </c>
      <c r="B84" t="s">
        <v>9</v>
      </c>
      <c r="C84" s="1">
        <v>43899</v>
      </c>
      <c r="D84" t="s">
        <v>29</v>
      </c>
      <c r="E84">
        <v>8029</v>
      </c>
    </row>
    <row r="85" spans="1:5" x14ac:dyDescent="0.2">
      <c r="A85">
        <v>84</v>
      </c>
      <c r="B85" t="s">
        <v>9</v>
      </c>
      <c r="C85" s="1">
        <v>43906</v>
      </c>
      <c r="D85" t="s">
        <v>30</v>
      </c>
      <c r="E85">
        <v>2655</v>
      </c>
    </row>
    <row r="86" spans="1:5" x14ac:dyDescent="0.2">
      <c r="A86">
        <v>85</v>
      </c>
      <c r="B86" t="s">
        <v>9</v>
      </c>
      <c r="C86" s="1">
        <v>43913</v>
      </c>
      <c r="D86" t="s">
        <v>31</v>
      </c>
      <c r="E86">
        <v>1397</v>
      </c>
    </row>
    <row r="87" spans="1:5" x14ac:dyDescent="0.2">
      <c r="A87">
        <v>86</v>
      </c>
      <c r="B87" t="s">
        <v>9</v>
      </c>
      <c r="C87" s="1">
        <v>43920</v>
      </c>
      <c r="D87" t="s">
        <v>32</v>
      </c>
      <c r="E87">
        <v>1338</v>
      </c>
    </row>
    <row r="88" spans="1:5" x14ac:dyDescent="0.2">
      <c r="A88">
        <v>87</v>
      </c>
      <c r="B88" t="s">
        <v>9</v>
      </c>
      <c r="C88" s="1">
        <v>43927</v>
      </c>
      <c r="D88" t="s">
        <v>33</v>
      </c>
      <c r="E88">
        <v>1185</v>
      </c>
    </row>
    <row r="89" spans="1:5" x14ac:dyDescent="0.2">
      <c r="A89">
        <v>88</v>
      </c>
      <c r="B89" t="s">
        <v>9</v>
      </c>
      <c r="C89" s="1">
        <v>43934</v>
      </c>
      <c r="D89" t="s">
        <v>34</v>
      </c>
      <c r="E89">
        <v>1120</v>
      </c>
    </row>
    <row r="90" spans="1:5" x14ac:dyDescent="0.2">
      <c r="A90">
        <v>89</v>
      </c>
      <c r="B90" t="s">
        <v>9</v>
      </c>
      <c r="C90" s="1">
        <v>43941</v>
      </c>
      <c r="D90" t="s">
        <v>35</v>
      </c>
      <c r="E90">
        <v>1302</v>
      </c>
    </row>
    <row r="91" spans="1:5" x14ac:dyDescent="0.2">
      <c r="A91">
        <v>90</v>
      </c>
      <c r="B91" t="s">
        <v>9</v>
      </c>
      <c r="C91" s="1">
        <v>43948</v>
      </c>
      <c r="D91" t="s">
        <v>36</v>
      </c>
      <c r="E91">
        <v>794</v>
      </c>
    </row>
    <row r="92" spans="1:5" x14ac:dyDescent="0.2">
      <c r="A92" s="4">
        <v>91</v>
      </c>
      <c r="B92" s="4" t="s">
        <v>11</v>
      </c>
      <c r="C92" s="5">
        <v>43829</v>
      </c>
      <c r="D92" s="4" t="s">
        <v>15</v>
      </c>
      <c r="E92" s="4">
        <v>159</v>
      </c>
    </row>
    <row r="93" spans="1:5" x14ac:dyDescent="0.2">
      <c r="A93">
        <v>92</v>
      </c>
      <c r="B93" t="s">
        <v>11</v>
      </c>
      <c r="C93" s="1">
        <v>43836</v>
      </c>
      <c r="D93" t="s">
        <v>18</v>
      </c>
      <c r="E93">
        <v>219</v>
      </c>
    </row>
    <row r="94" spans="1:5" x14ac:dyDescent="0.2">
      <c r="A94">
        <v>93</v>
      </c>
      <c r="B94" t="s">
        <v>11</v>
      </c>
      <c r="C94" s="1">
        <v>43843</v>
      </c>
      <c r="D94" t="s">
        <v>21</v>
      </c>
      <c r="E94">
        <v>186</v>
      </c>
    </row>
    <row r="95" spans="1:5" x14ac:dyDescent="0.2">
      <c r="A95">
        <v>94</v>
      </c>
      <c r="B95" t="s">
        <v>11</v>
      </c>
      <c r="C95" s="1">
        <v>43850</v>
      </c>
      <c r="D95" t="s">
        <v>22</v>
      </c>
      <c r="E95">
        <v>193</v>
      </c>
    </row>
    <row r="96" spans="1:5" x14ac:dyDescent="0.2">
      <c r="A96">
        <v>95</v>
      </c>
      <c r="B96" t="s">
        <v>11</v>
      </c>
      <c r="C96" s="1">
        <v>43857</v>
      </c>
      <c r="D96" t="s">
        <v>23</v>
      </c>
      <c r="E96">
        <v>165</v>
      </c>
    </row>
    <row r="97" spans="1:5" x14ac:dyDescent="0.2">
      <c r="A97">
        <v>96</v>
      </c>
      <c r="B97" t="s">
        <v>11</v>
      </c>
      <c r="C97" s="1">
        <v>43864</v>
      </c>
      <c r="D97" t="s">
        <v>24</v>
      </c>
      <c r="E97">
        <v>165</v>
      </c>
    </row>
    <row r="98" spans="1:5" x14ac:dyDescent="0.2">
      <c r="A98">
        <v>97</v>
      </c>
      <c r="B98" t="s">
        <v>11</v>
      </c>
      <c r="C98" s="1">
        <v>43871</v>
      </c>
      <c r="D98" t="s">
        <v>25</v>
      </c>
      <c r="E98">
        <v>179</v>
      </c>
    </row>
    <row r="99" spans="1:5" x14ac:dyDescent="0.2">
      <c r="A99">
        <v>98</v>
      </c>
      <c r="B99" t="s">
        <v>11</v>
      </c>
      <c r="C99" s="1">
        <v>43878</v>
      </c>
      <c r="D99" t="s">
        <v>26</v>
      </c>
      <c r="E99">
        <v>162</v>
      </c>
    </row>
    <row r="100" spans="1:5" x14ac:dyDescent="0.2">
      <c r="A100">
        <v>99</v>
      </c>
      <c r="B100" t="s">
        <v>11</v>
      </c>
      <c r="C100" s="1">
        <v>43885</v>
      </c>
      <c r="D100" t="s">
        <v>27</v>
      </c>
      <c r="E100">
        <v>169</v>
      </c>
    </row>
    <row r="101" spans="1:5" x14ac:dyDescent="0.2">
      <c r="A101">
        <v>100</v>
      </c>
      <c r="B101" t="s">
        <v>11</v>
      </c>
      <c r="C101" s="1">
        <v>43892</v>
      </c>
      <c r="D101" t="s">
        <v>28</v>
      </c>
      <c r="E101">
        <v>162</v>
      </c>
    </row>
    <row r="102" spans="1:5" x14ac:dyDescent="0.2">
      <c r="A102">
        <v>101</v>
      </c>
      <c r="B102" t="s">
        <v>11</v>
      </c>
      <c r="C102" s="1">
        <v>43899</v>
      </c>
      <c r="D102" t="s">
        <v>29</v>
      </c>
      <c r="E102">
        <v>128</v>
      </c>
    </row>
    <row r="103" spans="1:5" x14ac:dyDescent="0.2">
      <c r="A103">
        <v>102</v>
      </c>
      <c r="B103" t="s">
        <v>11</v>
      </c>
      <c r="C103" s="1">
        <v>43906</v>
      </c>
      <c r="D103" t="s">
        <v>30</v>
      </c>
      <c r="E103">
        <v>61</v>
      </c>
    </row>
    <row r="104" spans="1:5" x14ac:dyDescent="0.2">
      <c r="A104">
        <v>103</v>
      </c>
      <c r="B104" t="s">
        <v>11</v>
      </c>
      <c r="C104" s="1">
        <v>43913</v>
      </c>
      <c r="D104" t="s">
        <v>31</v>
      </c>
      <c r="E104">
        <v>28</v>
      </c>
    </row>
    <row r="105" spans="1:5" x14ac:dyDescent="0.2">
      <c r="A105">
        <v>104</v>
      </c>
      <c r="B105" t="s">
        <v>11</v>
      </c>
      <c r="C105" s="1">
        <v>43920</v>
      </c>
      <c r="D105" t="s">
        <v>32</v>
      </c>
      <c r="E105">
        <v>35</v>
      </c>
    </row>
    <row r="106" spans="1:5" x14ac:dyDescent="0.2">
      <c r="A106">
        <v>105</v>
      </c>
      <c r="B106" t="s">
        <v>11</v>
      </c>
      <c r="C106" s="1">
        <v>43927</v>
      </c>
      <c r="D106" t="s">
        <v>33</v>
      </c>
      <c r="E106">
        <v>25</v>
      </c>
    </row>
    <row r="107" spans="1:5" x14ac:dyDescent="0.2">
      <c r="A107">
        <v>106</v>
      </c>
      <c r="B107" t="s">
        <v>11</v>
      </c>
      <c r="C107" s="1">
        <v>43934</v>
      </c>
      <c r="D107" t="s">
        <v>34</v>
      </c>
      <c r="E107">
        <v>43</v>
      </c>
    </row>
    <row r="108" spans="1:5" x14ac:dyDescent="0.2">
      <c r="A108">
        <v>107</v>
      </c>
      <c r="B108" t="s">
        <v>11</v>
      </c>
      <c r="C108" s="1">
        <v>43941</v>
      </c>
      <c r="D108" t="s">
        <v>35</v>
      </c>
      <c r="E108">
        <v>41</v>
      </c>
    </row>
    <row r="109" spans="1:5" x14ac:dyDescent="0.2">
      <c r="A109">
        <v>108</v>
      </c>
      <c r="B109" t="s">
        <v>11</v>
      </c>
      <c r="C109" s="1">
        <v>43948</v>
      </c>
      <c r="D109" t="s">
        <v>36</v>
      </c>
      <c r="E109">
        <v>19</v>
      </c>
    </row>
    <row r="110" spans="1:5" x14ac:dyDescent="0.2">
      <c r="A110">
        <v>109</v>
      </c>
      <c r="B110" t="s">
        <v>5</v>
      </c>
      <c r="C110" s="1">
        <v>43829</v>
      </c>
      <c r="D110" t="s">
        <v>15</v>
      </c>
      <c r="E110">
        <v>98639</v>
      </c>
    </row>
    <row r="111" spans="1:5" x14ac:dyDescent="0.2">
      <c r="A111">
        <v>110</v>
      </c>
      <c r="B111" t="s">
        <v>5</v>
      </c>
      <c r="C111" s="1">
        <v>43836</v>
      </c>
      <c r="D111" t="s">
        <v>18</v>
      </c>
      <c r="E111">
        <v>145277</v>
      </c>
    </row>
    <row r="112" spans="1:5" x14ac:dyDescent="0.2">
      <c r="A112">
        <v>111</v>
      </c>
      <c r="B112" t="s">
        <v>5</v>
      </c>
      <c r="C112" s="1">
        <v>43843</v>
      </c>
      <c r="D112" t="s">
        <v>21</v>
      </c>
      <c r="E112">
        <v>133421</v>
      </c>
    </row>
    <row r="113" spans="1:5" x14ac:dyDescent="0.2">
      <c r="A113">
        <v>112</v>
      </c>
      <c r="B113" t="s">
        <v>5</v>
      </c>
      <c r="C113" s="1">
        <v>43850</v>
      </c>
      <c r="D113" t="s">
        <v>22</v>
      </c>
      <c r="E113">
        <v>133421</v>
      </c>
    </row>
    <row r="114" spans="1:5" x14ac:dyDescent="0.2">
      <c r="A114">
        <v>113</v>
      </c>
      <c r="B114" t="s">
        <v>5</v>
      </c>
      <c r="C114" s="1">
        <v>43857</v>
      </c>
      <c r="D114" t="s">
        <v>23</v>
      </c>
      <c r="E114">
        <v>130879</v>
      </c>
    </row>
    <row r="115" spans="1:5" x14ac:dyDescent="0.2">
      <c r="A115">
        <v>114</v>
      </c>
      <c r="B115" t="s">
        <v>5</v>
      </c>
      <c r="C115" s="1">
        <v>43864</v>
      </c>
      <c r="D115" t="s">
        <v>24</v>
      </c>
      <c r="E115">
        <v>116420</v>
      </c>
    </row>
    <row r="116" spans="1:5" x14ac:dyDescent="0.2">
      <c r="A116">
        <v>115</v>
      </c>
      <c r="B116" t="s">
        <v>5</v>
      </c>
      <c r="C116" s="1">
        <v>43871</v>
      </c>
      <c r="D116" t="s">
        <v>25</v>
      </c>
      <c r="E116">
        <v>113362</v>
      </c>
    </row>
    <row r="117" spans="1:5" x14ac:dyDescent="0.2">
      <c r="A117">
        <v>116</v>
      </c>
      <c r="B117" t="s">
        <v>5</v>
      </c>
      <c r="C117" s="1">
        <v>43878</v>
      </c>
      <c r="D117" t="s">
        <v>26</v>
      </c>
      <c r="E117">
        <v>114201</v>
      </c>
    </row>
    <row r="118" spans="1:5" x14ac:dyDescent="0.2">
      <c r="A118">
        <v>117</v>
      </c>
      <c r="B118" t="s">
        <v>5</v>
      </c>
      <c r="C118" s="1">
        <v>43885</v>
      </c>
      <c r="D118" t="s">
        <v>27</v>
      </c>
      <c r="E118">
        <v>118652</v>
      </c>
    </row>
    <row r="119" spans="1:5" x14ac:dyDescent="0.2">
      <c r="A119">
        <v>118</v>
      </c>
      <c r="B119" t="s">
        <v>5</v>
      </c>
      <c r="C119" s="1">
        <v>43892</v>
      </c>
      <c r="D119" t="s">
        <v>28</v>
      </c>
      <c r="E119">
        <v>123411</v>
      </c>
    </row>
    <row r="120" spans="1:5" x14ac:dyDescent="0.2">
      <c r="A120">
        <v>119</v>
      </c>
      <c r="B120" t="s">
        <v>5</v>
      </c>
      <c r="C120" s="1">
        <v>43899</v>
      </c>
      <c r="D120" t="s">
        <v>29</v>
      </c>
      <c r="E120">
        <v>115674</v>
      </c>
    </row>
    <row r="121" spans="1:5" x14ac:dyDescent="0.2">
      <c r="A121">
        <v>120</v>
      </c>
      <c r="B121" t="s">
        <v>5</v>
      </c>
      <c r="C121" s="1">
        <v>43906</v>
      </c>
      <c r="D121" t="s">
        <v>30</v>
      </c>
      <c r="E121">
        <v>76755</v>
      </c>
    </row>
    <row r="122" spans="1:5" x14ac:dyDescent="0.2">
      <c r="A122">
        <v>121</v>
      </c>
      <c r="B122" t="s">
        <v>5</v>
      </c>
      <c r="C122" s="1">
        <v>43913</v>
      </c>
      <c r="D122" t="s">
        <v>31</v>
      </c>
      <c r="E122">
        <v>50221</v>
      </c>
    </row>
    <row r="123" spans="1:5" x14ac:dyDescent="0.2">
      <c r="A123">
        <v>122</v>
      </c>
      <c r="B123" t="s">
        <v>5</v>
      </c>
      <c r="C123" s="1">
        <v>43920</v>
      </c>
      <c r="D123" t="s">
        <v>32</v>
      </c>
      <c r="E123">
        <v>53861</v>
      </c>
    </row>
    <row r="124" spans="1:5" x14ac:dyDescent="0.2">
      <c r="A124">
        <v>123</v>
      </c>
      <c r="B124" t="s">
        <v>5</v>
      </c>
      <c r="C124" s="1">
        <v>43927</v>
      </c>
      <c r="D124" t="s">
        <v>33</v>
      </c>
      <c r="E124">
        <v>46907</v>
      </c>
    </row>
    <row r="125" spans="1:5" x14ac:dyDescent="0.2">
      <c r="A125">
        <v>124</v>
      </c>
      <c r="B125" t="s">
        <v>5</v>
      </c>
      <c r="C125" s="1">
        <v>43934</v>
      </c>
      <c r="D125" t="s">
        <v>34</v>
      </c>
      <c r="E125">
        <v>52387</v>
      </c>
    </row>
    <row r="126" spans="1:5" x14ac:dyDescent="0.2">
      <c r="A126">
        <v>125</v>
      </c>
      <c r="B126" t="s">
        <v>5</v>
      </c>
      <c r="C126" s="1">
        <v>43941</v>
      </c>
      <c r="D126" t="s">
        <v>35</v>
      </c>
      <c r="E126">
        <v>98370</v>
      </c>
    </row>
    <row r="127" spans="1:5" x14ac:dyDescent="0.2">
      <c r="A127">
        <v>126</v>
      </c>
      <c r="B127" t="s">
        <v>5</v>
      </c>
      <c r="C127" s="1">
        <v>43948</v>
      </c>
      <c r="D127" t="s">
        <v>36</v>
      </c>
      <c r="E127">
        <v>37283</v>
      </c>
    </row>
  </sheetData>
  <sortState xmlns:xlrd2="http://schemas.microsoft.com/office/spreadsheetml/2017/richdata2" ref="B2:F127">
    <sortCondition ref="B2:B127"/>
    <sortCondition ref="D2:D127"/>
  </sortState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D869-3135-7C4E-8689-A290D304F2E6}">
  <dimension ref="A3:J49"/>
  <sheetViews>
    <sheetView workbookViewId="0">
      <selection activeCell="F41" sqref="F41"/>
    </sheetView>
  </sheetViews>
  <sheetFormatPr baseColWidth="10" defaultRowHeight="16" x14ac:dyDescent="0.2"/>
  <cols>
    <col min="3" max="3" width="16.5" bestFit="1" customWidth="1"/>
    <col min="4" max="4" width="13.5" bestFit="1" customWidth="1"/>
    <col min="5" max="5" width="18.33203125" bestFit="1" customWidth="1"/>
    <col min="6" max="6" width="25.5" bestFit="1" customWidth="1"/>
    <col min="7" max="7" width="15.33203125" bestFit="1" customWidth="1"/>
    <col min="8" max="8" width="14.5" bestFit="1" customWidth="1"/>
    <col min="9" max="9" width="13" bestFit="1" customWidth="1"/>
    <col min="10" max="10" width="12.33203125" bestFit="1" customWidth="1"/>
  </cols>
  <sheetData>
    <row r="3" spans="1:10" x14ac:dyDescent="0.2">
      <c r="A3" t="s">
        <v>0</v>
      </c>
      <c r="B3" t="s">
        <v>1</v>
      </c>
      <c r="C3" t="s">
        <v>791</v>
      </c>
      <c r="D3" t="s">
        <v>3</v>
      </c>
      <c r="E3" t="s">
        <v>789</v>
      </c>
      <c r="F3" t="s">
        <v>790</v>
      </c>
      <c r="G3" t="s">
        <v>792</v>
      </c>
      <c r="H3" t="s">
        <v>793</v>
      </c>
      <c r="I3" t="s">
        <v>794</v>
      </c>
      <c r="J3" t="s">
        <v>795</v>
      </c>
    </row>
    <row r="4" spans="1:10" x14ac:dyDescent="0.2">
      <c r="A4">
        <v>1</v>
      </c>
      <c r="B4" t="s">
        <v>5</v>
      </c>
      <c r="C4">
        <v>1759141</v>
      </c>
      <c r="D4">
        <v>16.845372661145699</v>
      </c>
      <c r="E4">
        <v>2448787</v>
      </c>
      <c r="F4">
        <v>10653170</v>
      </c>
      <c r="G4">
        <v>2589978</v>
      </c>
      <c r="H4">
        <v>1016973</v>
      </c>
      <c r="I4">
        <v>2852879</v>
      </c>
      <c r="J4">
        <v>1308031</v>
      </c>
    </row>
    <row r="5" spans="1:10" x14ac:dyDescent="0.2">
      <c r="A5">
        <v>2</v>
      </c>
      <c r="B5" t="s">
        <v>6</v>
      </c>
      <c r="C5">
        <v>1618273</v>
      </c>
      <c r="D5">
        <v>17.498669941133802</v>
      </c>
      <c r="E5">
        <v>2011878</v>
      </c>
      <c r="F5">
        <v>8416986</v>
      </c>
      <c r="G5">
        <v>1949932</v>
      </c>
      <c r="H5">
        <v>816246</v>
      </c>
      <c r="I5">
        <v>2093918</v>
      </c>
      <c r="J5">
        <v>912642</v>
      </c>
    </row>
    <row r="6" spans="1:10" x14ac:dyDescent="0.2">
      <c r="A6">
        <v>3</v>
      </c>
      <c r="B6" t="s">
        <v>7</v>
      </c>
      <c r="C6">
        <v>795753</v>
      </c>
      <c r="D6">
        <v>16.8327422192895</v>
      </c>
      <c r="E6">
        <v>1082790</v>
      </c>
      <c r="F6">
        <v>4333446</v>
      </c>
      <c r="G6">
        <v>1075194</v>
      </c>
      <c r="H6">
        <v>444546</v>
      </c>
      <c r="I6">
        <v>1108638</v>
      </c>
      <c r="J6">
        <v>472500</v>
      </c>
    </row>
    <row r="7" spans="1:10" x14ac:dyDescent="0.2">
      <c r="A7">
        <v>4</v>
      </c>
      <c r="B7" t="s">
        <v>8</v>
      </c>
      <c r="C7">
        <v>217547</v>
      </c>
      <c r="D7">
        <v>31.062461348175599</v>
      </c>
      <c r="E7">
        <v>467984</v>
      </c>
      <c r="F7">
        <v>2050170</v>
      </c>
      <c r="G7">
        <v>484698</v>
      </c>
      <c r="H7">
        <v>203656</v>
      </c>
      <c r="I7">
        <v>570000</v>
      </c>
      <c r="J7">
        <v>229176</v>
      </c>
    </row>
    <row r="8" spans="1:10" x14ac:dyDescent="0.2">
      <c r="A8">
        <v>5</v>
      </c>
      <c r="B8" t="s">
        <v>9</v>
      </c>
      <c r="C8">
        <v>130175</v>
      </c>
      <c r="D8">
        <v>39.717066556352201</v>
      </c>
      <c r="E8">
        <v>91578</v>
      </c>
      <c r="F8">
        <v>742382</v>
      </c>
      <c r="G8">
        <v>55494</v>
      </c>
      <c r="H8">
        <v>32466</v>
      </c>
      <c r="I8">
        <v>313082</v>
      </c>
      <c r="J8">
        <v>201086</v>
      </c>
    </row>
    <row r="9" spans="1:10" x14ac:dyDescent="0.2">
      <c r="A9">
        <v>6</v>
      </c>
      <c r="B9" t="s">
        <v>10</v>
      </c>
      <c r="C9">
        <v>124499</v>
      </c>
      <c r="D9">
        <v>29.911699507389098</v>
      </c>
      <c r="E9">
        <v>207014</v>
      </c>
      <c r="F9">
        <v>1250900</v>
      </c>
      <c r="G9">
        <v>126764</v>
      </c>
      <c r="H9">
        <v>58686</v>
      </c>
      <c r="I9">
        <v>500716</v>
      </c>
      <c r="J9">
        <v>302610</v>
      </c>
    </row>
    <row r="10" spans="1:10" x14ac:dyDescent="0.2">
      <c r="A10">
        <v>7</v>
      </c>
      <c r="B10" t="s">
        <v>11</v>
      </c>
      <c r="C10">
        <v>2139</v>
      </c>
      <c r="D10">
        <v>50.373015873015802</v>
      </c>
      <c r="E10">
        <v>0</v>
      </c>
      <c r="F10">
        <v>18306</v>
      </c>
      <c r="G10">
        <v>2232</v>
      </c>
      <c r="H10">
        <v>2592</v>
      </c>
      <c r="I10">
        <v>6174</v>
      </c>
      <c r="J10">
        <v>1764</v>
      </c>
    </row>
    <row r="31" spans="2:5" x14ac:dyDescent="0.2">
      <c r="B31" s="17" t="s">
        <v>1193</v>
      </c>
    </row>
    <row r="32" spans="2:5" x14ac:dyDescent="0.2">
      <c r="B32" s="14" t="s">
        <v>1183</v>
      </c>
      <c r="C32" s="14" t="s">
        <v>1184</v>
      </c>
      <c r="D32" s="14" t="s">
        <v>1185</v>
      </c>
      <c r="E32" s="14" t="s">
        <v>1186</v>
      </c>
    </row>
    <row r="33" spans="2:6" x14ac:dyDescent="0.2">
      <c r="B33" s="14" t="s">
        <v>5</v>
      </c>
      <c r="C33" s="15">
        <v>2448787</v>
      </c>
      <c r="D33" s="16" t="s">
        <v>1187</v>
      </c>
      <c r="E33" s="16" t="s">
        <v>1188</v>
      </c>
    </row>
    <row r="34" spans="2:6" x14ac:dyDescent="0.2">
      <c r="B34" s="14" t="s">
        <v>6</v>
      </c>
      <c r="C34" s="15">
        <v>2011878</v>
      </c>
      <c r="D34" s="16" t="s">
        <v>1189</v>
      </c>
      <c r="E34" s="16" t="s">
        <v>1190</v>
      </c>
    </row>
    <row r="35" spans="2:6" x14ac:dyDescent="0.2">
      <c r="B35" s="14" t="s">
        <v>9</v>
      </c>
      <c r="C35" s="15">
        <v>91578</v>
      </c>
      <c r="D35" s="16" t="s">
        <v>1191</v>
      </c>
      <c r="E35" s="16" t="s">
        <v>1192</v>
      </c>
    </row>
    <row r="38" spans="2:6" x14ac:dyDescent="0.2">
      <c r="B38" s="18" t="s">
        <v>1194</v>
      </c>
    </row>
    <row r="39" spans="2:6" x14ac:dyDescent="0.2">
      <c r="B39" s="14" t="s">
        <v>1183</v>
      </c>
      <c r="C39" s="14" t="s">
        <v>1195</v>
      </c>
      <c r="D39" s="14" t="s">
        <v>1196</v>
      </c>
      <c r="E39" s="14" t="s">
        <v>1186</v>
      </c>
    </row>
    <row r="40" spans="2:6" x14ac:dyDescent="0.2">
      <c r="B40" s="14" t="s">
        <v>5</v>
      </c>
      <c r="C40" s="16" t="s">
        <v>1197</v>
      </c>
      <c r="D40" s="16">
        <v>16.8</v>
      </c>
      <c r="E40" s="16" t="s">
        <v>1198</v>
      </c>
    </row>
    <row r="41" spans="2:6" x14ac:dyDescent="0.2">
      <c r="B41" s="14" t="s">
        <v>8</v>
      </c>
      <c r="C41" s="16" t="s">
        <v>1201</v>
      </c>
      <c r="D41" s="16">
        <v>31.1</v>
      </c>
      <c r="E41" s="16" t="s">
        <v>1202</v>
      </c>
    </row>
    <row r="42" spans="2:6" x14ac:dyDescent="0.2">
      <c r="B42" s="14" t="s">
        <v>9</v>
      </c>
      <c r="C42" s="16" t="s">
        <v>1199</v>
      </c>
      <c r="D42" s="16">
        <v>39.700000000000003</v>
      </c>
      <c r="E42" s="16" t="s">
        <v>1200</v>
      </c>
    </row>
    <row r="45" spans="2:6" x14ac:dyDescent="0.2">
      <c r="B45" s="18" t="s">
        <v>1203</v>
      </c>
    </row>
    <row r="46" spans="2:6" x14ac:dyDescent="0.2">
      <c r="B46" s="19" t="s">
        <v>1183</v>
      </c>
      <c r="C46" s="19" t="s">
        <v>1204</v>
      </c>
      <c r="D46" s="19" t="s">
        <v>1205</v>
      </c>
      <c r="E46" s="19" t="s">
        <v>1206</v>
      </c>
      <c r="F46" s="19" t="s">
        <v>1186</v>
      </c>
    </row>
    <row r="47" spans="2:6" x14ac:dyDescent="0.2">
      <c r="B47" s="19" t="s">
        <v>5</v>
      </c>
      <c r="C47" s="20">
        <v>2852879</v>
      </c>
      <c r="D47" s="20">
        <v>1308031</v>
      </c>
      <c r="E47" s="19">
        <v>16.8</v>
      </c>
      <c r="F47" s="19" t="s">
        <v>1208</v>
      </c>
    </row>
    <row r="48" spans="2:6" x14ac:dyDescent="0.2">
      <c r="B48" s="19" t="s">
        <v>10</v>
      </c>
      <c r="C48" s="20">
        <v>500716</v>
      </c>
      <c r="D48" s="20">
        <v>302610</v>
      </c>
      <c r="E48" s="19">
        <v>29.9</v>
      </c>
      <c r="F48" s="19" t="s">
        <v>1207</v>
      </c>
    </row>
    <row r="49" spans="2:6" x14ac:dyDescent="0.2">
      <c r="B49" s="19" t="s">
        <v>9</v>
      </c>
      <c r="C49" s="20">
        <v>313082</v>
      </c>
      <c r="D49" s="20">
        <v>201086</v>
      </c>
      <c r="E49" s="19">
        <v>39.700000000000003</v>
      </c>
      <c r="F49" s="19" t="s">
        <v>1209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31F6-2E1E-D847-BB77-424774A9473E}">
  <dimension ref="A1:D8"/>
  <sheetViews>
    <sheetView workbookViewId="0">
      <selection activeCell="F11" sqref="F11"/>
    </sheetView>
  </sheetViews>
  <sheetFormatPr baseColWidth="10" defaultRowHeight="16" x14ac:dyDescent="0.2"/>
  <sheetData>
    <row r="1" spans="1:4" x14ac:dyDescent="0.2">
      <c r="A1" s="14" t="s">
        <v>1183</v>
      </c>
      <c r="B1" s="14" t="s">
        <v>1210</v>
      </c>
      <c r="C1" s="14" t="s">
        <v>1211</v>
      </c>
      <c r="D1" s="14" t="s">
        <v>1212</v>
      </c>
    </row>
    <row r="2" spans="1:4" x14ac:dyDescent="0.2">
      <c r="A2" s="14" t="s">
        <v>5</v>
      </c>
      <c r="B2" s="16" t="s">
        <v>1213</v>
      </c>
      <c r="C2" s="16" t="s">
        <v>1214</v>
      </c>
      <c r="D2" s="16" t="s">
        <v>1215</v>
      </c>
    </row>
    <row r="3" spans="1:4" x14ac:dyDescent="0.2">
      <c r="A3" s="14" t="s">
        <v>6</v>
      </c>
      <c r="B3" s="16" t="s">
        <v>1216</v>
      </c>
      <c r="C3" s="16" t="s">
        <v>1217</v>
      </c>
      <c r="D3" s="16" t="s">
        <v>1218</v>
      </c>
    </row>
    <row r="4" spans="1:4" x14ac:dyDescent="0.2">
      <c r="A4" s="14" t="s">
        <v>7</v>
      </c>
      <c r="B4" s="16" t="s">
        <v>1219</v>
      </c>
      <c r="C4" s="16" t="s">
        <v>1220</v>
      </c>
      <c r="D4" s="16" t="s">
        <v>1221</v>
      </c>
    </row>
    <row r="5" spans="1:4" x14ac:dyDescent="0.2">
      <c r="A5" s="14" t="s">
        <v>8</v>
      </c>
      <c r="B5" s="16" t="s">
        <v>1222</v>
      </c>
      <c r="C5" s="16" t="s">
        <v>1223</v>
      </c>
      <c r="D5" s="14" t="s">
        <v>1224</v>
      </c>
    </row>
    <row r="6" spans="1:4" x14ac:dyDescent="0.2">
      <c r="A6" s="14" t="s">
        <v>10</v>
      </c>
      <c r="B6" s="16" t="s">
        <v>1225</v>
      </c>
      <c r="C6" s="16" t="s">
        <v>1226</v>
      </c>
      <c r="D6" s="14" t="s">
        <v>1227</v>
      </c>
    </row>
    <row r="7" spans="1:4" x14ac:dyDescent="0.2">
      <c r="A7" s="14" t="s">
        <v>9</v>
      </c>
      <c r="B7" s="16" t="s">
        <v>1225</v>
      </c>
      <c r="C7" s="16" t="s">
        <v>1228</v>
      </c>
      <c r="D7" s="14" t="s">
        <v>1229</v>
      </c>
    </row>
    <row r="8" spans="1:4" x14ac:dyDescent="0.2">
      <c r="A8" s="14" t="s">
        <v>11</v>
      </c>
      <c r="B8" s="16" t="s">
        <v>1230</v>
      </c>
      <c r="C8" s="16" t="s">
        <v>1231</v>
      </c>
      <c r="D8" s="16" t="s">
        <v>1232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48BF-3C94-834D-86FE-4638FF56CF6D}">
  <dimension ref="A1:J21"/>
  <sheetViews>
    <sheetView showGridLines="0" topLeftCell="A7" zoomScale="104" workbookViewId="0">
      <selection activeCell="R26" sqref="R26"/>
    </sheetView>
  </sheetViews>
  <sheetFormatPr baseColWidth="10" defaultColWidth="11" defaultRowHeight="16" x14ac:dyDescent="0.2"/>
  <cols>
    <col min="1" max="1" width="10" customWidth="1"/>
    <col min="2" max="2" width="11.83203125" customWidth="1"/>
    <col min="3" max="3" width="10.83203125" customWidth="1"/>
    <col min="4" max="4" width="9.6640625" customWidth="1"/>
    <col min="6" max="6" width="16.6640625" bestFit="1" customWidth="1"/>
    <col min="7" max="7" width="16.5" bestFit="1" customWidth="1"/>
    <col min="8" max="10" width="11.1640625" bestFit="1" customWidth="1"/>
    <col min="11" max="11" width="10.5" bestFit="1" customWidth="1"/>
  </cols>
  <sheetData>
    <row r="1" spans="1:10" x14ac:dyDescent="0.2">
      <c r="A1" t="s">
        <v>44</v>
      </c>
      <c r="B1" t="s">
        <v>1</v>
      </c>
      <c r="C1" t="s">
        <v>2</v>
      </c>
      <c r="D1" t="s">
        <v>52</v>
      </c>
    </row>
    <row r="2" spans="1:10" x14ac:dyDescent="0.2">
      <c r="A2" t="s">
        <v>45</v>
      </c>
      <c r="B2" t="s">
        <v>8</v>
      </c>
      <c r="C2">
        <v>45837</v>
      </c>
      <c r="D2">
        <v>31.636606708799199</v>
      </c>
    </row>
    <row r="3" spans="1:10" x14ac:dyDescent="0.2">
      <c r="A3" t="s">
        <v>46</v>
      </c>
      <c r="B3" t="s">
        <v>8</v>
      </c>
      <c r="C3">
        <v>61082</v>
      </c>
      <c r="D3">
        <v>30.722135543637201</v>
      </c>
      <c r="F3" s="2" t="s">
        <v>53</v>
      </c>
      <c r="G3" s="2" t="s">
        <v>17</v>
      </c>
    </row>
    <row r="4" spans="1:10" x14ac:dyDescent="0.2">
      <c r="A4" t="s">
        <v>47</v>
      </c>
      <c r="B4" t="s">
        <v>8</v>
      </c>
      <c r="C4">
        <v>111591</v>
      </c>
      <c r="D4">
        <v>31.163774912074999</v>
      </c>
      <c r="F4" s="2" t="s">
        <v>19</v>
      </c>
      <c r="G4" t="s">
        <v>45</v>
      </c>
      <c r="H4" t="s">
        <v>46</v>
      </c>
      <c r="I4" t="s">
        <v>47</v>
      </c>
      <c r="J4" t="s">
        <v>20</v>
      </c>
    </row>
    <row r="5" spans="1:10" x14ac:dyDescent="0.2">
      <c r="A5" t="s">
        <v>45</v>
      </c>
      <c r="B5" t="s">
        <v>6</v>
      </c>
      <c r="C5">
        <v>421492</v>
      </c>
      <c r="D5">
        <v>16.735813057276701</v>
      </c>
      <c r="F5" s="3" t="s">
        <v>5</v>
      </c>
      <c r="G5" s="8">
        <v>466615</v>
      </c>
      <c r="H5" s="8">
        <v>705025</v>
      </c>
      <c r="I5" s="8">
        <v>593020</v>
      </c>
      <c r="J5" s="8">
        <v>1764660</v>
      </c>
    </row>
    <row r="6" spans="1:10" x14ac:dyDescent="0.2">
      <c r="A6" t="s">
        <v>46</v>
      </c>
      <c r="B6" t="s">
        <v>6</v>
      </c>
      <c r="C6">
        <v>607977</v>
      </c>
      <c r="D6">
        <v>17.795171433390301</v>
      </c>
      <c r="F6" s="3" t="s">
        <v>6</v>
      </c>
      <c r="G6" s="8">
        <v>421492</v>
      </c>
      <c r="H6" s="8">
        <v>607977</v>
      </c>
      <c r="I6" s="8">
        <v>593120</v>
      </c>
      <c r="J6" s="8">
        <v>1622589</v>
      </c>
    </row>
    <row r="7" spans="1:10" x14ac:dyDescent="0.2">
      <c r="A7" t="s">
        <v>47</v>
      </c>
      <c r="B7" t="s">
        <v>6</v>
      </c>
      <c r="C7">
        <v>593120</v>
      </c>
      <c r="D7">
        <v>17.8188866469498</v>
      </c>
      <c r="F7" s="3" t="s">
        <v>7</v>
      </c>
      <c r="G7" s="8">
        <v>236063</v>
      </c>
      <c r="H7" s="8">
        <v>313402</v>
      </c>
      <c r="I7" s="8">
        <v>253732</v>
      </c>
      <c r="J7" s="8">
        <v>803197</v>
      </c>
    </row>
    <row r="8" spans="1:10" x14ac:dyDescent="0.2">
      <c r="A8" t="s">
        <v>45</v>
      </c>
      <c r="B8" t="s">
        <v>7</v>
      </c>
      <c r="C8">
        <v>236063</v>
      </c>
      <c r="D8">
        <v>17.841597796143201</v>
      </c>
      <c r="F8" s="3" t="s">
        <v>8</v>
      </c>
      <c r="G8" s="8">
        <v>45837</v>
      </c>
      <c r="H8" s="8">
        <v>61082</v>
      </c>
      <c r="I8" s="8">
        <v>111591</v>
      </c>
      <c r="J8" s="8">
        <v>218510</v>
      </c>
    </row>
    <row r="9" spans="1:10" x14ac:dyDescent="0.2">
      <c r="A9" t="s">
        <v>46</v>
      </c>
      <c r="B9" t="s">
        <v>7</v>
      </c>
      <c r="C9">
        <v>313402</v>
      </c>
      <c r="D9">
        <v>15.847644394639699</v>
      </c>
      <c r="F9" s="3" t="s">
        <v>9</v>
      </c>
      <c r="G9" s="8">
        <v>68543</v>
      </c>
      <c r="H9" s="8">
        <v>30913</v>
      </c>
      <c r="I9" s="8">
        <v>30867</v>
      </c>
      <c r="J9" s="8">
        <v>130323</v>
      </c>
    </row>
    <row r="10" spans="1:10" x14ac:dyDescent="0.2">
      <c r="A10" t="s">
        <v>47</v>
      </c>
      <c r="B10" t="s">
        <v>7</v>
      </c>
      <c r="C10">
        <v>253732</v>
      </c>
      <c r="D10">
        <v>17.192896078776101</v>
      </c>
      <c r="F10" s="3" t="s">
        <v>10</v>
      </c>
      <c r="G10" s="8">
        <v>38000</v>
      </c>
      <c r="H10" s="8">
        <v>58222</v>
      </c>
      <c r="I10" s="8">
        <v>28936</v>
      </c>
      <c r="J10" s="8">
        <v>125158</v>
      </c>
    </row>
    <row r="11" spans="1:10" x14ac:dyDescent="0.2">
      <c r="A11" t="s">
        <v>45</v>
      </c>
      <c r="B11" t="s">
        <v>10</v>
      </c>
      <c r="C11">
        <v>38000</v>
      </c>
      <c r="D11">
        <v>34.385050117295798</v>
      </c>
      <c r="F11" s="3" t="s">
        <v>11</v>
      </c>
      <c r="G11" s="8"/>
      <c r="H11" s="8">
        <v>329</v>
      </c>
      <c r="I11" s="8">
        <v>1810</v>
      </c>
      <c r="J11" s="8">
        <v>2139</v>
      </c>
    </row>
    <row r="12" spans="1:10" x14ac:dyDescent="0.2">
      <c r="A12" t="s">
        <v>46</v>
      </c>
      <c r="B12" t="s">
        <v>10</v>
      </c>
      <c r="C12">
        <v>58222</v>
      </c>
      <c r="D12">
        <v>30.743308468626498</v>
      </c>
      <c r="F12" s="3" t="s">
        <v>20</v>
      </c>
      <c r="G12" s="8">
        <v>1276550</v>
      </c>
      <c r="H12" s="8">
        <v>1776950</v>
      </c>
      <c r="I12" s="8">
        <v>1613076</v>
      </c>
      <c r="J12" s="8">
        <v>4666576</v>
      </c>
    </row>
    <row r="13" spans="1:10" x14ac:dyDescent="0.2">
      <c r="A13" t="s">
        <v>47</v>
      </c>
      <c r="B13" t="s">
        <v>10</v>
      </c>
      <c r="C13">
        <v>28936</v>
      </c>
      <c r="D13">
        <v>23.540718562874201</v>
      </c>
    </row>
    <row r="14" spans="1:10" x14ac:dyDescent="0.2">
      <c r="A14" t="s">
        <v>45</v>
      </c>
      <c r="B14" t="s">
        <v>9</v>
      </c>
      <c r="C14">
        <v>68543</v>
      </c>
      <c r="D14">
        <v>39.885755955274597</v>
      </c>
    </row>
    <row r="15" spans="1:10" x14ac:dyDescent="0.2">
      <c r="A15" t="s">
        <v>46</v>
      </c>
      <c r="B15" t="s">
        <v>9</v>
      </c>
      <c r="C15">
        <v>30913</v>
      </c>
      <c r="D15">
        <v>46.947945628668499</v>
      </c>
    </row>
    <row r="16" spans="1:10" x14ac:dyDescent="0.2">
      <c r="A16" t="s">
        <v>47</v>
      </c>
      <c r="B16" t="s">
        <v>9</v>
      </c>
      <c r="C16">
        <v>30867</v>
      </c>
      <c r="D16">
        <v>34.691706730769198</v>
      </c>
    </row>
    <row r="17" spans="1:4" x14ac:dyDescent="0.2">
      <c r="A17" t="s">
        <v>46</v>
      </c>
      <c r="B17" t="s">
        <v>11</v>
      </c>
      <c r="C17">
        <v>329</v>
      </c>
      <c r="D17">
        <v>49.404958677685897</v>
      </c>
    </row>
    <row r="18" spans="1:4" x14ac:dyDescent="0.2">
      <c r="A18" t="s">
        <v>47</v>
      </c>
      <c r="B18" t="s">
        <v>11</v>
      </c>
      <c r="C18">
        <v>1810</v>
      </c>
      <c r="D18">
        <v>50.681818181818102</v>
      </c>
    </row>
    <row r="19" spans="1:4" x14ac:dyDescent="0.2">
      <c r="A19" t="s">
        <v>45</v>
      </c>
      <c r="B19" t="s">
        <v>5</v>
      </c>
      <c r="C19">
        <v>466615</v>
      </c>
      <c r="D19">
        <v>17.659700920245399</v>
      </c>
    </row>
    <row r="20" spans="1:4" x14ac:dyDescent="0.2">
      <c r="A20" t="s">
        <v>46</v>
      </c>
      <c r="B20" t="s">
        <v>5</v>
      </c>
      <c r="C20">
        <v>705025</v>
      </c>
      <c r="D20">
        <v>16.647343912383</v>
      </c>
    </row>
    <row r="21" spans="1:4" x14ac:dyDescent="0.2">
      <c r="A21" t="s">
        <v>47</v>
      </c>
      <c r="B21" t="s">
        <v>5</v>
      </c>
      <c r="C21">
        <v>593020</v>
      </c>
      <c r="D21">
        <v>16.3788297338021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ABFA-EC3C-8A4E-B4B1-8223EDC03C41}">
  <dimension ref="A1:AF2782"/>
  <sheetViews>
    <sheetView topLeftCell="K1" zoomScale="92" zoomScaleNormal="230" workbookViewId="0">
      <selection activeCell="X2" sqref="X2"/>
    </sheetView>
  </sheetViews>
  <sheetFormatPr baseColWidth="10" defaultRowHeight="16" x14ac:dyDescent="0.2"/>
  <cols>
    <col min="8" max="8" width="13" bestFit="1" customWidth="1"/>
    <col min="9" max="9" width="18.33203125" bestFit="1" customWidth="1"/>
    <col min="14" max="14" width="18.5" bestFit="1" customWidth="1"/>
    <col min="15" max="15" width="18.33203125" bestFit="1" customWidth="1"/>
    <col min="17" max="17" width="18.5" bestFit="1" customWidth="1"/>
    <col min="20" max="20" width="20" bestFit="1" customWidth="1"/>
    <col min="21" max="21" width="18.33203125" bestFit="1" customWidth="1"/>
    <col min="23" max="23" width="20" bestFit="1" customWidth="1"/>
    <col min="26" max="26" width="18.1640625" bestFit="1" customWidth="1"/>
    <col min="27" max="27" width="18.6640625" bestFit="1" customWidth="1"/>
    <col min="29" max="29" width="20" bestFit="1" customWidth="1"/>
    <col min="32" max="32" width="18.1640625" bestFit="1" customWidth="1"/>
  </cols>
  <sheetData>
    <row r="1" spans="1:32" x14ac:dyDescent="0.2">
      <c r="A1" s="10" t="s">
        <v>54</v>
      </c>
      <c r="B1" s="10" t="s">
        <v>55</v>
      </c>
      <c r="C1" s="10" t="s">
        <v>44</v>
      </c>
      <c r="D1" s="10" t="s">
        <v>56</v>
      </c>
      <c r="E1" s="10" t="s">
        <v>1</v>
      </c>
      <c r="F1" s="10" t="s">
        <v>14</v>
      </c>
      <c r="H1" s="2" t="s">
        <v>1</v>
      </c>
      <c r="I1" t="s">
        <v>48</v>
      </c>
      <c r="N1" s="2" t="s">
        <v>1</v>
      </c>
      <c r="O1" t="s">
        <v>48</v>
      </c>
      <c r="T1" s="2" t="s">
        <v>1</v>
      </c>
      <c r="U1" t="s">
        <v>48</v>
      </c>
      <c r="Z1" s="2" t="s">
        <v>1</v>
      </c>
      <c r="AA1" t="s">
        <v>48</v>
      </c>
    </row>
    <row r="2" spans="1:32" x14ac:dyDescent="0.2">
      <c r="A2" s="10" t="s">
        <v>704</v>
      </c>
      <c r="B2" s="10" t="s">
        <v>704</v>
      </c>
      <c r="C2" s="10" t="s">
        <v>47</v>
      </c>
      <c r="D2" s="10">
        <v>659</v>
      </c>
      <c r="E2" s="10" t="s">
        <v>7</v>
      </c>
      <c r="F2" s="10">
        <v>1209</v>
      </c>
      <c r="N2" s="2" t="s">
        <v>54</v>
      </c>
      <c r="O2" t="s">
        <v>652</v>
      </c>
      <c r="T2" s="2" t="s">
        <v>54</v>
      </c>
      <c r="U2" t="s">
        <v>100</v>
      </c>
      <c r="Z2" s="2" t="s">
        <v>54</v>
      </c>
      <c r="AA2" t="s">
        <v>171</v>
      </c>
    </row>
    <row r="3" spans="1:32" x14ac:dyDescent="0.2">
      <c r="A3" s="10" t="s">
        <v>57</v>
      </c>
      <c r="B3" s="10" t="s">
        <v>58</v>
      </c>
      <c r="C3" s="10" t="s">
        <v>47</v>
      </c>
      <c r="D3" s="10">
        <v>99503</v>
      </c>
      <c r="E3" s="10" t="s">
        <v>6</v>
      </c>
      <c r="F3" s="10">
        <v>841</v>
      </c>
      <c r="H3" s="2" t="s">
        <v>19</v>
      </c>
      <c r="I3" t="s">
        <v>16</v>
      </c>
      <c r="W3" s="11"/>
      <c r="X3" s="11"/>
      <c r="AC3" s="11"/>
      <c r="AD3" s="11"/>
    </row>
    <row r="4" spans="1:32" x14ac:dyDescent="0.2">
      <c r="A4" s="10" t="s">
        <v>57</v>
      </c>
      <c r="B4" s="10" t="s">
        <v>58</v>
      </c>
      <c r="C4" s="10" t="s">
        <v>47</v>
      </c>
      <c r="D4" s="10">
        <v>99515</v>
      </c>
      <c r="E4" s="10" t="s">
        <v>7</v>
      </c>
      <c r="F4" s="10">
        <v>830</v>
      </c>
      <c r="H4" s="3" t="s">
        <v>100</v>
      </c>
      <c r="I4">
        <v>525180</v>
      </c>
      <c r="K4" t="str">
        <f>H4</f>
        <v>CA</v>
      </c>
      <c r="L4">
        <f>I4</f>
        <v>525180</v>
      </c>
      <c r="N4" s="2" t="s">
        <v>19</v>
      </c>
      <c r="O4" t="s">
        <v>16</v>
      </c>
      <c r="Q4" s="11"/>
      <c r="R4" s="11"/>
      <c r="T4" s="2" t="s">
        <v>19</v>
      </c>
      <c r="U4" t="s">
        <v>16</v>
      </c>
      <c r="W4" s="11"/>
      <c r="X4" s="11"/>
      <c r="Z4" s="2" t="s">
        <v>19</v>
      </c>
      <c r="AA4" t="s">
        <v>16</v>
      </c>
      <c r="AC4" s="11"/>
      <c r="AD4" s="11"/>
    </row>
    <row r="5" spans="1:32" x14ac:dyDescent="0.2">
      <c r="A5" s="10" t="s">
        <v>57</v>
      </c>
      <c r="B5" s="10" t="s">
        <v>58</v>
      </c>
      <c r="C5" s="10" t="s">
        <v>47</v>
      </c>
      <c r="D5" s="10">
        <v>99501</v>
      </c>
      <c r="E5" s="10" t="s">
        <v>6</v>
      </c>
      <c r="F5" s="10">
        <v>1333</v>
      </c>
      <c r="H5" s="3" t="s">
        <v>171</v>
      </c>
      <c r="I5">
        <v>469132</v>
      </c>
      <c r="K5" t="str">
        <f t="shared" ref="K5:L53" si="0">H5</f>
        <v>FL</v>
      </c>
      <c r="L5">
        <f t="shared" si="0"/>
        <v>469132</v>
      </c>
      <c r="N5" s="3" t="s">
        <v>669</v>
      </c>
      <c r="O5">
        <v>85388</v>
      </c>
      <c r="Q5" s="11" t="s">
        <v>669</v>
      </c>
      <c r="R5" s="11">
        <v>85388</v>
      </c>
      <c r="T5" s="3" t="s">
        <v>127</v>
      </c>
      <c r="U5">
        <v>139101</v>
      </c>
      <c r="W5" s="11" t="s">
        <v>127</v>
      </c>
      <c r="X5" s="11">
        <v>139101</v>
      </c>
      <c r="Z5" s="3" t="s">
        <v>185</v>
      </c>
      <c r="AA5">
        <v>65187</v>
      </c>
      <c r="AC5" s="11" t="s">
        <v>281</v>
      </c>
      <c r="AD5" s="11">
        <v>46512</v>
      </c>
      <c r="AF5" s="3"/>
    </row>
    <row r="6" spans="1:32" x14ac:dyDescent="0.2">
      <c r="A6" s="10" t="s">
        <v>57</v>
      </c>
      <c r="B6" s="10" t="s">
        <v>59</v>
      </c>
      <c r="C6" s="10" t="s">
        <v>47</v>
      </c>
      <c r="D6" s="10">
        <v>99801</v>
      </c>
      <c r="E6" s="10" t="s">
        <v>7</v>
      </c>
      <c r="F6" s="10">
        <v>735</v>
      </c>
      <c r="H6" s="3" t="s">
        <v>652</v>
      </c>
      <c r="I6">
        <v>434013</v>
      </c>
      <c r="K6" t="str">
        <f t="shared" si="0"/>
        <v>TX</v>
      </c>
      <c r="L6">
        <f t="shared" si="0"/>
        <v>434013</v>
      </c>
      <c r="N6" s="3" t="s">
        <v>657</v>
      </c>
      <c r="O6">
        <v>35208</v>
      </c>
      <c r="Q6" s="11" t="s">
        <v>657</v>
      </c>
      <c r="R6" s="11">
        <v>35208</v>
      </c>
      <c r="T6" s="3" t="s">
        <v>112</v>
      </c>
      <c r="U6">
        <v>54120</v>
      </c>
      <c r="W6" s="11" t="s">
        <v>112</v>
      </c>
      <c r="X6" s="11">
        <v>54120</v>
      </c>
      <c r="Z6" s="3" t="s">
        <v>198</v>
      </c>
      <c r="AA6">
        <v>37841</v>
      </c>
      <c r="AC6" s="11" t="s">
        <v>277</v>
      </c>
      <c r="AD6" s="11">
        <v>28717</v>
      </c>
      <c r="AF6" s="3"/>
    </row>
    <row r="7" spans="1:32" x14ac:dyDescent="0.2">
      <c r="A7" s="10" t="s">
        <v>57</v>
      </c>
      <c r="B7" s="10" t="s">
        <v>60</v>
      </c>
      <c r="C7" s="10" t="s">
        <v>47</v>
      </c>
      <c r="D7" s="10">
        <v>99701</v>
      </c>
      <c r="E7" s="10" t="s">
        <v>7</v>
      </c>
      <c r="F7" s="10">
        <v>800</v>
      </c>
      <c r="H7" s="3" t="s">
        <v>521</v>
      </c>
      <c r="I7">
        <v>271396</v>
      </c>
      <c r="K7" t="str">
        <f t="shared" si="0"/>
        <v>NY</v>
      </c>
      <c r="L7">
        <f t="shared" si="0"/>
        <v>271396</v>
      </c>
      <c r="N7" s="3" t="s">
        <v>258</v>
      </c>
      <c r="O7">
        <v>31179</v>
      </c>
      <c r="Q7" s="11" t="s">
        <v>258</v>
      </c>
      <c r="R7" s="11">
        <v>31179</v>
      </c>
      <c r="T7" s="3" t="s">
        <v>126</v>
      </c>
      <c r="U7">
        <v>51250</v>
      </c>
      <c r="W7" s="11" t="s">
        <v>126</v>
      </c>
      <c r="X7" s="11">
        <v>51250</v>
      </c>
      <c r="Z7" s="3" t="s">
        <v>196</v>
      </c>
      <c r="AA7">
        <v>33375</v>
      </c>
      <c r="AC7" s="11" t="s">
        <v>274</v>
      </c>
      <c r="AD7" s="11">
        <v>23206</v>
      </c>
      <c r="AF7" s="3"/>
    </row>
    <row r="8" spans="1:32" x14ac:dyDescent="0.2">
      <c r="A8" s="10" t="s">
        <v>61</v>
      </c>
      <c r="B8" s="10" t="s">
        <v>62</v>
      </c>
      <c r="C8" s="10" t="s">
        <v>45</v>
      </c>
      <c r="D8" s="10">
        <v>35801</v>
      </c>
      <c r="E8" s="10" t="s">
        <v>6</v>
      </c>
      <c r="F8" s="10">
        <v>2837</v>
      </c>
      <c r="H8" s="3" t="s">
        <v>209</v>
      </c>
      <c r="I8">
        <v>191139</v>
      </c>
      <c r="K8" t="str">
        <f t="shared" si="0"/>
        <v>GA</v>
      </c>
      <c r="L8">
        <f t="shared" si="0"/>
        <v>191139</v>
      </c>
      <c r="N8" s="3" t="s">
        <v>686</v>
      </c>
      <c r="O8">
        <v>26588</v>
      </c>
      <c r="Q8" s="11" t="s">
        <v>686</v>
      </c>
      <c r="R8" s="11">
        <v>26588</v>
      </c>
      <c r="T8" s="3" t="s">
        <v>104</v>
      </c>
      <c r="U8">
        <v>43911</v>
      </c>
      <c r="W8" s="11" t="s">
        <v>104</v>
      </c>
      <c r="X8" s="11">
        <v>43911</v>
      </c>
      <c r="Z8" s="3" t="s">
        <v>112</v>
      </c>
      <c r="AA8">
        <v>28410</v>
      </c>
      <c r="AC8" s="11" t="s">
        <v>278</v>
      </c>
      <c r="AD8" s="11">
        <v>7511</v>
      </c>
      <c r="AF8" s="3"/>
    </row>
    <row r="9" spans="1:32" x14ac:dyDescent="0.2">
      <c r="A9" s="10" t="s">
        <v>61</v>
      </c>
      <c r="B9" s="10" t="s">
        <v>63</v>
      </c>
      <c r="C9" s="10" t="s">
        <v>45</v>
      </c>
      <c r="D9" s="10">
        <v>36608</v>
      </c>
      <c r="E9" s="10" t="s">
        <v>6</v>
      </c>
      <c r="F9" s="10">
        <v>1393</v>
      </c>
      <c r="H9" s="3" t="s">
        <v>445</v>
      </c>
      <c r="I9">
        <v>156598</v>
      </c>
      <c r="K9" t="str">
        <f t="shared" si="0"/>
        <v>NC</v>
      </c>
      <c r="L9">
        <f t="shared" si="0"/>
        <v>156598</v>
      </c>
      <c r="N9" s="3" t="s">
        <v>666</v>
      </c>
      <c r="O9">
        <v>23961</v>
      </c>
      <c r="Q9" s="11" t="s">
        <v>666</v>
      </c>
      <c r="R9" s="11">
        <v>23961</v>
      </c>
      <c r="T9" s="3" t="s">
        <v>128</v>
      </c>
      <c r="U9">
        <v>38587</v>
      </c>
      <c r="W9" s="11" t="s">
        <v>128</v>
      </c>
      <c r="X9" s="11">
        <v>38587</v>
      </c>
      <c r="Z9" s="3" t="s">
        <v>186</v>
      </c>
      <c r="AA9">
        <v>27359</v>
      </c>
      <c r="AC9" s="11" t="s">
        <v>174</v>
      </c>
      <c r="AD9" s="13">
        <v>5940</v>
      </c>
      <c r="AF9" s="3"/>
    </row>
    <row r="10" spans="1:32" x14ac:dyDescent="0.2">
      <c r="A10" s="10" t="s">
        <v>61</v>
      </c>
      <c r="B10" s="10" t="s">
        <v>63</v>
      </c>
      <c r="C10" s="10" t="s">
        <v>45</v>
      </c>
      <c r="D10" s="10">
        <v>36619</v>
      </c>
      <c r="E10" s="10" t="s">
        <v>6</v>
      </c>
      <c r="F10" s="10">
        <v>1694</v>
      </c>
      <c r="H10" s="3" t="s">
        <v>546</v>
      </c>
      <c r="I10">
        <v>156239</v>
      </c>
      <c r="K10" t="str">
        <f t="shared" si="0"/>
        <v>OH</v>
      </c>
      <c r="L10">
        <f t="shared" si="0"/>
        <v>156239</v>
      </c>
      <c r="N10" s="3" t="s">
        <v>672</v>
      </c>
      <c r="O10">
        <v>21023</v>
      </c>
      <c r="Q10" s="11" t="s">
        <v>672</v>
      </c>
      <c r="R10" s="11">
        <v>21023</v>
      </c>
      <c r="T10" s="3" t="s">
        <v>113</v>
      </c>
      <c r="U10">
        <v>19329</v>
      </c>
      <c r="W10" s="11" t="s">
        <v>113</v>
      </c>
      <c r="X10" s="11">
        <v>19329</v>
      </c>
      <c r="Z10" s="3" t="s">
        <v>191</v>
      </c>
      <c r="AA10">
        <v>23846</v>
      </c>
      <c r="AC10" s="11" t="s">
        <v>62</v>
      </c>
      <c r="AD10" s="13">
        <v>4259</v>
      </c>
      <c r="AF10" s="3"/>
    </row>
    <row r="11" spans="1:32" x14ac:dyDescent="0.2">
      <c r="A11" s="10" t="s">
        <v>61</v>
      </c>
      <c r="B11" s="10" t="s">
        <v>62</v>
      </c>
      <c r="C11" s="10" t="s">
        <v>45</v>
      </c>
      <c r="D11" s="10">
        <v>35801</v>
      </c>
      <c r="E11" s="10" t="s">
        <v>5</v>
      </c>
      <c r="F11" s="10">
        <v>2339</v>
      </c>
      <c r="H11" s="3" t="s">
        <v>589</v>
      </c>
      <c r="I11">
        <v>155191</v>
      </c>
      <c r="K11" t="str">
        <f t="shared" si="0"/>
        <v>PA</v>
      </c>
      <c r="L11">
        <f t="shared" si="0"/>
        <v>155191</v>
      </c>
      <c r="N11" s="3" t="s">
        <v>664</v>
      </c>
      <c r="O11">
        <v>12586</v>
      </c>
      <c r="Q11" s="11" t="s">
        <v>664</v>
      </c>
      <c r="R11" s="11">
        <v>12586</v>
      </c>
      <c r="T11" s="3" t="s">
        <v>115</v>
      </c>
      <c r="U11">
        <v>17762</v>
      </c>
      <c r="W11" s="11" t="s">
        <v>115</v>
      </c>
      <c r="X11" s="11">
        <v>17762</v>
      </c>
      <c r="Z11" s="3" t="s">
        <v>200</v>
      </c>
      <c r="AA11">
        <v>21090</v>
      </c>
      <c r="AC11" s="11" t="s">
        <v>290</v>
      </c>
      <c r="AD11" s="11">
        <v>3741</v>
      </c>
      <c r="AF11" s="3"/>
    </row>
    <row r="12" spans="1:32" x14ac:dyDescent="0.2">
      <c r="A12" s="10" t="s">
        <v>61</v>
      </c>
      <c r="B12" s="10" t="s">
        <v>62</v>
      </c>
      <c r="C12" s="10" t="s">
        <v>45</v>
      </c>
      <c r="D12" s="10">
        <v>35758</v>
      </c>
      <c r="E12" s="10" t="s">
        <v>5</v>
      </c>
      <c r="F12" s="10">
        <v>2450</v>
      </c>
      <c r="H12" s="3" t="s">
        <v>272</v>
      </c>
      <c r="I12">
        <v>153355</v>
      </c>
      <c r="K12" t="str">
        <f t="shared" si="0"/>
        <v>IL</v>
      </c>
      <c r="L12">
        <f t="shared" si="0"/>
        <v>153355</v>
      </c>
      <c r="N12" s="3" t="s">
        <v>653</v>
      </c>
      <c r="O12">
        <v>9888</v>
      </c>
      <c r="Q12" s="11" t="s">
        <v>653</v>
      </c>
      <c r="R12" s="11">
        <v>9888</v>
      </c>
      <c r="T12" s="3" t="s">
        <v>114</v>
      </c>
      <c r="U12">
        <v>17044</v>
      </c>
      <c r="W12" s="11" t="s">
        <v>114</v>
      </c>
      <c r="X12" s="11">
        <v>17044</v>
      </c>
      <c r="Z12" s="3" t="s">
        <v>187</v>
      </c>
      <c r="AA12">
        <v>20230</v>
      </c>
      <c r="AC12" s="11" t="s">
        <v>273</v>
      </c>
      <c r="AD12" s="11">
        <v>3547</v>
      </c>
      <c r="AF12" s="3"/>
    </row>
    <row r="13" spans="1:32" x14ac:dyDescent="0.2">
      <c r="A13" s="10" t="s">
        <v>61</v>
      </c>
      <c r="B13" s="10" t="s">
        <v>64</v>
      </c>
      <c r="C13" s="10" t="s">
        <v>45</v>
      </c>
      <c r="D13" s="10">
        <v>36303</v>
      </c>
      <c r="E13" s="10" t="s">
        <v>7</v>
      </c>
      <c r="F13" s="10">
        <v>2635</v>
      </c>
      <c r="H13" s="3" t="s">
        <v>493</v>
      </c>
      <c r="I13">
        <v>138585</v>
      </c>
      <c r="K13" t="str">
        <f t="shared" si="0"/>
        <v>NJ</v>
      </c>
      <c r="L13">
        <f t="shared" si="0"/>
        <v>138585</v>
      </c>
      <c r="N13" s="3" t="s">
        <v>667</v>
      </c>
      <c r="O13">
        <v>9579</v>
      </c>
      <c r="Q13" s="11" t="s">
        <v>667</v>
      </c>
      <c r="R13" s="11">
        <v>9579</v>
      </c>
      <c r="T13" s="3" t="s">
        <v>129</v>
      </c>
      <c r="U13">
        <v>10275</v>
      </c>
      <c r="W13" s="11" t="s">
        <v>129</v>
      </c>
      <c r="X13" s="11">
        <v>10275</v>
      </c>
      <c r="Z13" s="3" t="s">
        <v>176</v>
      </c>
      <c r="AA13">
        <v>19040</v>
      </c>
      <c r="AC13" s="11" t="s">
        <v>276</v>
      </c>
      <c r="AD13" s="11">
        <v>3150</v>
      </c>
      <c r="AF13" s="3"/>
    </row>
    <row r="14" spans="1:32" x14ac:dyDescent="0.2">
      <c r="A14" s="10" t="s">
        <v>61</v>
      </c>
      <c r="B14" s="10" t="s">
        <v>65</v>
      </c>
      <c r="C14" s="10" t="s">
        <v>45</v>
      </c>
      <c r="D14" s="10">
        <v>35055</v>
      </c>
      <c r="E14" s="10" t="s">
        <v>7</v>
      </c>
      <c r="F14" s="10">
        <v>4464</v>
      </c>
      <c r="H14" s="3" t="s">
        <v>640</v>
      </c>
      <c r="I14">
        <v>113933</v>
      </c>
      <c r="K14" t="str">
        <f t="shared" si="0"/>
        <v>TN</v>
      </c>
      <c r="L14">
        <f t="shared" si="0"/>
        <v>113933</v>
      </c>
      <c r="N14" s="3" t="s">
        <v>74</v>
      </c>
      <c r="O14">
        <v>9038</v>
      </c>
      <c r="Q14" s="11" t="s">
        <v>74</v>
      </c>
      <c r="R14" s="11">
        <v>9038</v>
      </c>
      <c r="T14" s="3" t="s">
        <v>130</v>
      </c>
      <c r="U14">
        <v>9509</v>
      </c>
      <c r="W14" s="11" t="s">
        <v>130</v>
      </c>
      <c r="X14" s="11">
        <v>9509</v>
      </c>
      <c r="Z14" s="3" t="s">
        <v>190</v>
      </c>
      <c r="AA14">
        <v>17835</v>
      </c>
      <c r="AC14" s="11" t="s">
        <v>282</v>
      </c>
      <c r="AD14" s="11">
        <v>3092</v>
      </c>
      <c r="AF14" s="3"/>
    </row>
    <row r="15" spans="1:32" x14ac:dyDescent="0.2">
      <c r="A15" s="10" t="s">
        <v>61</v>
      </c>
      <c r="B15" s="10" t="s">
        <v>66</v>
      </c>
      <c r="C15" s="10" t="s">
        <v>45</v>
      </c>
      <c r="D15" s="10">
        <v>35405</v>
      </c>
      <c r="E15" s="10" t="s">
        <v>6</v>
      </c>
      <c r="F15" s="10">
        <v>3861</v>
      </c>
      <c r="H15" s="3" t="s">
        <v>620</v>
      </c>
      <c r="I15">
        <v>97231</v>
      </c>
      <c r="K15" t="str">
        <f t="shared" si="0"/>
        <v>SC</v>
      </c>
      <c r="L15">
        <f t="shared" si="0"/>
        <v>97231</v>
      </c>
      <c r="N15" s="3" t="s">
        <v>673</v>
      </c>
      <c r="O15">
        <v>8844</v>
      </c>
      <c r="Q15" s="11" t="s">
        <v>673</v>
      </c>
      <c r="R15" s="11">
        <v>8844</v>
      </c>
      <c r="T15" s="3" t="s">
        <v>133</v>
      </c>
      <c r="U15">
        <v>9287</v>
      </c>
      <c r="W15" s="11" t="s">
        <v>133</v>
      </c>
      <c r="X15" s="11">
        <v>9287</v>
      </c>
      <c r="Z15" s="3" t="s">
        <v>76</v>
      </c>
      <c r="AA15">
        <v>15900</v>
      </c>
      <c r="AC15" s="11" t="s">
        <v>283</v>
      </c>
      <c r="AD15" s="11">
        <v>2961</v>
      </c>
      <c r="AF15" s="3"/>
    </row>
    <row r="16" spans="1:32" x14ac:dyDescent="0.2">
      <c r="A16" s="10" t="s">
        <v>61</v>
      </c>
      <c r="B16" s="10" t="s">
        <v>62</v>
      </c>
      <c r="C16" s="10" t="s">
        <v>45</v>
      </c>
      <c r="D16" s="10">
        <v>35802</v>
      </c>
      <c r="E16" s="10" t="s">
        <v>8</v>
      </c>
      <c r="F16" s="10">
        <v>2477</v>
      </c>
      <c r="H16" s="3" t="s">
        <v>61</v>
      </c>
      <c r="I16">
        <v>97168</v>
      </c>
      <c r="K16" t="str">
        <f t="shared" si="0"/>
        <v>AL</v>
      </c>
      <c r="L16">
        <f t="shared" si="0"/>
        <v>97168</v>
      </c>
      <c r="N16" s="3" t="s">
        <v>677</v>
      </c>
      <c r="O16">
        <v>8784</v>
      </c>
      <c r="Q16" s="11" t="s">
        <v>677</v>
      </c>
      <c r="R16" s="11">
        <v>8784</v>
      </c>
      <c r="T16" s="3" t="s">
        <v>117</v>
      </c>
      <c r="U16">
        <v>9038</v>
      </c>
      <c r="W16" s="11" t="s">
        <v>117</v>
      </c>
      <c r="X16" s="11">
        <v>9038</v>
      </c>
      <c r="Z16" s="3" t="s">
        <v>206</v>
      </c>
      <c r="AA16">
        <v>15850</v>
      </c>
      <c r="AC16" s="11" t="s">
        <v>212</v>
      </c>
      <c r="AD16" s="11">
        <v>2349</v>
      </c>
      <c r="AF16" s="3"/>
    </row>
    <row r="17" spans="1:32" x14ac:dyDescent="0.2">
      <c r="A17" s="10" t="s">
        <v>61</v>
      </c>
      <c r="B17" s="10" t="s">
        <v>62</v>
      </c>
      <c r="C17" s="10" t="s">
        <v>45</v>
      </c>
      <c r="D17" s="10">
        <v>35802</v>
      </c>
      <c r="E17" s="10" t="s">
        <v>5</v>
      </c>
      <c r="F17" s="10">
        <v>1384</v>
      </c>
      <c r="H17" s="3" t="s">
        <v>379</v>
      </c>
      <c r="I17">
        <v>95398</v>
      </c>
      <c r="K17" t="str">
        <f t="shared" si="0"/>
        <v>MI</v>
      </c>
      <c r="L17">
        <f t="shared" si="0"/>
        <v>95398</v>
      </c>
      <c r="N17" s="3" t="s">
        <v>655</v>
      </c>
      <c r="O17">
        <v>8374</v>
      </c>
      <c r="Q17" s="11" t="s">
        <v>655</v>
      </c>
      <c r="R17" s="11">
        <v>8374</v>
      </c>
      <c r="T17" s="3" t="s">
        <v>116</v>
      </c>
      <c r="U17">
        <v>8769</v>
      </c>
      <c r="W17" s="11" t="s">
        <v>116</v>
      </c>
      <c r="X17" s="11">
        <v>8769</v>
      </c>
      <c r="Z17" s="3" t="s">
        <v>201</v>
      </c>
      <c r="AA17">
        <v>14982</v>
      </c>
      <c r="AC17" s="11" t="s">
        <v>289</v>
      </c>
      <c r="AD17" s="11">
        <v>2127</v>
      </c>
      <c r="AF17" s="3"/>
    </row>
    <row r="18" spans="1:32" x14ac:dyDescent="0.2">
      <c r="A18" s="10" t="s">
        <v>61</v>
      </c>
      <c r="B18" s="10" t="s">
        <v>67</v>
      </c>
      <c r="C18" s="10" t="s">
        <v>45</v>
      </c>
      <c r="D18" s="10">
        <v>36203</v>
      </c>
      <c r="E18" s="10" t="s">
        <v>7</v>
      </c>
      <c r="F18" s="10">
        <v>3211</v>
      </c>
      <c r="H18" s="3" t="s">
        <v>91</v>
      </c>
      <c r="I18">
        <v>84943</v>
      </c>
      <c r="K18" t="str">
        <f t="shared" si="0"/>
        <v>AZ</v>
      </c>
      <c r="L18">
        <f t="shared" si="0"/>
        <v>84943</v>
      </c>
      <c r="N18" s="3" t="s">
        <v>690</v>
      </c>
      <c r="O18">
        <v>7028</v>
      </c>
      <c r="Q18" s="11" t="s">
        <v>690</v>
      </c>
      <c r="R18" s="11">
        <v>7028</v>
      </c>
      <c r="T18" s="3" t="s">
        <v>106</v>
      </c>
      <c r="U18">
        <v>8628</v>
      </c>
      <c r="W18" s="11" t="s">
        <v>106</v>
      </c>
      <c r="X18" s="11">
        <v>8628</v>
      </c>
      <c r="Z18" s="3" t="s">
        <v>179</v>
      </c>
      <c r="AA18">
        <v>11315</v>
      </c>
      <c r="AC18" s="11" t="s">
        <v>286</v>
      </c>
      <c r="AD18" s="11">
        <v>2115</v>
      </c>
      <c r="AF18" s="3"/>
    </row>
    <row r="19" spans="1:32" x14ac:dyDescent="0.2">
      <c r="A19" s="10" t="s">
        <v>61</v>
      </c>
      <c r="B19" s="10" t="s">
        <v>62</v>
      </c>
      <c r="C19" s="10" t="s">
        <v>45</v>
      </c>
      <c r="D19" s="10">
        <v>35806</v>
      </c>
      <c r="E19" s="10" t="s">
        <v>6</v>
      </c>
      <c r="F19" s="10">
        <v>5765</v>
      </c>
      <c r="H19" s="3" t="s">
        <v>348</v>
      </c>
      <c r="I19">
        <v>81235</v>
      </c>
      <c r="K19" t="str">
        <f t="shared" si="0"/>
        <v>MA</v>
      </c>
      <c r="L19">
        <f t="shared" si="0"/>
        <v>81235</v>
      </c>
      <c r="N19" s="3" t="s">
        <v>676</v>
      </c>
      <c r="O19">
        <v>6998</v>
      </c>
      <c r="Q19" s="11" t="s">
        <v>676</v>
      </c>
      <c r="R19" s="11">
        <v>6998</v>
      </c>
      <c r="T19" s="3" t="s">
        <v>103</v>
      </c>
      <c r="U19">
        <v>8524</v>
      </c>
      <c r="W19" s="11" t="s">
        <v>103</v>
      </c>
      <c r="X19" s="11">
        <v>8524</v>
      </c>
      <c r="Z19" s="3" t="s">
        <v>172</v>
      </c>
      <c r="AA19">
        <v>10680</v>
      </c>
      <c r="AC19" s="11" t="s">
        <v>152</v>
      </c>
      <c r="AD19" s="11">
        <v>2109</v>
      </c>
      <c r="AF19" s="3"/>
    </row>
    <row r="20" spans="1:32" x14ac:dyDescent="0.2">
      <c r="A20" s="10" t="s">
        <v>61</v>
      </c>
      <c r="B20" s="10" t="s">
        <v>66</v>
      </c>
      <c r="C20" s="10" t="s">
        <v>45</v>
      </c>
      <c r="D20" s="10">
        <v>35476</v>
      </c>
      <c r="E20" s="10" t="s">
        <v>6</v>
      </c>
      <c r="F20" s="10">
        <v>2598</v>
      </c>
      <c r="H20" s="3" t="s">
        <v>140</v>
      </c>
      <c r="I20">
        <v>80111</v>
      </c>
      <c r="K20" t="str">
        <f t="shared" si="0"/>
        <v>CO</v>
      </c>
      <c r="L20">
        <f t="shared" si="0"/>
        <v>80111</v>
      </c>
      <c r="N20" s="3" t="s">
        <v>75</v>
      </c>
      <c r="O20">
        <v>6621</v>
      </c>
      <c r="Q20" s="11" t="s">
        <v>75</v>
      </c>
      <c r="R20" s="11">
        <v>6621</v>
      </c>
      <c r="T20" s="3" t="s">
        <v>121</v>
      </c>
      <c r="U20">
        <v>8252</v>
      </c>
      <c r="W20" s="11" t="s">
        <v>121</v>
      </c>
      <c r="X20" s="11">
        <v>8252</v>
      </c>
      <c r="Z20" s="3" t="s">
        <v>205</v>
      </c>
      <c r="AA20">
        <v>9531</v>
      </c>
      <c r="AC20" s="11" t="s">
        <v>288</v>
      </c>
      <c r="AD20" s="11">
        <v>1991</v>
      </c>
      <c r="AF20" s="3"/>
    </row>
    <row r="21" spans="1:32" x14ac:dyDescent="0.2">
      <c r="A21" s="10" t="s">
        <v>61</v>
      </c>
      <c r="B21" s="10" t="s">
        <v>68</v>
      </c>
      <c r="C21" s="10" t="s">
        <v>45</v>
      </c>
      <c r="D21" s="10">
        <v>36066</v>
      </c>
      <c r="E21" s="10" t="s">
        <v>6</v>
      </c>
      <c r="F21" s="10">
        <v>1733</v>
      </c>
      <c r="H21" s="3" t="s">
        <v>359</v>
      </c>
      <c r="I21">
        <v>79182</v>
      </c>
      <c r="K21" t="str">
        <f t="shared" si="0"/>
        <v>MD</v>
      </c>
      <c r="L21">
        <f t="shared" si="0"/>
        <v>79182</v>
      </c>
      <c r="N21" s="3" t="s">
        <v>643</v>
      </c>
      <c r="O21">
        <v>6427</v>
      </c>
      <c r="Q21" s="11" t="s">
        <v>643</v>
      </c>
      <c r="R21" s="11">
        <v>6427</v>
      </c>
      <c r="T21" s="3" t="s">
        <v>135</v>
      </c>
      <c r="U21">
        <v>7596</v>
      </c>
      <c r="W21" s="11" t="s">
        <v>135</v>
      </c>
      <c r="X21" s="11">
        <v>7596</v>
      </c>
      <c r="Z21" s="3" t="s">
        <v>208</v>
      </c>
      <c r="AA21">
        <v>8139</v>
      </c>
      <c r="AC21" s="11" t="s">
        <v>279</v>
      </c>
      <c r="AD21" s="11">
        <v>1885</v>
      </c>
      <c r="AF21" s="3"/>
    </row>
    <row r="22" spans="1:32" x14ac:dyDescent="0.2">
      <c r="A22" s="10" t="s">
        <v>61</v>
      </c>
      <c r="B22" s="10" t="s">
        <v>64</v>
      </c>
      <c r="C22" s="10" t="s">
        <v>45</v>
      </c>
      <c r="D22" s="10">
        <v>36301</v>
      </c>
      <c r="E22" s="10" t="s">
        <v>6</v>
      </c>
      <c r="F22" s="10">
        <v>2047</v>
      </c>
      <c r="H22" s="3" t="s">
        <v>329</v>
      </c>
      <c r="I22">
        <v>78468</v>
      </c>
      <c r="K22" t="str">
        <f t="shared" si="0"/>
        <v>LA</v>
      </c>
      <c r="L22">
        <f t="shared" si="0"/>
        <v>78468</v>
      </c>
      <c r="N22" s="3" t="s">
        <v>146</v>
      </c>
      <c r="O22">
        <v>5534</v>
      </c>
      <c r="Q22" s="11" t="s">
        <v>146</v>
      </c>
      <c r="R22" s="11">
        <v>5534</v>
      </c>
      <c r="T22" s="3" t="s">
        <v>132</v>
      </c>
      <c r="U22">
        <v>6870</v>
      </c>
      <c r="W22" s="11" t="s">
        <v>132</v>
      </c>
      <c r="X22" s="11">
        <v>6870</v>
      </c>
      <c r="Z22" s="3" t="s">
        <v>174</v>
      </c>
      <c r="AA22">
        <v>8024</v>
      </c>
      <c r="AC22" s="11" t="s">
        <v>291</v>
      </c>
      <c r="AD22" s="11">
        <v>1687</v>
      </c>
      <c r="AF22" s="3"/>
    </row>
    <row r="23" spans="1:32" x14ac:dyDescent="0.2">
      <c r="A23" s="10" t="s">
        <v>61</v>
      </c>
      <c r="B23" s="10" t="s">
        <v>63</v>
      </c>
      <c r="C23" s="10" t="s">
        <v>45</v>
      </c>
      <c r="D23" s="10">
        <v>36604</v>
      </c>
      <c r="E23" s="10" t="s">
        <v>6</v>
      </c>
      <c r="F23" s="10">
        <v>1415</v>
      </c>
      <c r="H23" s="3" t="s">
        <v>415</v>
      </c>
      <c r="I23">
        <v>77154</v>
      </c>
      <c r="K23" t="str">
        <f t="shared" si="0"/>
        <v>MO</v>
      </c>
      <c r="L23">
        <f t="shared" si="0"/>
        <v>77154</v>
      </c>
      <c r="N23" s="3" t="s">
        <v>679</v>
      </c>
      <c r="O23">
        <v>5164</v>
      </c>
      <c r="Q23" s="11" t="s">
        <v>679</v>
      </c>
      <c r="R23" s="11">
        <v>5164</v>
      </c>
      <c r="T23" s="3" t="s">
        <v>108</v>
      </c>
      <c r="U23">
        <v>6740</v>
      </c>
      <c r="W23" s="11" t="s">
        <v>108</v>
      </c>
      <c r="X23" s="11">
        <v>6740</v>
      </c>
      <c r="Z23" s="3" t="s">
        <v>177</v>
      </c>
      <c r="AA23">
        <v>7216</v>
      </c>
      <c r="AC23" s="11" t="s">
        <v>275</v>
      </c>
      <c r="AD23" s="11">
        <v>1568</v>
      </c>
      <c r="AF23" s="3"/>
    </row>
    <row r="24" spans="1:32" x14ac:dyDescent="0.2">
      <c r="A24" s="10" t="s">
        <v>61</v>
      </c>
      <c r="B24" s="10" t="s">
        <v>63</v>
      </c>
      <c r="C24" s="10" t="s">
        <v>45</v>
      </c>
      <c r="D24" s="10">
        <v>36608</v>
      </c>
      <c r="E24" s="10" t="s">
        <v>7</v>
      </c>
      <c r="F24" s="10">
        <v>1384</v>
      </c>
      <c r="H24" s="3" t="s">
        <v>745</v>
      </c>
      <c r="I24">
        <v>75684</v>
      </c>
      <c r="K24" t="str">
        <f t="shared" si="0"/>
        <v>WA</v>
      </c>
      <c r="L24">
        <f t="shared" si="0"/>
        <v>75684</v>
      </c>
      <c r="N24" s="3" t="s">
        <v>671</v>
      </c>
      <c r="O24">
        <v>5140</v>
      </c>
      <c r="Q24" s="11" t="s">
        <v>671</v>
      </c>
      <c r="R24" s="11">
        <v>5140</v>
      </c>
      <c r="T24" s="3" t="s">
        <v>109</v>
      </c>
      <c r="U24">
        <v>5941</v>
      </c>
      <c r="W24" s="11" t="s">
        <v>109</v>
      </c>
      <c r="X24" s="11">
        <v>5941</v>
      </c>
      <c r="Z24" s="3" t="s">
        <v>192</v>
      </c>
      <c r="AA24">
        <v>7184</v>
      </c>
      <c r="AC24" s="11" t="s">
        <v>285</v>
      </c>
      <c r="AD24" s="13">
        <v>1442</v>
      </c>
      <c r="AF24" s="3"/>
    </row>
    <row r="25" spans="1:32" x14ac:dyDescent="0.2">
      <c r="A25" s="10" t="s">
        <v>61</v>
      </c>
      <c r="B25" s="10" t="s">
        <v>63</v>
      </c>
      <c r="C25" s="10" t="s">
        <v>45</v>
      </c>
      <c r="D25" s="10">
        <v>36618</v>
      </c>
      <c r="E25" s="10" t="s">
        <v>8</v>
      </c>
      <c r="F25" s="10">
        <v>635</v>
      </c>
      <c r="H25" s="3" t="s">
        <v>292</v>
      </c>
      <c r="I25">
        <v>74351</v>
      </c>
      <c r="K25" t="str">
        <f t="shared" si="0"/>
        <v>IN</v>
      </c>
      <c r="L25">
        <f t="shared" si="0"/>
        <v>74351</v>
      </c>
      <c r="N25" s="3" t="s">
        <v>387</v>
      </c>
      <c r="O25">
        <v>5130</v>
      </c>
      <c r="Q25" s="11" t="s">
        <v>387</v>
      </c>
      <c r="R25" s="11">
        <v>5130</v>
      </c>
      <c r="T25" s="3" t="s">
        <v>102</v>
      </c>
      <c r="U25">
        <v>5939</v>
      </c>
      <c r="W25" s="11" t="s">
        <v>102</v>
      </c>
      <c r="X25" s="11">
        <v>5939</v>
      </c>
      <c r="Z25" s="3" t="s">
        <v>188</v>
      </c>
      <c r="AA25">
        <v>6193</v>
      </c>
      <c r="AC25" s="11" t="s">
        <v>284</v>
      </c>
      <c r="AD25" s="11">
        <v>1268</v>
      </c>
      <c r="AF25" s="3"/>
    </row>
    <row r="26" spans="1:32" x14ac:dyDescent="0.2">
      <c r="A26" s="10" t="s">
        <v>61</v>
      </c>
      <c r="B26" s="10" t="s">
        <v>69</v>
      </c>
      <c r="C26" s="10" t="s">
        <v>46</v>
      </c>
      <c r="D26" s="10">
        <v>36526</v>
      </c>
      <c r="E26" s="10" t="s">
        <v>5</v>
      </c>
      <c r="F26" s="10">
        <v>172</v>
      </c>
      <c r="H26" s="3" t="s">
        <v>567</v>
      </c>
      <c r="I26">
        <v>65683</v>
      </c>
      <c r="K26" t="str">
        <f t="shared" si="0"/>
        <v>OK</v>
      </c>
      <c r="L26">
        <f t="shared" si="0"/>
        <v>65683</v>
      </c>
      <c r="N26" s="3" t="s">
        <v>692</v>
      </c>
      <c r="O26">
        <v>5010</v>
      </c>
      <c r="Q26" s="11" t="s">
        <v>692</v>
      </c>
      <c r="R26" s="11">
        <v>5010</v>
      </c>
      <c r="T26" s="3" t="s">
        <v>107</v>
      </c>
      <c r="U26">
        <v>5010</v>
      </c>
      <c r="W26" s="11" t="s">
        <v>107</v>
      </c>
      <c r="X26" s="11">
        <v>5010</v>
      </c>
      <c r="Z26" s="3" t="s">
        <v>195</v>
      </c>
      <c r="AA26">
        <v>6130</v>
      </c>
      <c r="AC26" s="11" t="s">
        <v>75</v>
      </c>
      <c r="AD26" s="13">
        <v>1039</v>
      </c>
      <c r="AF26" s="3"/>
    </row>
    <row r="27" spans="1:32" x14ac:dyDescent="0.2">
      <c r="A27" s="10" t="s">
        <v>61</v>
      </c>
      <c r="B27" s="10" t="s">
        <v>69</v>
      </c>
      <c r="C27" s="10" t="s">
        <v>46</v>
      </c>
      <c r="D27" s="10">
        <v>36526</v>
      </c>
      <c r="E27" s="10" t="s">
        <v>6</v>
      </c>
      <c r="F27" s="10">
        <v>1906</v>
      </c>
      <c r="H27" s="3" t="s">
        <v>156</v>
      </c>
      <c r="I27">
        <v>56645</v>
      </c>
      <c r="K27" t="str">
        <f t="shared" si="0"/>
        <v>CT</v>
      </c>
      <c r="L27">
        <f t="shared" si="0"/>
        <v>56645</v>
      </c>
      <c r="N27" s="3" t="s">
        <v>436</v>
      </c>
      <c r="O27">
        <v>4935</v>
      </c>
      <c r="Q27" s="11" t="s">
        <v>436</v>
      </c>
      <c r="R27" s="11">
        <v>4935</v>
      </c>
      <c r="T27" s="3" t="s">
        <v>124</v>
      </c>
      <c r="U27">
        <v>4408</v>
      </c>
      <c r="W27" s="11" t="s">
        <v>124</v>
      </c>
      <c r="X27" s="11">
        <v>4408</v>
      </c>
      <c r="Z27" s="3" t="s">
        <v>204</v>
      </c>
      <c r="AA27">
        <v>6020</v>
      </c>
      <c r="AC27" s="11" t="s">
        <v>287</v>
      </c>
      <c r="AD27" s="11">
        <v>682</v>
      </c>
      <c r="AF27" s="3"/>
    </row>
    <row r="28" spans="1:32" x14ac:dyDescent="0.2">
      <c r="A28" s="10" t="s">
        <v>61</v>
      </c>
      <c r="B28" s="10" t="s">
        <v>70</v>
      </c>
      <c r="C28" s="10" t="s">
        <v>46</v>
      </c>
      <c r="D28" s="10">
        <v>35601</v>
      </c>
      <c r="E28" s="10" t="s">
        <v>6</v>
      </c>
      <c r="F28" s="10">
        <v>3194</v>
      </c>
      <c r="H28" s="3" t="s">
        <v>400</v>
      </c>
      <c r="I28">
        <v>54873</v>
      </c>
      <c r="K28" t="str">
        <f t="shared" si="0"/>
        <v>MN</v>
      </c>
      <c r="L28">
        <f t="shared" si="0"/>
        <v>54873</v>
      </c>
      <c r="N28" s="3" t="s">
        <v>687</v>
      </c>
      <c r="O28">
        <v>4852</v>
      </c>
      <c r="Q28" s="11" t="s">
        <v>687</v>
      </c>
      <c r="R28" s="11">
        <v>4852</v>
      </c>
      <c r="T28" s="3" t="s">
        <v>134</v>
      </c>
      <c r="U28">
        <v>4266</v>
      </c>
      <c r="W28" s="11" t="s">
        <v>134</v>
      </c>
      <c r="X28" s="11">
        <v>4266</v>
      </c>
      <c r="Z28" s="3" t="s">
        <v>199</v>
      </c>
      <c r="AA28">
        <v>5591</v>
      </c>
      <c r="AC28" s="11" t="s">
        <v>280</v>
      </c>
      <c r="AD28" s="11">
        <v>457</v>
      </c>
      <c r="AF28" s="3"/>
    </row>
    <row r="29" spans="1:32" x14ac:dyDescent="0.2">
      <c r="A29" s="10" t="s">
        <v>61</v>
      </c>
      <c r="B29" s="10" t="s">
        <v>70</v>
      </c>
      <c r="C29" s="10" t="s">
        <v>46</v>
      </c>
      <c r="D29" s="10">
        <v>35601</v>
      </c>
      <c r="E29" s="10" t="s">
        <v>5</v>
      </c>
      <c r="F29" s="10">
        <v>1465</v>
      </c>
      <c r="H29" s="3" t="s">
        <v>763</v>
      </c>
      <c r="I29">
        <v>49307</v>
      </c>
      <c r="K29" t="str">
        <f t="shared" si="0"/>
        <v>WI</v>
      </c>
      <c r="L29">
        <f t="shared" si="0"/>
        <v>49307</v>
      </c>
      <c r="N29" s="3" t="s">
        <v>674</v>
      </c>
      <c r="O29">
        <v>4625</v>
      </c>
      <c r="Q29" s="11" t="s">
        <v>674</v>
      </c>
      <c r="R29" s="11">
        <v>4625</v>
      </c>
      <c r="T29" s="3" t="s">
        <v>138</v>
      </c>
      <c r="U29">
        <v>3770</v>
      </c>
      <c r="W29" s="11" t="s">
        <v>138</v>
      </c>
      <c r="X29" s="11">
        <v>3770</v>
      </c>
      <c r="Z29" s="3" t="s">
        <v>173</v>
      </c>
      <c r="AA29">
        <v>5579</v>
      </c>
      <c r="AC29" s="11"/>
      <c r="AD29" s="11"/>
      <c r="AF29" s="3"/>
    </row>
    <row r="30" spans="1:32" x14ac:dyDescent="0.2">
      <c r="A30" s="10" t="s">
        <v>61</v>
      </c>
      <c r="B30" s="10" t="s">
        <v>71</v>
      </c>
      <c r="C30" s="10" t="s">
        <v>46</v>
      </c>
      <c r="D30" s="10">
        <v>35630</v>
      </c>
      <c r="E30" s="10" t="s">
        <v>6</v>
      </c>
      <c r="F30" s="10">
        <v>2220</v>
      </c>
      <c r="H30" s="3" t="s">
        <v>429</v>
      </c>
      <c r="I30">
        <v>47212</v>
      </c>
      <c r="K30" t="str">
        <f t="shared" si="0"/>
        <v>MS</v>
      </c>
      <c r="L30">
        <f t="shared" si="0"/>
        <v>47212</v>
      </c>
      <c r="N30" s="3" t="s">
        <v>694</v>
      </c>
      <c r="O30">
        <v>4463</v>
      </c>
      <c r="Q30" s="11" t="s">
        <v>694</v>
      </c>
      <c r="R30" s="11">
        <v>4463</v>
      </c>
      <c r="T30" s="3" t="s">
        <v>120</v>
      </c>
      <c r="U30">
        <v>3678</v>
      </c>
      <c r="W30" s="11" t="s">
        <v>120</v>
      </c>
      <c r="X30" s="11">
        <v>3678</v>
      </c>
      <c r="Z30" s="3" t="s">
        <v>202</v>
      </c>
      <c r="AA30">
        <v>5075</v>
      </c>
      <c r="AC30" s="11"/>
      <c r="AD30" s="11"/>
      <c r="AF30" s="3"/>
    </row>
    <row r="31" spans="1:32" x14ac:dyDescent="0.2">
      <c r="A31" s="10" t="s">
        <v>61</v>
      </c>
      <c r="B31" s="10" t="s">
        <v>69</v>
      </c>
      <c r="C31" s="10" t="s">
        <v>46</v>
      </c>
      <c r="D31" s="10">
        <v>36535</v>
      </c>
      <c r="E31" s="10" t="s">
        <v>6</v>
      </c>
      <c r="F31" s="10">
        <v>2814</v>
      </c>
      <c r="H31" s="3" t="s">
        <v>315</v>
      </c>
      <c r="I31">
        <v>46687</v>
      </c>
      <c r="K31" t="str">
        <f t="shared" si="0"/>
        <v>KY</v>
      </c>
      <c r="L31">
        <f t="shared" si="0"/>
        <v>46687</v>
      </c>
      <c r="N31" s="3" t="s">
        <v>697</v>
      </c>
      <c r="O31">
        <v>3913</v>
      </c>
      <c r="Q31" s="11" t="s">
        <v>697</v>
      </c>
      <c r="R31" s="11">
        <v>3913</v>
      </c>
      <c r="T31" s="3" t="s">
        <v>101</v>
      </c>
      <c r="U31">
        <v>2501</v>
      </c>
      <c r="W31" s="11" t="s">
        <v>101</v>
      </c>
      <c r="X31" s="11">
        <v>2501</v>
      </c>
      <c r="Z31" s="3" t="s">
        <v>197</v>
      </c>
      <c r="AA31">
        <v>4712</v>
      </c>
      <c r="AC31" s="11"/>
      <c r="AD31" s="11"/>
      <c r="AF31" s="3"/>
    </row>
    <row r="32" spans="1:32" x14ac:dyDescent="0.2">
      <c r="A32" s="10" t="s">
        <v>61</v>
      </c>
      <c r="B32" s="10" t="s">
        <v>72</v>
      </c>
      <c r="C32" s="10" t="s">
        <v>46</v>
      </c>
      <c r="D32" s="10">
        <v>35976</v>
      </c>
      <c r="E32" s="10" t="s">
        <v>5</v>
      </c>
      <c r="F32" s="10">
        <v>1741</v>
      </c>
      <c r="H32" s="3" t="s">
        <v>577</v>
      </c>
      <c r="I32">
        <v>45879</v>
      </c>
      <c r="K32" t="str">
        <f t="shared" si="0"/>
        <v>OR</v>
      </c>
      <c r="L32">
        <f t="shared" si="0"/>
        <v>45879</v>
      </c>
      <c r="N32" s="3" t="s">
        <v>691</v>
      </c>
      <c r="O32">
        <v>3788</v>
      </c>
      <c r="Q32" s="11" t="s">
        <v>691</v>
      </c>
      <c r="R32" s="11">
        <v>3788</v>
      </c>
      <c r="T32" s="3" t="s">
        <v>105</v>
      </c>
      <c r="U32">
        <v>2195</v>
      </c>
      <c r="W32" s="11" t="s">
        <v>105</v>
      </c>
      <c r="X32" s="11">
        <v>2195</v>
      </c>
      <c r="Z32" s="3" t="s">
        <v>207</v>
      </c>
      <c r="AA32">
        <v>4218</v>
      </c>
      <c r="AC32" s="11"/>
      <c r="AD32" s="11"/>
      <c r="AF32" s="3"/>
    </row>
    <row r="33" spans="1:32" x14ac:dyDescent="0.2">
      <c r="A33" s="10" t="s">
        <v>61</v>
      </c>
      <c r="B33" s="10" t="s">
        <v>73</v>
      </c>
      <c r="C33" s="10" t="s">
        <v>46</v>
      </c>
      <c r="D33" s="10">
        <v>36330</v>
      </c>
      <c r="E33" s="10" t="s">
        <v>6</v>
      </c>
      <c r="F33" s="10">
        <v>3808</v>
      </c>
      <c r="H33" s="3" t="s">
        <v>517</v>
      </c>
      <c r="I33">
        <v>41139</v>
      </c>
      <c r="K33" t="str">
        <f t="shared" si="0"/>
        <v>NV</v>
      </c>
      <c r="L33">
        <f t="shared" si="0"/>
        <v>41139</v>
      </c>
      <c r="N33" s="3" t="s">
        <v>689</v>
      </c>
      <c r="O33">
        <v>3658</v>
      </c>
      <c r="Q33" s="11" t="s">
        <v>689</v>
      </c>
      <c r="R33" s="11">
        <v>3658</v>
      </c>
      <c r="T33" s="3" t="s">
        <v>118</v>
      </c>
      <c r="U33">
        <v>2132</v>
      </c>
      <c r="W33" s="11" t="s">
        <v>118</v>
      </c>
      <c r="X33" s="11">
        <v>2132</v>
      </c>
      <c r="Z33" s="3" t="s">
        <v>189</v>
      </c>
      <c r="AA33">
        <v>3749</v>
      </c>
      <c r="AC33" s="11"/>
      <c r="AD33" s="11"/>
      <c r="AF33" s="3"/>
    </row>
    <row r="34" spans="1:32" x14ac:dyDescent="0.2">
      <c r="A34" s="10" t="s">
        <v>61</v>
      </c>
      <c r="B34" s="10" t="s">
        <v>74</v>
      </c>
      <c r="C34" s="10" t="s">
        <v>47</v>
      </c>
      <c r="D34" s="10">
        <v>36117</v>
      </c>
      <c r="E34" s="10" t="s">
        <v>8</v>
      </c>
      <c r="F34" s="10">
        <v>1193</v>
      </c>
      <c r="H34" s="3" t="s">
        <v>80</v>
      </c>
      <c r="I34">
        <v>39562</v>
      </c>
      <c r="K34" t="str">
        <f t="shared" si="0"/>
        <v>AR</v>
      </c>
      <c r="L34">
        <f t="shared" si="0"/>
        <v>39562</v>
      </c>
      <c r="N34" s="3" t="s">
        <v>685</v>
      </c>
      <c r="O34">
        <v>3465</v>
      </c>
      <c r="Q34" s="11" t="s">
        <v>685</v>
      </c>
      <c r="R34" s="11">
        <v>3465</v>
      </c>
      <c r="T34" s="3" t="s">
        <v>122</v>
      </c>
      <c r="U34">
        <v>1576</v>
      </c>
      <c r="W34" s="11" t="s">
        <v>122</v>
      </c>
      <c r="X34" s="11">
        <v>1576</v>
      </c>
      <c r="Z34" s="3" t="s">
        <v>203</v>
      </c>
      <c r="AA34">
        <v>3500</v>
      </c>
      <c r="AC34" s="11"/>
      <c r="AD34" s="11"/>
      <c r="AF34" s="3"/>
    </row>
    <row r="35" spans="1:32" x14ac:dyDescent="0.2">
      <c r="A35" s="10" t="s">
        <v>61</v>
      </c>
      <c r="B35" s="10" t="s">
        <v>75</v>
      </c>
      <c r="C35" s="10" t="s">
        <v>47</v>
      </c>
      <c r="D35" s="10">
        <v>35210</v>
      </c>
      <c r="E35" s="10" t="s">
        <v>6</v>
      </c>
      <c r="F35" s="10">
        <v>887</v>
      </c>
      <c r="H35" s="3" t="s">
        <v>249</v>
      </c>
      <c r="I35">
        <v>38720</v>
      </c>
      <c r="K35" t="str">
        <f t="shared" si="0"/>
        <v>IA</v>
      </c>
      <c r="L35">
        <f t="shared" si="0"/>
        <v>38720</v>
      </c>
      <c r="N35" s="3" t="s">
        <v>688</v>
      </c>
      <c r="O35">
        <v>3273</v>
      </c>
      <c r="Q35" s="11" t="s">
        <v>688</v>
      </c>
      <c r="R35" s="11">
        <v>3273</v>
      </c>
      <c r="T35" s="3" t="s">
        <v>136</v>
      </c>
      <c r="U35">
        <v>1526</v>
      </c>
      <c r="W35" s="11" t="s">
        <v>136</v>
      </c>
      <c r="X35" s="11">
        <v>1526</v>
      </c>
      <c r="Z35" s="3" t="s">
        <v>175</v>
      </c>
      <c r="AA35">
        <v>3338</v>
      </c>
      <c r="AC35" s="11"/>
      <c r="AD35" s="11"/>
      <c r="AF35" s="3"/>
    </row>
    <row r="36" spans="1:32" x14ac:dyDescent="0.2">
      <c r="A36" s="10" t="s">
        <v>61</v>
      </c>
      <c r="B36" s="10" t="s">
        <v>75</v>
      </c>
      <c r="C36" s="10" t="s">
        <v>47</v>
      </c>
      <c r="D36" s="10">
        <v>35209</v>
      </c>
      <c r="E36" s="10" t="s">
        <v>6</v>
      </c>
      <c r="F36" s="10">
        <v>1689</v>
      </c>
      <c r="H36" s="3" t="s">
        <v>698</v>
      </c>
      <c r="I36">
        <v>38101</v>
      </c>
      <c r="K36" t="str">
        <f t="shared" si="0"/>
        <v>UT</v>
      </c>
      <c r="L36">
        <f t="shared" si="0"/>
        <v>38101</v>
      </c>
      <c r="N36" s="3" t="s">
        <v>254</v>
      </c>
      <c r="O36">
        <v>3211</v>
      </c>
      <c r="Q36" s="11" t="s">
        <v>254</v>
      </c>
      <c r="R36" s="11">
        <v>3211</v>
      </c>
      <c r="T36" s="3" t="s">
        <v>119</v>
      </c>
      <c r="U36">
        <v>1515</v>
      </c>
      <c r="W36" s="11" t="s">
        <v>119</v>
      </c>
      <c r="X36" s="11">
        <v>1515</v>
      </c>
      <c r="Z36" s="3" t="s">
        <v>183</v>
      </c>
      <c r="AA36">
        <v>2192</v>
      </c>
      <c r="AC36" s="11"/>
      <c r="AD36" s="11"/>
      <c r="AF36" s="3"/>
    </row>
    <row r="37" spans="1:32" x14ac:dyDescent="0.2">
      <c r="A37" s="10" t="s">
        <v>61</v>
      </c>
      <c r="B37" s="10" t="s">
        <v>76</v>
      </c>
      <c r="C37" s="10" t="s">
        <v>47</v>
      </c>
      <c r="D37" s="10">
        <v>36801</v>
      </c>
      <c r="E37" s="10" t="s">
        <v>6</v>
      </c>
      <c r="F37" s="10">
        <v>3008</v>
      </c>
      <c r="H37" s="3" t="s">
        <v>309</v>
      </c>
      <c r="I37">
        <v>34258</v>
      </c>
      <c r="K37" t="str">
        <f t="shared" si="0"/>
        <v>KS</v>
      </c>
      <c r="L37">
        <f t="shared" si="0"/>
        <v>34258</v>
      </c>
      <c r="N37" s="3" t="s">
        <v>670</v>
      </c>
      <c r="O37">
        <v>3198</v>
      </c>
      <c r="Q37" s="11" t="s">
        <v>670</v>
      </c>
      <c r="R37" s="11">
        <v>3198</v>
      </c>
      <c r="T37" s="3" t="s">
        <v>111</v>
      </c>
      <c r="U37">
        <v>1369</v>
      </c>
      <c r="W37" s="11" t="s">
        <v>111</v>
      </c>
      <c r="X37" s="11">
        <v>1369</v>
      </c>
      <c r="Z37" s="3" t="s">
        <v>180</v>
      </c>
      <c r="AA37">
        <v>1822</v>
      </c>
      <c r="AC37" s="11"/>
      <c r="AD37" s="11"/>
      <c r="AF37" s="3"/>
    </row>
    <row r="38" spans="1:32" x14ac:dyDescent="0.2">
      <c r="A38" s="10" t="s">
        <v>61</v>
      </c>
      <c r="B38" s="10" t="s">
        <v>77</v>
      </c>
      <c r="C38" s="10" t="s">
        <v>47</v>
      </c>
      <c r="D38" s="10">
        <v>35242</v>
      </c>
      <c r="E38" s="10" t="s">
        <v>5</v>
      </c>
      <c r="F38" s="10">
        <v>2982</v>
      </c>
      <c r="H38" s="3" t="s">
        <v>262</v>
      </c>
      <c r="I38">
        <v>31576</v>
      </c>
      <c r="K38" t="str">
        <f t="shared" si="0"/>
        <v>ID</v>
      </c>
      <c r="L38">
        <f t="shared" si="0"/>
        <v>31576</v>
      </c>
      <c r="N38" s="3" t="s">
        <v>447</v>
      </c>
      <c r="O38">
        <v>3196</v>
      </c>
      <c r="Q38" s="11" t="s">
        <v>447</v>
      </c>
      <c r="R38" s="11">
        <v>3196</v>
      </c>
      <c r="T38" s="3" t="s">
        <v>131</v>
      </c>
      <c r="U38">
        <v>1112</v>
      </c>
      <c r="W38" s="11" t="s">
        <v>131</v>
      </c>
      <c r="X38" s="11">
        <v>1112</v>
      </c>
      <c r="Z38" s="3" t="s">
        <v>178</v>
      </c>
      <c r="AA38">
        <v>1770</v>
      </c>
      <c r="AC38" s="11"/>
      <c r="AD38" s="11"/>
      <c r="AF38" s="3"/>
    </row>
    <row r="39" spans="1:32" x14ac:dyDescent="0.2">
      <c r="A39" s="10" t="s">
        <v>61</v>
      </c>
      <c r="B39" s="10" t="s">
        <v>74</v>
      </c>
      <c r="C39" s="10" t="s">
        <v>47</v>
      </c>
      <c r="D39" s="10">
        <v>36107</v>
      </c>
      <c r="E39" s="10" t="s">
        <v>6</v>
      </c>
      <c r="F39" s="10">
        <v>1178</v>
      </c>
      <c r="H39" s="3" t="s">
        <v>480</v>
      </c>
      <c r="I39">
        <v>28739</v>
      </c>
      <c r="K39" t="str">
        <f t="shared" si="0"/>
        <v>NE</v>
      </c>
      <c r="L39">
        <f t="shared" si="0"/>
        <v>28739</v>
      </c>
      <c r="N39" s="3" t="s">
        <v>696</v>
      </c>
      <c r="O39">
        <v>3066</v>
      </c>
      <c r="Q39" s="11" t="s">
        <v>696</v>
      </c>
      <c r="R39" s="11">
        <v>3066</v>
      </c>
      <c r="T39" s="3" t="s">
        <v>139</v>
      </c>
      <c r="U39">
        <v>909</v>
      </c>
      <c r="W39" s="11" t="s">
        <v>139</v>
      </c>
      <c r="X39" s="11">
        <v>909</v>
      </c>
      <c r="Z39" s="3" t="s">
        <v>194</v>
      </c>
      <c r="AA39">
        <v>1519</v>
      </c>
      <c r="AC39" s="11"/>
      <c r="AD39" s="11"/>
      <c r="AF39" s="3"/>
    </row>
    <row r="40" spans="1:32" x14ac:dyDescent="0.2">
      <c r="A40" s="10" t="s">
        <v>61</v>
      </c>
      <c r="B40" s="10" t="s">
        <v>75</v>
      </c>
      <c r="C40" s="10" t="s">
        <v>47</v>
      </c>
      <c r="D40" s="10">
        <v>35243</v>
      </c>
      <c r="E40" s="10" t="s">
        <v>10</v>
      </c>
      <c r="F40" s="10">
        <v>4603</v>
      </c>
      <c r="H40" s="3" t="s">
        <v>486</v>
      </c>
      <c r="I40">
        <v>26669</v>
      </c>
      <c r="K40" t="str">
        <f t="shared" si="0"/>
        <v>NH</v>
      </c>
      <c r="L40">
        <f t="shared" si="0"/>
        <v>26669</v>
      </c>
      <c r="N40" s="3" t="s">
        <v>684</v>
      </c>
      <c r="O40">
        <v>2996</v>
      </c>
      <c r="Q40" s="11" t="s">
        <v>684</v>
      </c>
      <c r="R40" s="11">
        <v>2996</v>
      </c>
      <c r="T40" s="3" t="s">
        <v>110</v>
      </c>
      <c r="U40">
        <v>792</v>
      </c>
      <c r="W40" s="11" t="s">
        <v>110</v>
      </c>
      <c r="X40" s="11">
        <v>792</v>
      </c>
      <c r="Z40" s="3" t="s">
        <v>184</v>
      </c>
      <c r="AA40">
        <v>1468</v>
      </c>
      <c r="AC40" s="11"/>
      <c r="AD40" s="11"/>
      <c r="AF40" s="3"/>
    </row>
    <row r="41" spans="1:32" x14ac:dyDescent="0.2">
      <c r="A41" s="10" t="s">
        <v>61</v>
      </c>
      <c r="B41" s="10" t="s">
        <v>77</v>
      </c>
      <c r="C41" s="10" t="s">
        <v>47</v>
      </c>
      <c r="D41" s="10">
        <v>35242</v>
      </c>
      <c r="E41" s="10" t="s">
        <v>7</v>
      </c>
      <c r="F41" s="10">
        <v>1680</v>
      </c>
      <c r="H41" s="3" t="s">
        <v>508</v>
      </c>
      <c r="I41">
        <v>21505</v>
      </c>
      <c r="K41" t="str">
        <f t="shared" si="0"/>
        <v>NM</v>
      </c>
      <c r="L41">
        <f t="shared" si="0"/>
        <v>21505</v>
      </c>
      <c r="N41" s="3" t="s">
        <v>654</v>
      </c>
      <c r="O41">
        <v>2909</v>
      </c>
      <c r="Q41" s="11" t="s">
        <v>654</v>
      </c>
      <c r="R41" s="11">
        <v>2909</v>
      </c>
      <c r="T41" s="3" t="s">
        <v>125</v>
      </c>
      <c r="U41">
        <v>788</v>
      </c>
      <c r="W41" s="11" t="s">
        <v>125</v>
      </c>
      <c r="X41" s="11">
        <v>788</v>
      </c>
      <c r="Z41" s="3" t="s">
        <v>182</v>
      </c>
      <c r="AA41">
        <v>1378</v>
      </c>
      <c r="AC41" s="11"/>
      <c r="AD41" s="11"/>
      <c r="AF41" s="3"/>
    </row>
    <row r="42" spans="1:32" x14ac:dyDescent="0.2">
      <c r="A42" s="10" t="s">
        <v>61</v>
      </c>
      <c r="B42" s="10" t="s">
        <v>74</v>
      </c>
      <c r="C42" s="10" t="s">
        <v>47</v>
      </c>
      <c r="D42" s="10">
        <v>36116</v>
      </c>
      <c r="E42" s="10" t="s">
        <v>6</v>
      </c>
      <c r="F42" s="10">
        <v>3192</v>
      </c>
      <c r="H42" s="3" t="s">
        <v>245</v>
      </c>
      <c r="I42">
        <v>19287</v>
      </c>
      <c r="K42" t="str">
        <f t="shared" si="0"/>
        <v>HI</v>
      </c>
      <c r="L42">
        <f t="shared" si="0"/>
        <v>19287</v>
      </c>
      <c r="N42" s="3" t="s">
        <v>660</v>
      </c>
      <c r="O42">
        <v>2565</v>
      </c>
      <c r="Q42" s="11" t="s">
        <v>660</v>
      </c>
      <c r="R42" s="11">
        <v>2565</v>
      </c>
      <c r="T42" s="3" t="s">
        <v>137</v>
      </c>
      <c r="U42">
        <v>744</v>
      </c>
      <c r="W42" s="11" t="s">
        <v>137</v>
      </c>
      <c r="X42" s="11">
        <v>744</v>
      </c>
      <c r="Z42" s="3" t="s">
        <v>193</v>
      </c>
      <c r="AA42">
        <v>1375</v>
      </c>
      <c r="AC42" s="11"/>
      <c r="AD42" s="11"/>
      <c r="AF42" s="3"/>
    </row>
    <row r="43" spans="1:32" x14ac:dyDescent="0.2">
      <c r="A43" s="10" t="s">
        <v>61</v>
      </c>
      <c r="B43" s="10" t="s">
        <v>75</v>
      </c>
      <c r="C43" s="10" t="s">
        <v>47</v>
      </c>
      <c r="D43" s="10">
        <v>35244</v>
      </c>
      <c r="E43" s="10" t="s">
        <v>6</v>
      </c>
      <c r="F43" s="10">
        <v>5304</v>
      </c>
      <c r="H43" s="3" t="s">
        <v>167</v>
      </c>
      <c r="I43">
        <v>11325</v>
      </c>
      <c r="K43" t="str">
        <f t="shared" si="0"/>
        <v>DE</v>
      </c>
      <c r="L43">
        <f t="shared" si="0"/>
        <v>11325</v>
      </c>
      <c r="N43" s="3" t="s">
        <v>661</v>
      </c>
      <c r="O43">
        <v>2512</v>
      </c>
      <c r="Q43" s="11" t="s">
        <v>661</v>
      </c>
      <c r="R43" s="11">
        <v>2512</v>
      </c>
      <c r="T43" s="3" t="s">
        <v>123</v>
      </c>
      <c r="U43">
        <v>417</v>
      </c>
      <c r="W43" s="11" t="s">
        <v>123</v>
      </c>
      <c r="X43" s="11">
        <v>417</v>
      </c>
      <c r="Z43" s="3" t="s">
        <v>181</v>
      </c>
      <c r="AA43">
        <v>469</v>
      </c>
      <c r="AC43" s="11"/>
      <c r="AD43" s="11"/>
      <c r="AF43" s="3"/>
    </row>
    <row r="44" spans="1:32" x14ac:dyDescent="0.2">
      <c r="A44" s="10" t="s">
        <v>61</v>
      </c>
      <c r="B44" s="10" t="s">
        <v>75</v>
      </c>
      <c r="C44" s="10" t="s">
        <v>47</v>
      </c>
      <c r="D44" s="10">
        <v>35235</v>
      </c>
      <c r="E44" s="10" t="s">
        <v>5</v>
      </c>
      <c r="F44" s="10">
        <v>4060</v>
      </c>
      <c r="H44" s="3" t="s">
        <v>780</v>
      </c>
      <c r="I44">
        <v>9187</v>
      </c>
      <c r="K44" t="str">
        <f t="shared" si="0"/>
        <v>WV</v>
      </c>
      <c r="L44">
        <f t="shared" si="0"/>
        <v>9187</v>
      </c>
      <c r="N44" s="3" t="s">
        <v>623</v>
      </c>
      <c r="O44">
        <v>2419</v>
      </c>
      <c r="Q44" s="11" t="s">
        <v>623</v>
      </c>
      <c r="R44" s="11">
        <v>2419</v>
      </c>
      <c r="T44" s="3" t="s">
        <v>20</v>
      </c>
      <c r="U44">
        <v>525180</v>
      </c>
      <c r="W44" s="11"/>
      <c r="X44" s="11"/>
      <c r="Z44" s="3" t="s">
        <v>20</v>
      </c>
      <c r="AA44">
        <v>469132</v>
      </c>
      <c r="AC44" s="11"/>
      <c r="AD44" s="11"/>
      <c r="AF44" s="3"/>
    </row>
    <row r="45" spans="1:32" x14ac:dyDescent="0.2">
      <c r="A45" s="10" t="s">
        <v>61</v>
      </c>
      <c r="B45" s="10" t="s">
        <v>75</v>
      </c>
      <c r="C45" s="10" t="s">
        <v>47</v>
      </c>
      <c r="D45" s="10">
        <v>35235</v>
      </c>
      <c r="E45" s="10" t="s">
        <v>6</v>
      </c>
      <c r="F45" s="10">
        <v>620</v>
      </c>
      <c r="H45" s="3" t="s">
        <v>437</v>
      </c>
      <c r="I45">
        <v>8894</v>
      </c>
      <c r="K45" t="str">
        <f t="shared" si="0"/>
        <v>MT</v>
      </c>
      <c r="L45">
        <f t="shared" si="0"/>
        <v>8894</v>
      </c>
      <c r="N45" s="3" t="s">
        <v>682</v>
      </c>
      <c r="O45">
        <v>2388</v>
      </c>
      <c r="Q45" s="11" t="s">
        <v>682</v>
      </c>
      <c r="R45" s="11">
        <v>2388</v>
      </c>
      <c r="W45" s="11"/>
      <c r="X45" s="11"/>
      <c r="AC45" s="11"/>
      <c r="AD45" s="11"/>
      <c r="AF45" s="3"/>
    </row>
    <row r="46" spans="1:32" x14ac:dyDescent="0.2">
      <c r="A46" s="10" t="s">
        <v>61</v>
      </c>
      <c r="B46" s="10" t="s">
        <v>75</v>
      </c>
      <c r="C46" s="10" t="s">
        <v>47</v>
      </c>
      <c r="D46" s="10">
        <v>35216</v>
      </c>
      <c r="E46" s="10" t="s">
        <v>8</v>
      </c>
      <c r="F46" s="10">
        <v>801</v>
      </c>
      <c r="H46" s="3" t="s">
        <v>373</v>
      </c>
      <c r="I46">
        <v>8570</v>
      </c>
      <c r="K46" t="str">
        <f t="shared" si="0"/>
        <v>ME</v>
      </c>
      <c r="L46">
        <f t="shared" si="0"/>
        <v>8570</v>
      </c>
      <c r="N46" s="3" t="s">
        <v>675</v>
      </c>
      <c r="O46">
        <v>2301</v>
      </c>
      <c r="Q46" s="11" t="s">
        <v>675</v>
      </c>
      <c r="R46" s="11">
        <v>2301</v>
      </c>
      <c r="W46" s="11"/>
      <c r="X46" s="11"/>
      <c r="AC46" s="11"/>
      <c r="AD46" s="11"/>
      <c r="AF46" s="3"/>
    </row>
    <row r="47" spans="1:32" x14ac:dyDescent="0.2">
      <c r="A47" s="10" t="s">
        <v>61</v>
      </c>
      <c r="B47" s="10" t="s">
        <v>77</v>
      </c>
      <c r="C47" s="10" t="s">
        <v>47</v>
      </c>
      <c r="D47" s="10">
        <v>35124</v>
      </c>
      <c r="E47" s="10" t="s">
        <v>5</v>
      </c>
      <c r="F47" s="10">
        <v>62</v>
      </c>
      <c r="H47" s="3" t="s">
        <v>617</v>
      </c>
      <c r="I47">
        <v>7875</v>
      </c>
      <c r="K47" t="str">
        <f t="shared" si="0"/>
        <v>RI</v>
      </c>
      <c r="L47">
        <f t="shared" si="0"/>
        <v>7875</v>
      </c>
      <c r="N47" s="3" t="s">
        <v>663</v>
      </c>
      <c r="O47">
        <v>2260</v>
      </c>
      <c r="Q47" s="11" t="s">
        <v>663</v>
      </c>
      <c r="R47" s="11">
        <v>2260</v>
      </c>
      <c r="W47" s="11"/>
      <c r="X47" s="11"/>
      <c r="AC47" s="11"/>
      <c r="AD47" s="11"/>
      <c r="AF47" s="3"/>
    </row>
    <row r="48" spans="1:32" x14ac:dyDescent="0.2">
      <c r="A48" s="10" t="s">
        <v>61</v>
      </c>
      <c r="B48" s="10" t="s">
        <v>78</v>
      </c>
      <c r="C48" s="10" t="s">
        <v>47</v>
      </c>
      <c r="D48" s="10">
        <v>35903</v>
      </c>
      <c r="E48" s="10" t="s">
        <v>7</v>
      </c>
      <c r="F48" s="10">
        <v>1856</v>
      </c>
      <c r="H48" s="3" t="s">
        <v>476</v>
      </c>
      <c r="I48">
        <v>7060</v>
      </c>
      <c r="K48" t="str">
        <f t="shared" si="0"/>
        <v>ND</v>
      </c>
      <c r="L48">
        <f t="shared" si="0"/>
        <v>7060</v>
      </c>
      <c r="N48" s="3" t="s">
        <v>662</v>
      </c>
      <c r="O48">
        <v>2200</v>
      </c>
      <c r="Q48" s="11" t="s">
        <v>662</v>
      </c>
      <c r="R48" s="11">
        <v>2200</v>
      </c>
      <c r="W48" s="11"/>
      <c r="X48" s="11"/>
      <c r="AC48" s="11"/>
      <c r="AD48" s="11"/>
      <c r="AF48" s="3"/>
    </row>
    <row r="49" spans="1:32" x14ac:dyDescent="0.2">
      <c r="A49" s="10" t="s">
        <v>61</v>
      </c>
      <c r="B49" s="10" t="s">
        <v>79</v>
      </c>
      <c r="C49" s="10" t="s">
        <v>47</v>
      </c>
      <c r="D49" s="10">
        <v>35611</v>
      </c>
      <c r="E49" s="10" t="s">
        <v>5</v>
      </c>
      <c r="F49" s="10">
        <v>2411</v>
      </c>
      <c r="H49" s="3" t="s">
        <v>165</v>
      </c>
      <c r="I49">
        <v>5555</v>
      </c>
      <c r="K49" t="str">
        <f t="shared" si="0"/>
        <v>DC</v>
      </c>
      <c r="L49">
        <f t="shared" si="0"/>
        <v>5555</v>
      </c>
      <c r="N49" s="3" t="s">
        <v>656</v>
      </c>
      <c r="O49">
        <v>2195</v>
      </c>
      <c r="Q49" s="11" t="s">
        <v>656</v>
      </c>
      <c r="R49" s="11">
        <v>2195</v>
      </c>
      <c r="W49" s="11"/>
      <c r="X49" s="11"/>
      <c r="AC49" s="11"/>
      <c r="AD49" s="11"/>
      <c r="AF49" s="3"/>
    </row>
    <row r="50" spans="1:32" x14ac:dyDescent="0.2">
      <c r="A50" s="10" t="s">
        <v>80</v>
      </c>
      <c r="B50" s="10" t="s">
        <v>81</v>
      </c>
      <c r="C50" s="10" t="s">
        <v>45</v>
      </c>
      <c r="D50" s="10">
        <v>72015</v>
      </c>
      <c r="E50" s="10" t="s">
        <v>6</v>
      </c>
      <c r="F50" s="10">
        <v>1592</v>
      </c>
      <c r="H50" s="3" t="s">
        <v>635</v>
      </c>
      <c r="I50">
        <v>4891</v>
      </c>
      <c r="K50" t="str">
        <f t="shared" si="0"/>
        <v>SD</v>
      </c>
      <c r="L50">
        <f t="shared" si="0"/>
        <v>4891</v>
      </c>
      <c r="N50" s="3" t="s">
        <v>695</v>
      </c>
      <c r="O50">
        <v>2128</v>
      </c>
      <c r="Q50" s="11" t="s">
        <v>695</v>
      </c>
      <c r="R50" s="11">
        <v>2128</v>
      </c>
      <c r="W50" s="11"/>
      <c r="X50" s="11"/>
      <c r="AC50" s="11"/>
      <c r="AD50" s="11"/>
      <c r="AF50" s="3"/>
    </row>
    <row r="51" spans="1:32" x14ac:dyDescent="0.2">
      <c r="A51" s="10" t="s">
        <v>80</v>
      </c>
      <c r="B51" s="10" t="s">
        <v>82</v>
      </c>
      <c r="C51" s="10" t="s">
        <v>45</v>
      </c>
      <c r="D51" s="10">
        <v>72762</v>
      </c>
      <c r="E51" s="10" t="s">
        <v>6</v>
      </c>
      <c r="F51" s="10">
        <v>1546</v>
      </c>
      <c r="H51" s="3" t="s">
        <v>57</v>
      </c>
      <c r="I51">
        <v>4539</v>
      </c>
      <c r="K51" t="str">
        <f t="shared" si="0"/>
        <v>AK</v>
      </c>
      <c r="L51">
        <f t="shared" si="0"/>
        <v>4539</v>
      </c>
      <c r="N51" s="3" t="s">
        <v>658</v>
      </c>
      <c r="O51">
        <v>2008</v>
      </c>
      <c r="Q51" s="11" t="s">
        <v>658</v>
      </c>
      <c r="R51" s="11">
        <v>2008</v>
      </c>
      <c r="W51" s="11"/>
      <c r="X51" s="11"/>
      <c r="AC51" s="11"/>
      <c r="AD51" s="11"/>
      <c r="AF51" s="3"/>
    </row>
    <row r="52" spans="1:32" x14ac:dyDescent="0.2">
      <c r="A52" s="10" t="s">
        <v>80</v>
      </c>
      <c r="B52" s="10" t="s">
        <v>82</v>
      </c>
      <c r="C52" s="10" t="s">
        <v>45</v>
      </c>
      <c r="D52" s="10">
        <v>72703</v>
      </c>
      <c r="E52" s="10" t="s">
        <v>6</v>
      </c>
      <c r="F52" s="10">
        <v>2035</v>
      </c>
      <c r="H52" s="3" t="s">
        <v>785</v>
      </c>
      <c r="I52">
        <v>4114</v>
      </c>
      <c r="K52" t="str">
        <f t="shared" si="0"/>
        <v>WY</v>
      </c>
      <c r="L52">
        <f t="shared" si="0"/>
        <v>4114</v>
      </c>
      <c r="N52" s="3" t="s">
        <v>680</v>
      </c>
      <c r="O52">
        <v>2007</v>
      </c>
      <c r="Q52" s="11" t="s">
        <v>680</v>
      </c>
      <c r="R52" s="11">
        <v>2007</v>
      </c>
      <c r="W52" s="11"/>
      <c r="X52" s="11"/>
      <c r="AC52" s="11"/>
      <c r="AD52" s="11"/>
      <c r="AF52" s="3"/>
    </row>
    <row r="53" spans="1:32" x14ac:dyDescent="0.2">
      <c r="A53" s="10" t="s">
        <v>80</v>
      </c>
      <c r="B53" s="10" t="s">
        <v>83</v>
      </c>
      <c r="C53" s="10" t="s">
        <v>45</v>
      </c>
      <c r="D53" s="10">
        <v>72802</v>
      </c>
      <c r="E53" s="10" t="s">
        <v>5</v>
      </c>
      <c r="F53" s="10">
        <v>1907</v>
      </c>
      <c r="H53" s="3" t="s">
        <v>741</v>
      </c>
      <c r="I53">
        <v>4073</v>
      </c>
      <c r="K53" t="str">
        <f t="shared" si="0"/>
        <v>VT</v>
      </c>
      <c r="L53">
        <f t="shared" si="0"/>
        <v>4073</v>
      </c>
      <c r="N53" s="3" t="s">
        <v>668</v>
      </c>
      <c r="O53">
        <v>1791</v>
      </c>
      <c r="Q53" s="11" t="s">
        <v>668</v>
      </c>
      <c r="R53" s="11">
        <v>1791</v>
      </c>
      <c r="W53" s="11"/>
      <c r="X53" s="11"/>
      <c r="AC53" s="11"/>
      <c r="AD53" s="11"/>
      <c r="AF53" s="3"/>
    </row>
    <row r="54" spans="1:32" x14ac:dyDescent="0.2">
      <c r="A54" s="10" t="s">
        <v>80</v>
      </c>
      <c r="B54" s="10" t="s">
        <v>75</v>
      </c>
      <c r="C54" s="10" t="s">
        <v>45</v>
      </c>
      <c r="D54" s="10">
        <v>71601</v>
      </c>
      <c r="E54" s="10" t="s">
        <v>5</v>
      </c>
      <c r="F54" s="10">
        <v>1531</v>
      </c>
      <c r="H54" s="3" t="s">
        <v>20</v>
      </c>
      <c r="I54">
        <v>4447611</v>
      </c>
      <c r="N54" s="3" t="s">
        <v>681</v>
      </c>
      <c r="O54">
        <v>1619</v>
      </c>
      <c r="Q54" s="11" t="s">
        <v>681</v>
      </c>
      <c r="R54" s="11">
        <v>1619</v>
      </c>
      <c r="W54" s="11"/>
      <c r="X54" s="11"/>
      <c r="AC54" s="11"/>
      <c r="AD54" s="11"/>
      <c r="AF54" s="3"/>
    </row>
    <row r="55" spans="1:32" x14ac:dyDescent="0.2">
      <c r="A55" s="10" t="s">
        <v>80</v>
      </c>
      <c r="B55" s="10" t="s">
        <v>84</v>
      </c>
      <c r="C55" s="10" t="s">
        <v>45</v>
      </c>
      <c r="D55" s="10">
        <v>72756</v>
      </c>
      <c r="E55" s="10" t="s">
        <v>6</v>
      </c>
      <c r="F55" s="10">
        <v>1027</v>
      </c>
      <c r="N55" s="3" t="s">
        <v>678</v>
      </c>
      <c r="O55">
        <v>1480</v>
      </c>
      <c r="Q55" s="11" t="s">
        <v>678</v>
      </c>
      <c r="R55" s="11">
        <v>1480</v>
      </c>
      <c r="W55" s="11"/>
      <c r="X55" s="11"/>
      <c r="AC55" s="11"/>
      <c r="AD55" s="11"/>
      <c r="AF55" s="3"/>
    </row>
    <row r="56" spans="1:32" x14ac:dyDescent="0.2">
      <c r="A56" s="10" t="s">
        <v>80</v>
      </c>
      <c r="B56" s="10" t="s">
        <v>84</v>
      </c>
      <c r="C56" s="10" t="s">
        <v>45</v>
      </c>
      <c r="D56" s="10">
        <v>72756</v>
      </c>
      <c r="E56" s="10" t="s">
        <v>5</v>
      </c>
      <c r="F56" s="10">
        <v>2212</v>
      </c>
      <c r="N56" s="3" t="s">
        <v>693</v>
      </c>
      <c r="O56">
        <v>1397</v>
      </c>
      <c r="Q56" s="11" t="s">
        <v>693</v>
      </c>
      <c r="R56" s="11">
        <v>1397</v>
      </c>
      <c r="W56" s="11"/>
      <c r="X56" s="11"/>
      <c r="AC56" s="11"/>
      <c r="AD56" s="11"/>
      <c r="AF56" s="3"/>
    </row>
    <row r="57" spans="1:32" x14ac:dyDescent="0.2">
      <c r="A57" s="10" t="s">
        <v>80</v>
      </c>
      <c r="B57" s="10" t="s">
        <v>85</v>
      </c>
      <c r="C57" s="10" t="s">
        <v>45</v>
      </c>
      <c r="D57" s="10">
        <v>71913</v>
      </c>
      <c r="E57" s="10" t="s">
        <v>6</v>
      </c>
      <c r="F57" s="10">
        <v>4560</v>
      </c>
      <c r="N57" s="3" t="s">
        <v>659</v>
      </c>
      <c r="O57">
        <v>1291</v>
      </c>
      <c r="Q57" s="11" t="s">
        <v>659</v>
      </c>
      <c r="R57" s="11">
        <v>1291</v>
      </c>
      <c r="W57" s="11"/>
      <c r="X57" s="11"/>
      <c r="AC57" s="11"/>
      <c r="AD57" s="11"/>
      <c r="AF57" s="3"/>
    </row>
    <row r="58" spans="1:32" x14ac:dyDescent="0.2">
      <c r="A58" s="10" t="s">
        <v>80</v>
      </c>
      <c r="B58" s="10" t="s">
        <v>86</v>
      </c>
      <c r="C58" s="10" t="s">
        <v>46</v>
      </c>
      <c r="D58" s="10">
        <v>72903</v>
      </c>
      <c r="E58" s="10" t="s">
        <v>6</v>
      </c>
      <c r="F58" s="10">
        <v>2462</v>
      </c>
      <c r="N58" s="3" t="s">
        <v>665</v>
      </c>
      <c r="O58">
        <v>1239</v>
      </c>
      <c r="Q58" s="11" t="s">
        <v>665</v>
      </c>
      <c r="R58" s="11">
        <v>1239</v>
      </c>
      <c r="W58" s="11"/>
      <c r="X58" s="11"/>
      <c r="AC58" s="11"/>
      <c r="AD58" s="11"/>
      <c r="AF58" s="3"/>
    </row>
    <row r="59" spans="1:32" x14ac:dyDescent="0.2">
      <c r="A59" s="10" t="s">
        <v>80</v>
      </c>
      <c r="B59" s="10" t="s">
        <v>87</v>
      </c>
      <c r="C59" s="10" t="s">
        <v>46</v>
      </c>
      <c r="D59" s="10">
        <v>72401</v>
      </c>
      <c r="E59" s="10" t="s">
        <v>7</v>
      </c>
      <c r="F59" s="10">
        <v>4026</v>
      </c>
      <c r="N59" s="3" t="s">
        <v>683</v>
      </c>
      <c r="O59">
        <v>1173</v>
      </c>
      <c r="Q59" s="11" t="s">
        <v>683</v>
      </c>
      <c r="R59" s="11">
        <v>1173</v>
      </c>
      <c r="W59" s="11"/>
      <c r="X59" s="11"/>
      <c r="AC59" s="11"/>
      <c r="AD59" s="11"/>
      <c r="AF59" s="3"/>
    </row>
    <row r="60" spans="1:32" x14ac:dyDescent="0.2">
      <c r="A60" s="10" t="s">
        <v>80</v>
      </c>
      <c r="B60" s="10" t="s">
        <v>88</v>
      </c>
      <c r="C60" s="10" t="s">
        <v>46</v>
      </c>
      <c r="D60" s="10">
        <v>71730</v>
      </c>
      <c r="E60" s="10" t="s">
        <v>6</v>
      </c>
      <c r="F60" s="10">
        <v>4782</v>
      </c>
      <c r="N60" s="3" t="s">
        <v>20</v>
      </c>
      <c r="O60">
        <v>434013</v>
      </c>
      <c r="Q60" s="11"/>
      <c r="R60" s="11"/>
      <c r="AF60" s="3"/>
    </row>
    <row r="61" spans="1:32" x14ac:dyDescent="0.2">
      <c r="A61" s="10" t="s">
        <v>80</v>
      </c>
      <c r="B61" s="10" t="s">
        <v>86</v>
      </c>
      <c r="C61" s="10" t="s">
        <v>46</v>
      </c>
      <c r="D61" s="10">
        <v>72903</v>
      </c>
      <c r="E61" s="10" t="s">
        <v>8</v>
      </c>
      <c r="F61" s="10">
        <v>646</v>
      </c>
      <c r="Q61" s="11"/>
      <c r="R61" s="11"/>
      <c r="AF61" s="3"/>
    </row>
    <row r="62" spans="1:32" x14ac:dyDescent="0.2">
      <c r="A62" s="10" t="s">
        <v>80</v>
      </c>
      <c r="B62" s="10" t="s">
        <v>89</v>
      </c>
      <c r="C62" s="10" t="s">
        <v>47</v>
      </c>
      <c r="D62" s="10">
        <v>72211</v>
      </c>
      <c r="E62" s="10" t="s">
        <v>8</v>
      </c>
      <c r="F62" s="10">
        <v>2011</v>
      </c>
      <c r="Q62" s="11"/>
      <c r="R62" s="11"/>
      <c r="AF62" s="3"/>
    </row>
    <row r="63" spans="1:32" x14ac:dyDescent="0.2">
      <c r="A63" s="10" t="s">
        <v>80</v>
      </c>
      <c r="B63" s="10" t="s">
        <v>89</v>
      </c>
      <c r="C63" s="10" t="s">
        <v>47</v>
      </c>
      <c r="D63" s="10">
        <v>72202</v>
      </c>
      <c r="E63" s="10" t="s">
        <v>6</v>
      </c>
      <c r="F63" s="10">
        <v>278</v>
      </c>
      <c r="Q63" s="11"/>
      <c r="R63" s="11"/>
      <c r="AF63" s="3"/>
    </row>
    <row r="64" spans="1:32" x14ac:dyDescent="0.2">
      <c r="A64" s="10" t="s">
        <v>80</v>
      </c>
      <c r="B64" s="10" t="s">
        <v>89</v>
      </c>
      <c r="C64" s="10" t="s">
        <v>47</v>
      </c>
      <c r="D64" s="10">
        <v>72116</v>
      </c>
      <c r="E64" s="10" t="s">
        <v>6</v>
      </c>
      <c r="F64" s="10">
        <v>1921</v>
      </c>
      <c r="Q64" s="11"/>
      <c r="R64" s="11"/>
      <c r="AF64" s="3"/>
    </row>
    <row r="65" spans="1:32" x14ac:dyDescent="0.2">
      <c r="A65" s="10" t="s">
        <v>80</v>
      </c>
      <c r="B65" s="10" t="s">
        <v>90</v>
      </c>
      <c r="C65" s="10" t="s">
        <v>47</v>
      </c>
      <c r="D65" s="10">
        <v>72032</v>
      </c>
      <c r="E65" s="10" t="s">
        <v>5</v>
      </c>
      <c r="F65" s="10">
        <v>954</v>
      </c>
      <c r="Q65" s="11"/>
      <c r="R65" s="11"/>
      <c r="AF65" s="3"/>
    </row>
    <row r="66" spans="1:32" x14ac:dyDescent="0.2">
      <c r="A66" s="10" t="s">
        <v>80</v>
      </c>
      <c r="B66" s="10" t="s">
        <v>90</v>
      </c>
      <c r="C66" s="10" t="s">
        <v>47</v>
      </c>
      <c r="D66" s="10">
        <v>72032</v>
      </c>
      <c r="E66" s="10" t="s">
        <v>6</v>
      </c>
      <c r="F66" s="10">
        <v>2314</v>
      </c>
      <c r="Q66" s="11"/>
      <c r="R66" s="11"/>
      <c r="AF66" s="3"/>
    </row>
    <row r="67" spans="1:32" x14ac:dyDescent="0.2">
      <c r="A67" s="10" t="s">
        <v>80</v>
      </c>
      <c r="B67" s="10" t="s">
        <v>89</v>
      </c>
      <c r="C67" s="10" t="s">
        <v>47</v>
      </c>
      <c r="D67" s="10">
        <v>72211</v>
      </c>
      <c r="E67" s="10" t="s">
        <v>6</v>
      </c>
      <c r="F67" s="10">
        <v>1473</v>
      </c>
      <c r="Q67" s="11"/>
      <c r="R67" s="11"/>
      <c r="AF67" s="3"/>
    </row>
    <row r="68" spans="1:32" x14ac:dyDescent="0.2">
      <c r="A68" s="10" t="s">
        <v>80</v>
      </c>
      <c r="B68" s="10" t="s">
        <v>89</v>
      </c>
      <c r="C68" s="10" t="s">
        <v>47</v>
      </c>
      <c r="D68" s="10">
        <v>72211</v>
      </c>
      <c r="E68" s="10" t="s">
        <v>5</v>
      </c>
      <c r="F68" s="10">
        <v>2285</v>
      </c>
      <c r="Q68" s="11"/>
      <c r="R68" s="11"/>
      <c r="AF68" s="3"/>
    </row>
    <row r="69" spans="1:32" x14ac:dyDescent="0.2">
      <c r="A69" s="10" t="s">
        <v>91</v>
      </c>
      <c r="B69" s="10" t="s">
        <v>92</v>
      </c>
      <c r="C69" s="10" t="s">
        <v>45</v>
      </c>
      <c r="D69" s="10">
        <v>86403</v>
      </c>
      <c r="E69" s="10" t="s">
        <v>5</v>
      </c>
      <c r="F69" s="10">
        <v>1418</v>
      </c>
      <c r="Q69" s="11"/>
      <c r="R69" s="11"/>
      <c r="AF69" s="3"/>
    </row>
    <row r="70" spans="1:32" x14ac:dyDescent="0.2">
      <c r="A70" s="10" t="s">
        <v>91</v>
      </c>
      <c r="B70" s="10" t="s">
        <v>93</v>
      </c>
      <c r="C70" s="10" t="s">
        <v>45</v>
      </c>
      <c r="D70" s="10">
        <v>86326</v>
      </c>
      <c r="E70" s="10" t="s">
        <v>7</v>
      </c>
      <c r="F70" s="10">
        <v>828</v>
      </c>
      <c r="Q70" s="11"/>
      <c r="R70" s="11"/>
      <c r="AF70" s="3"/>
    </row>
    <row r="71" spans="1:32" x14ac:dyDescent="0.2">
      <c r="A71" s="10" t="s">
        <v>91</v>
      </c>
      <c r="B71" s="10" t="s">
        <v>93</v>
      </c>
      <c r="C71" s="10" t="s">
        <v>45</v>
      </c>
      <c r="D71" s="10">
        <v>86301</v>
      </c>
      <c r="E71" s="10" t="s">
        <v>5</v>
      </c>
      <c r="F71" s="10">
        <v>855</v>
      </c>
      <c r="Q71" s="11"/>
      <c r="R71" s="11"/>
      <c r="AF71" s="3"/>
    </row>
    <row r="72" spans="1:32" x14ac:dyDescent="0.2">
      <c r="A72" s="10" t="s">
        <v>91</v>
      </c>
      <c r="B72" s="10" t="s">
        <v>93</v>
      </c>
      <c r="C72" s="10" t="s">
        <v>45</v>
      </c>
      <c r="D72" s="10">
        <v>86301</v>
      </c>
      <c r="E72" s="10" t="s">
        <v>7</v>
      </c>
      <c r="F72" s="10">
        <v>1178</v>
      </c>
      <c r="Q72" s="11"/>
      <c r="R72" s="11"/>
      <c r="AF72" s="3"/>
    </row>
    <row r="73" spans="1:32" x14ac:dyDescent="0.2">
      <c r="A73" s="10" t="s">
        <v>91</v>
      </c>
      <c r="B73" s="10" t="s">
        <v>93</v>
      </c>
      <c r="C73" s="10" t="s">
        <v>45</v>
      </c>
      <c r="D73" s="10">
        <v>86336</v>
      </c>
      <c r="E73" s="10" t="s">
        <v>5</v>
      </c>
      <c r="F73" s="10">
        <v>1220</v>
      </c>
      <c r="Q73" s="11"/>
      <c r="R73" s="11"/>
      <c r="AF73" s="3"/>
    </row>
    <row r="74" spans="1:32" x14ac:dyDescent="0.2">
      <c r="A74" s="10" t="s">
        <v>91</v>
      </c>
      <c r="B74" s="10" t="s">
        <v>93</v>
      </c>
      <c r="C74" s="10" t="s">
        <v>45</v>
      </c>
      <c r="D74" s="10">
        <v>86305</v>
      </c>
      <c r="E74" s="10" t="s">
        <v>8</v>
      </c>
      <c r="F74" s="10">
        <v>57</v>
      </c>
      <c r="Q74" s="11"/>
      <c r="R74" s="11"/>
      <c r="AF74" s="3"/>
    </row>
    <row r="75" spans="1:32" x14ac:dyDescent="0.2">
      <c r="A75" s="10" t="s">
        <v>91</v>
      </c>
      <c r="B75" s="10" t="s">
        <v>92</v>
      </c>
      <c r="C75" s="10" t="s">
        <v>45</v>
      </c>
      <c r="D75" s="10">
        <v>86409</v>
      </c>
      <c r="E75" s="10" t="s">
        <v>5</v>
      </c>
      <c r="F75" s="10">
        <v>669</v>
      </c>
      <c r="Q75" s="11"/>
      <c r="R75" s="11"/>
      <c r="AF75" s="3"/>
    </row>
    <row r="76" spans="1:32" x14ac:dyDescent="0.2">
      <c r="A76" s="10" t="s">
        <v>91</v>
      </c>
      <c r="B76" s="10" t="s">
        <v>94</v>
      </c>
      <c r="C76" s="10" t="s">
        <v>46</v>
      </c>
      <c r="D76" s="10">
        <v>85254</v>
      </c>
      <c r="E76" s="10" t="s">
        <v>9</v>
      </c>
      <c r="F76" s="10">
        <v>1219</v>
      </c>
      <c r="Q76" s="11"/>
      <c r="R76" s="11"/>
      <c r="AF76" s="3"/>
    </row>
    <row r="77" spans="1:32" x14ac:dyDescent="0.2">
      <c r="A77" s="10" t="s">
        <v>91</v>
      </c>
      <c r="B77" s="10" t="s">
        <v>94</v>
      </c>
      <c r="C77" s="10" t="s">
        <v>46</v>
      </c>
      <c r="D77" s="10">
        <v>85254</v>
      </c>
      <c r="E77" s="10" t="s">
        <v>10</v>
      </c>
      <c r="F77" s="10">
        <v>1394</v>
      </c>
      <c r="Q77" s="11"/>
      <c r="R77" s="11"/>
      <c r="AF77" s="3"/>
    </row>
    <row r="78" spans="1:32" x14ac:dyDescent="0.2">
      <c r="A78" s="10" t="s">
        <v>91</v>
      </c>
      <c r="B78" s="10" t="s">
        <v>94</v>
      </c>
      <c r="C78" s="10" t="s">
        <v>46</v>
      </c>
      <c r="D78" s="10">
        <v>85224</v>
      </c>
      <c r="E78" s="10" t="s">
        <v>7</v>
      </c>
      <c r="F78" s="10">
        <v>1814</v>
      </c>
      <c r="Q78" s="11"/>
      <c r="R78" s="11"/>
      <c r="AF78" s="3"/>
    </row>
    <row r="79" spans="1:32" x14ac:dyDescent="0.2">
      <c r="A79" s="10" t="s">
        <v>91</v>
      </c>
      <c r="B79" s="10" t="s">
        <v>94</v>
      </c>
      <c r="C79" s="10" t="s">
        <v>46</v>
      </c>
      <c r="D79" s="10">
        <v>85029</v>
      </c>
      <c r="E79" s="10" t="s">
        <v>5</v>
      </c>
      <c r="F79" s="10">
        <v>1194</v>
      </c>
      <c r="Q79" s="11"/>
      <c r="R79" s="11"/>
      <c r="AF79" s="3"/>
    </row>
    <row r="80" spans="1:32" x14ac:dyDescent="0.2">
      <c r="A80" s="10" t="s">
        <v>91</v>
      </c>
      <c r="B80" s="10" t="s">
        <v>95</v>
      </c>
      <c r="C80" s="10" t="s">
        <v>46</v>
      </c>
      <c r="D80" s="10">
        <v>85120</v>
      </c>
      <c r="E80" s="10" t="s">
        <v>7</v>
      </c>
      <c r="F80" s="10">
        <v>2908</v>
      </c>
      <c r="Q80" s="11"/>
      <c r="R80" s="11"/>
      <c r="AF80" s="3"/>
    </row>
    <row r="81" spans="1:32" x14ac:dyDescent="0.2">
      <c r="A81" s="10" t="s">
        <v>91</v>
      </c>
      <c r="B81" s="10" t="s">
        <v>94</v>
      </c>
      <c r="C81" s="10" t="s">
        <v>46</v>
      </c>
      <c r="D81" s="10">
        <v>85016</v>
      </c>
      <c r="E81" s="10" t="s">
        <v>10</v>
      </c>
      <c r="F81" s="10">
        <v>210</v>
      </c>
      <c r="Q81" s="11"/>
      <c r="R81" s="11"/>
      <c r="AF81" s="3"/>
    </row>
    <row r="82" spans="1:32" x14ac:dyDescent="0.2">
      <c r="A82" s="10" t="s">
        <v>91</v>
      </c>
      <c r="B82" s="10" t="s">
        <v>94</v>
      </c>
      <c r="C82" s="10" t="s">
        <v>46</v>
      </c>
      <c r="D82" s="10">
        <v>85012</v>
      </c>
      <c r="E82" s="10" t="s">
        <v>8</v>
      </c>
      <c r="F82" s="10">
        <v>286</v>
      </c>
      <c r="Q82" s="11"/>
      <c r="R82" s="11"/>
      <c r="AF82" s="3"/>
    </row>
    <row r="83" spans="1:32" x14ac:dyDescent="0.2">
      <c r="A83" s="10" t="s">
        <v>91</v>
      </c>
      <c r="B83" s="10" t="s">
        <v>94</v>
      </c>
      <c r="C83" s="10" t="s">
        <v>46</v>
      </c>
      <c r="D83" s="10">
        <v>85044</v>
      </c>
      <c r="E83" s="10" t="s">
        <v>7</v>
      </c>
      <c r="F83" s="10">
        <v>766</v>
      </c>
      <c r="Q83" s="11"/>
      <c r="R83" s="11"/>
      <c r="AF83" s="3"/>
    </row>
    <row r="84" spans="1:32" x14ac:dyDescent="0.2">
      <c r="A84" s="10" t="s">
        <v>91</v>
      </c>
      <c r="B84" s="10" t="s">
        <v>94</v>
      </c>
      <c r="C84" s="10" t="s">
        <v>46</v>
      </c>
      <c r="D84" s="10">
        <v>85022</v>
      </c>
      <c r="E84" s="10" t="s">
        <v>8</v>
      </c>
      <c r="F84" s="10">
        <v>117</v>
      </c>
      <c r="Q84" s="11"/>
      <c r="R84" s="11"/>
      <c r="AF84" s="3"/>
    </row>
    <row r="85" spans="1:32" x14ac:dyDescent="0.2">
      <c r="A85" s="10" t="s">
        <v>91</v>
      </c>
      <c r="B85" s="10" t="s">
        <v>94</v>
      </c>
      <c r="C85" s="10" t="s">
        <v>46</v>
      </c>
      <c r="D85" s="10">
        <v>85085</v>
      </c>
      <c r="E85" s="10" t="s">
        <v>5</v>
      </c>
      <c r="F85" s="10">
        <v>1131</v>
      </c>
      <c r="Q85" s="11"/>
      <c r="R85" s="11"/>
      <c r="AF85" s="3"/>
    </row>
    <row r="86" spans="1:32" x14ac:dyDescent="0.2">
      <c r="A86" s="10" t="s">
        <v>91</v>
      </c>
      <c r="B86" s="10" t="s">
        <v>94</v>
      </c>
      <c r="C86" s="10" t="s">
        <v>46</v>
      </c>
      <c r="D86" s="10">
        <v>85142</v>
      </c>
      <c r="E86" s="10" t="s">
        <v>5</v>
      </c>
      <c r="F86" s="10">
        <v>2989</v>
      </c>
      <c r="Q86" s="11"/>
      <c r="R86" s="11"/>
      <c r="AF86" s="3"/>
    </row>
    <row r="87" spans="1:32" x14ac:dyDescent="0.2">
      <c r="A87" s="10" t="s">
        <v>91</v>
      </c>
      <c r="B87" s="10" t="s">
        <v>96</v>
      </c>
      <c r="C87" s="10" t="s">
        <v>46</v>
      </c>
      <c r="D87" s="10">
        <v>86001</v>
      </c>
      <c r="E87" s="10" t="s">
        <v>5</v>
      </c>
      <c r="F87" s="10">
        <v>17</v>
      </c>
      <c r="Q87" s="11"/>
      <c r="R87" s="11"/>
      <c r="AF87" s="3"/>
    </row>
    <row r="88" spans="1:32" x14ac:dyDescent="0.2">
      <c r="A88" s="10" t="s">
        <v>91</v>
      </c>
      <c r="B88" s="10" t="s">
        <v>94</v>
      </c>
      <c r="C88" s="10" t="s">
        <v>46</v>
      </c>
      <c r="D88" s="10">
        <v>85308</v>
      </c>
      <c r="E88" s="10" t="s">
        <v>7</v>
      </c>
      <c r="F88" s="10">
        <v>850</v>
      </c>
      <c r="Q88" s="11"/>
      <c r="R88" s="11"/>
      <c r="AF88" s="3"/>
    </row>
    <row r="89" spans="1:32" x14ac:dyDescent="0.2">
      <c r="A89" s="10" t="s">
        <v>91</v>
      </c>
      <c r="B89" s="10" t="s">
        <v>94</v>
      </c>
      <c r="C89" s="10" t="s">
        <v>46</v>
      </c>
      <c r="D89" s="10">
        <v>85295</v>
      </c>
      <c r="E89" s="10" t="s">
        <v>7</v>
      </c>
      <c r="F89" s="10">
        <v>2939</v>
      </c>
      <c r="Q89" s="11"/>
      <c r="R89" s="11"/>
      <c r="AF89" s="3"/>
    </row>
    <row r="90" spans="1:32" x14ac:dyDescent="0.2">
      <c r="A90" s="10" t="s">
        <v>91</v>
      </c>
      <c r="B90" s="10" t="s">
        <v>94</v>
      </c>
      <c r="C90" s="10" t="s">
        <v>46</v>
      </c>
      <c r="D90" s="10">
        <v>85282</v>
      </c>
      <c r="E90" s="10" t="s">
        <v>7</v>
      </c>
      <c r="F90" s="10">
        <v>636</v>
      </c>
      <c r="Q90" s="11"/>
      <c r="R90" s="11"/>
      <c r="AF90" s="3"/>
    </row>
    <row r="91" spans="1:32" x14ac:dyDescent="0.2">
      <c r="A91" s="10" t="s">
        <v>91</v>
      </c>
      <c r="B91" s="10" t="s">
        <v>94</v>
      </c>
      <c r="C91" s="10" t="s">
        <v>46</v>
      </c>
      <c r="D91" s="10">
        <v>85016</v>
      </c>
      <c r="E91" s="10" t="s">
        <v>5</v>
      </c>
      <c r="F91" s="10">
        <v>3508</v>
      </c>
      <c r="Q91" s="11"/>
      <c r="R91" s="11"/>
      <c r="AF91" s="3"/>
    </row>
    <row r="92" spans="1:32" x14ac:dyDescent="0.2">
      <c r="A92" s="10" t="s">
        <v>91</v>
      </c>
      <c r="B92" s="10" t="s">
        <v>94</v>
      </c>
      <c r="C92" s="10" t="s">
        <v>46</v>
      </c>
      <c r="D92" s="10">
        <v>85018</v>
      </c>
      <c r="E92" s="10" t="s">
        <v>7</v>
      </c>
      <c r="F92" s="10">
        <v>482</v>
      </c>
      <c r="Q92" s="11"/>
      <c r="R92" s="11"/>
      <c r="AF92" s="3"/>
    </row>
    <row r="93" spans="1:32" x14ac:dyDescent="0.2">
      <c r="A93" s="10" t="s">
        <v>91</v>
      </c>
      <c r="B93" s="10" t="s">
        <v>94</v>
      </c>
      <c r="C93" s="10" t="s">
        <v>46</v>
      </c>
      <c r="D93" s="10">
        <v>85032</v>
      </c>
      <c r="E93" s="10" t="s">
        <v>7</v>
      </c>
      <c r="F93" s="10">
        <v>748</v>
      </c>
      <c r="Q93" s="11"/>
      <c r="R93" s="11"/>
      <c r="AF93" s="3"/>
    </row>
    <row r="94" spans="1:32" x14ac:dyDescent="0.2">
      <c r="A94" s="10" t="s">
        <v>91</v>
      </c>
      <c r="B94" s="10" t="s">
        <v>94</v>
      </c>
      <c r="C94" s="10" t="s">
        <v>46</v>
      </c>
      <c r="D94" s="10">
        <v>85201</v>
      </c>
      <c r="E94" s="10" t="s">
        <v>7</v>
      </c>
      <c r="F94" s="10">
        <v>1759</v>
      </c>
      <c r="Q94" s="11"/>
      <c r="R94" s="11"/>
      <c r="AF94" s="3"/>
    </row>
    <row r="95" spans="1:32" x14ac:dyDescent="0.2">
      <c r="A95" s="10" t="s">
        <v>91</v>
      </c>
      <c r="B95" s="10" t="s">
        <v>94</v>
      </c>
      <c r="C95" s="10" t="s">
        <v>46</v>
      </c>
      <c r="D95" s="10">
        <v>85284</v>
      </c>
      <c r="E95" s="10" t="s">
        <v>5</v>
      </c>
      <c r="F95" s="10">
        <v>1055</v>
      </c>
      <c r="Q95" s="11"/>
      <c r="R95" s="11"/>
      <c r="AF95" s="3"/>
    </row>
    <row r="96" spans="1:32" x14ac:dyDescent="0.2">
      <c r="A96" s="10" t="s">
        <v>91</v>
      </c>
      <c r="B96" s="10" t="s">
        <v>94</v>
      </c>
      <c r="C96" s="10" t="s">
        <v>46</v>
      </c>
      <c r="D96" s="10">
        <v>85233</v>
      </c>
      <c r="E96" s="10" t="s">
        <v>5</v>
      </c>
      <c r="F96" s="10">
        <v>1780</v>
      </c>
      <c r="Q96" s="11"/>
      <c r="R96" s="11"/>
    </row>
    <row r="97" spans="1:18" x14ac:dyDescent="0.2">
      <c r="A97" s="10" t="s">
        <v>91</v>
      </c>
      <c r="B97" s="10" t="s">
        <v>94</v>
      </c>
      <c r="C97" s="10" t="s">
        <v>46</v>
      </c>
      <c r="D97" s="10">
        <v>85254</v>
      </c>
      <c r="E97" s="10" t="s">
        <v>7</v>
      </c>
      <c r="F97" s="10">
        <v>561</v>
      </c>
      <c r="Q97" s="11"/>
      <c r="R97" s="11"/>
    </row>
    <row r="98" spans="1:18" x14ac:dyDescent="0.2">
      <c r="A98" s="10" t="s">
        <v>91</v>
      </c>
      <c r="B98" s="10" t="s">
        <v>94</v>
      </c>
      <c r="C98" s="10" t="s">
        <v>46</v>
      </c>
      <c r="D98" s="10">
        <v>85286</v>
      </c>
      <c r="E98" s="10" t="s">
        <v>7</v>
      </c>
      <c r="F98" s="10">
        <v>1530</v>
      </c>
      <c r="Q98" s="11"/>
      <c r="R98" s="11"/>
    </row>
    <row r="99" spans="1:18" x14ac:dyDescent="0.2">
      <c r="A99" s="10" t="s">
        <v>91</v>
      </c>
      <c r="B99" s="10" t="s">
        <v>94</v>
      </c>
      <c r="C99" s="10" t="s">
        <v>46</v>
      </c>
      <c r="D99" s="10">
        <v>85374</v>
      </c>
      <c r="E99" s="10" t="s">
        <v>7</v>
      </c>
      <c r="F99" s="10">
        <v>1353</v>
      </c>
      <c r="Q99" s="11"/>
      <c r="R99" s="11"/>
    </row>
    <row r="100" spans="1:18" x14ac:dyDescent="0.2">
      <c r="A100" s="10" t="s">
        <v>91</v>
      </c>
      <c r="B100" s="10" t="s">
        <v>94</v>
      </c>
      <c r="C100" s="10" t="s">
        <v>46</v>
      </c>
      <c r="D100" s="10">
        <v>85266</v>
      </c>
      <c r="E100" s="10" t="s">
        <v>7</v>
      </c>
      <c r="F100" s="10">
        <v>697</v>
      </c>
      <c r="Q100" s="11"/>
      <c r="R100" s="11"/>
    </row>
    <row r="101" spans="1:18" x14ac:dyDescent="0.2">
      <c r="A101" s="10" t="s">
        <v>91</v>
      </c>
      <c r="B101" s="10" t="s">
        <v>94</v>
      </c>
      <c r="C101" s="10" t="s">
        <v>46</v>
      </c>
      <c r="D101" s="10">
        <v>85260</v>
      </c>
      <c r="E101" s="10" t="s">
        <v>5</v>
      </c>
      <c r="F101" s="10">
        <v>982</v>
      </c>
      <c r="Q101" s="11"/>
      <c r="R101" s="11"/>
    </row>
    <row r="102" spans="1:18" x14ac:dyDescent="0.2">
      <c r="A102" s="10" t="s">
        <v>91</v>
      </c>
      <c r="B102" s="10" t="s">
        <v>94</v>
      </c>
      <c r="C102" s="10" t="s">
        <v>46</v>
      </c>
      <c r="D102" s="10">
        <v>85301</v>
      </c>
      <c r="E102" s="10" t="s">
        <v>5</v>
      </c>
      <c r="F102" s="10">
        <v>1266</v>
      </c>
      <c r="Q102" s="11"/>
      <c r="R102" s="11"/>
    </row>
    <row r="103" spans="1:18" x14ac:dyDescent="0.2">
      <c r="A103" s="10" t="s">
        <v>91</v>
      </c>
      <c r="B103" s="10" t="s">
        <v>94</v>
      </c>
      <c r="C103" s="10" t="s">
        <v>46</v>
      </c>
      <c r="D103" s="10">
        <v>85206</v>
      </c>
      <c r="E103" s="10" t="s">
        <v>7</v>
      </c>
      <c r="F103" s="10">
        <v>2075</v>
      </c>
      <c r="Q103" s="11"/>
      <c r="R103" s="11"/>
    </row>
    <row r="104" spans="1:18" x14ac:dyDescent="0.2">
      <c r="A104" s="10" t="s">
        <v>91</v>
      </c>
      <c r="B104" s="10" t="s">
        <v>94</v>
      </c>
      <c r="C104" s="10" t="s">
        <v>46</v>
      </c>
      <c r="D104" s="10">
        <v>85206</v>
      </c>
      <c r="E104" s="10" t="s">
        <v>8</v>
      </c>
      <c r="F104" s="10">
        <v>1346</v>
      </c>
      <c r="Q104" s="11"/>
      <c r="R104" s="11"/>
    </row>
    <row r="105" spans="1:18" x14ac:dyDescent="0.2">
      <c r="A105" s="10" t="s">
        <v>91</v>
      </c>
      <c r="B105" s="10" t="s">
        <v>94</v>
      </c>
      <c r="C105" s="10" t="s">
        <v>46</v>
      </c>
      <c r="D105" s="10">
        <v>85258</v>
      </c>
      <c r="E105" s="10" t="s">
        <v>7</v>
      </c>
      <c r="F105" s="10">
        <v>1245</v>
      </c>
      <c r="Q105" s="11"/>
      <c r="R105" s="11"/>
    </row>
    <row r="106" spans="1:18" x14ac:dyDescent="0.2">
      <c r="A106" s="10" t="s">
        <v>91</v>
      </c>
      <c r="B106" s="10" t="s">
        <v>94</v>
      </c>
      <c r="C106" s="10" t="s">
        <v>46</v>
      </c>
      <c r="D106" s="10">
        <v>85251</v>
      </c>
      <c r="E106" s="10" t="s">
        <v>7</v>
      </c>
      <c r="F106" s="10">
        <v>2044</v>
      </c>
      <c r="Q106" s="11"/>
      <c r="R106" s="11"/>
    </row>
    <row r="107" spans="1:18" x14ac:dyDescent="0.2">
      <c r="A107" s="10" t="s">
        <v>91</v>
      </c>
      <c r="B107" s="10" t="s">
        <v>94</v>
      </c>
      <c r="C107" s="10" t="s">
        <v>46</v>
      </c>
      <c r="D107" s="10">
        <v>85028</v>
      </c>
      <c r="E107" s="10" t="s">
        <v>5</v>
      </c>
      <c r="F107" s="10">
        <v>1145</v>
      </c>
      <c r="Q107" s="11"/>
      <c r="R107" s="11"/>
    </row>
    <row r="108" spans="1:18" x14ac:dyDescent="0.2">
      <c r="A108" s="10" t="s">
        <v>91</v>
      </c>
      <c r="B108" s="10" t="s">
        <v>95</v>
      </c>
      <c r="C108" s="10" t="s">
        <v>46</v>
      </c>
      <c r="D108" s="10">
        <v>85122</v>
      </c>
      <c r="E108" s="10" t="s">
        <v>7</v>
      </c>
      <c r="F108" s="10">
        <v>1267</v>
      </c>
      <c r="Q108" s="11"/>
      <c r="R108" s="11"/>
    </row>
    <row r="109" spans="1:18" x14ac:dyDescent="0.2">
      <c r="A109" s="10" t="s">
        <v>91</v>
      </c>
      <c r="B109" s="10" t="s">
        <v>97</v>
      </c>
      <c r="C109" s="10" t="s">
        <v>46</v>
      </c>
      <c r="D109" s="10">
        <v>85635</v>
      </c>
      <c r="E109" s="10" t="s">
        <v>5</v>
      </c>
      <c r="F109" s="10">
        <v>2156</v>
      </c>
      <c r="Q109" s="11"/>
      <c r="R109" s="11"/>
    </row>
    <row r="110" spans="1:18" x14ac:dyDescent="0.2">
      <c r="A110" s="10" t="s">
        <v>91</v>
      </c>
      <c r="B110" s="10" t="s">
        <v>94</v>
      </c>
      <c r="C110" s="10" t="s">
        <v>46</v>
      </c>
      <c r="D110" s="10">
        <v>85013</v>
      </c>
      <c r="E110" s="10" t="s">
        <v>5</v>
      </c>
      <c r="F110" s="10">
        <v>1150</v>
      </c>
      <c r="Q110" s="11"/>
      <c r="R110" s="11"/>
    </row>
    <row r="111" spans="1:18" x14ac:dyDescent="0.2">
      <c r="A111" s="10" t="s">
        <v>91</v>
      </c>
      <c r="B111" s="10" t="s">
        <v>94</v>
      </c>
      <c r="C111" s="10" t="s">
        <v>46</v>
      </c>
      <c r="D111" s="10">
        <v>85282</v>
      </c>
      <c r="E111" s="10" t="s">
        <v>5</v>
      </c>
      <c r="F111" s="10">
        <v>3441</v>
      </c>
      <c r="Q111" s="11"/>
      <c r="R111" s="11"/>
    </row>
    <row r="112" spans="1:18" x14ac:dyDescent="0.2">
      <c r="A112" s="10" t="s">
        <v>91</v>
      </c>
      <c r="B112" s="10" t="s">
        <v>94</v>
      </c>
      <c r="C112" s="10" t="s">
        <v>46</v>
      </c>
      <c r="D112" s="10">
        <v>85286</v>
      </c>
      <c r="E112" s="10" t="s">
        <v>5</v>
      </c>
      <c r="F112" s="10">
        <v>1128</v>
      </c>
      <c r="Q112" s="11"/>
      <c r="R112" s="11"/>
    </row>
    <row r="113" spans="1:18" x14ac:dyDescent="0.2">
      <c r="A113" s="10" t="s">
        <v>91</v>
      </c>
      <c r="B113" s="10" t="s">
        <v>94</v>
      </c>
      <c r="C113" s="10" t="s">
        <v>46</v>
      </c>
      <c r="D113" s="10">
        <v>85353</v>
      </c>
      <c r="E113" s="10" t="s">
        <v>8</v>
      </c>
      <c r="F113" s="10">
        <v>617</v>
      </c>
      <c r="Q113" s="11"/>
      <c r="R113" s="11"/>
    </row>
    <row r="114" spans="1:18" x14ac:dyDescent="0.2">
      <c r="A114" s="10" t="s">
        <v>91</v>
      </c>
      <c r="B114" s="10" t="s">
        <v>94</v>
      </c>
      <c r="C114" s="10" t="s">
        <v>46</v>
      </c>
      <c r="D114" s="10">
        <v>85382</v>
      </c>
      <c r="E114" s="10" t="s">
        <v>5</v>
      </c>
      <c r="F114" s="10">
        <v>1923</v>
      </c>
      <c r="Q114" s="11"/>
      <c r="R114" s="11"/>
    </row>
    <row r="115" spans="1:18" x14ac:dyDescent="0.2">
      <c r="A115" s="10" t="s">
        <v>91</v>
      </c>
      <c r="B115" s="10" t="s">
        <v>94</v>
      </c>
      <c r="C115" s="10" t="s">
        <v>46</v>
      </c>
      <c r="D115" s="10">
        <v>85381</v>
      </c>
      <c r="E115" s="10" t="s">
        <v>8</v>
      </c>
      <c r="F115" s="10">
        <v>988</v>
      </c>
      <c r="Q115" s="11"/>
      <c r="R115" s="11"/>
    </row>
    <row r="116" spans="1:18" x14ac:dyDescent="0.2">
      <c r="A116" s="10" t="s">
        <v>91</v>
      </c>
      <c r="B116" s="10" t="s">
        <v>94</v>
      </c>
      <c r="C116" s="10" t="s">
        <v>46</v>
      </c>
      <c r="D116" s="10">
        <v>85022</v>
      </c>
      <c r="E116" s="10" t="s">
        <v>7</v>
      </c>
      <c r="F116" s="10">
        <v>1466</v>
      </c>
      <c r="Q116" s="11"/>
      <c r="R116" s="11"/>
    </row>
    <row r="117" spans="1:18" x14ac:dyDescent="0.2">
      <c r="A117" s="10" t="s">
        <v>91</v>
      </c>
      <c r="B117" s="10" t="s">
        <v>94</v>
      </c>
      <c r="C117" s="10" t="s">
        <v>46</v>
      </c>
      <c r="D117" s="10">
        <v>85383</v>
      </c>
      <c r="E117" s="10" t="s">
        <v>7</v>
      </c>
      <c r="F117" s="10">
        <v>1004</v>
      </c>
      <c r="Q117" s="11"/>
      <c r="R117" s="11"/>
    </row>
    <row r="118" spans="1:18" x14ac:dyDescent="0.2">
      <c r="A118" s="10" t="s">
        <v>91</v>
      </c>
      <c r="B118" s="10" t="s">
        <v>94</v>
      </c>
      <c r="C118" s="10" t="s">
        <v>46</v>
      </c>
      <c r="D118" s="10">
        <v>85392</v>
      </c>
      <c r="E118" s="10" t="s">
        <v>7</v>
      </c>
      <c r="F118" s="10">
        <v>2049</v>
      </c>
      <c r="Q118" s="11"/>
      <c r="R118" s="11"/>
    </row>
    <row r="119" spans="1:18" x14ac:dyDescent="0.2">
      <c r="A119" s="10" t="s">
        <v>91</v>
      </c>
      <c r="B119" s="10" t="s">
        <v>94</v>
      </c>
      <c r="C119" s="10" t="s">
        <v>46</v>
      </c>
      <c r="D119" s="10">
        <v>85395</v>
      </c>
      <c r="E119" s="10" t="s">
        <v>5</v>
      </c>
      <c r="F119" s="10">
        <v>674</v>
      </c>
      <c r="Q119" s="11"/>
      <c r="R119" s="11"/>
    </row>
    <row r="120" spans="1:18" x14ac:dyDescent="0.2">
      <c r="A120" s="10" t="s">
        <v>91</v>
      </c>
      <c r="B120" s="10" t="s">
        <v>94</v>
      </c>
      <c r="C120" s="10" t="s">
        <v>46</v>
      </c>
      <c r="D120" s="10">
        <v>85204</v>
      </c>
      <c r="E120" s="10" t="s">
        <v>7</v>
      </c>
      <c r="F120" s="10">
        <v>1900</v>
      </c>
      <c r="Q120" s="11"/>
      <c r="R120" s="11"/>
    </row>
    <row r="121" spans="1:18" x14ac:dyDescent="0.2">
      <c r="A121" s="10" t="s">
        <v>91</v>
      </c>
      <c r="B121" s="10" t="s">
        <v>94</v>
      </c>
      <c r="C121" s="10" t="s">
        <v>46</v>
      </c>
      <c r="D121" s="10">
        <v>85215</v>
      </c>
      <c r="E121" s="10" t="s">
        <v>5</v>
      </c>
      <c r="F121" s="10">
        <v>1439</v>
      </c>
      <c r="Q121" s="11"/>
      <c r="R121" s="11"/>
    </row>
    <row r="122" spans="1:18" x14ac:dyDescent="0.2">
      <c r="A122" s="10" t="s">
        <v>91</v>
      </c>
      <c r="B122" s="10" t="s">
        <v>96</v>
      </c>
      <c r="C122" s="10" t="s">
        <v>46</v>
      </c>
      <c r="D122" s="10">
        <v>86004</v>
      </c>
      <c r="E122" s="10" t="s">
        <v>7</v>
      </c>
      <c r="F122" s="10">
        <v>912</v>
      </c>
      <c r="Q122" s="11"/>
      <c r="R122" s="11"/>
    </row>
    <row r="123" spans="1:18" x14ac:dyDescent="0.2">
      <c r="A123" s="10" t="s">
        <v>91</v>
      </c>
      <c r="B123" s="10" t="s">
        <v>94</v>
      </c>
      <c r="C123" s="10" t="s">
        <v>46</v>
      </c>
      <c r="D123" s="10">
        <v>85248</v>
      </c>
      <c r="E123" s="10" t="s">
        <v>5</v>
      </c>
      <c r="F123" s="10">
        <v>893</v>
      </c>
      <c r="Q123" s="11"/>
      <c r="R123" s="11"/>
    </row>
    <row r="124" spans="1:18" x14ac:dyDescent="0.2">
      <c r="A124" s="10" t="s">
        <v>91</v>
      </c>
      <c r="B124" s="10" t="s">
        <v>94</v>
      </c>
      <c r="C124" s="10" t="s">
        <v>46</v>
      </c>
      <c r="D124" s="10">
        <v>85251</v>
      </c>
      <c r="E124" s="10" t="s">
        <v>5</v>
      </c>
      <c r="F124" s="10">
        <v>1066</v>
      </c>
      <c r="Q124" s="11"/>
      <c r="R124" s="11"/>
    </row>
    <row r="125" spans="1:18" x14ac:dyDescent="0.2">
      <c r="A125" s="10" t="s">
        <v>91</v>
      </c>
      <c r="B125" s="10" t="s">
        <v>94</v>
      </c>
      <c r="C125" s="10" t="s">
        <v>46</v>
      </c>
      <c r="D125" s="10">
        <v>85305</v>
      </c>
      <c r="E125" s="10" t="s">
        <v>7</v>
      </c>
      <c r="F125" s="10">
        <v>2063</v>
      </c>
      <c r="Q125" s="11"/>
      <c r="R125" s="11"/>
    </row>
    <row r="126" spans="1:18" x14ac:dyDescent="0.2">
      <c r="A126" s="10" t="s">
        <v>91</v>
      </c>
      <c r="B126" s="10" t="s">
        <v>98</v>
      </c>
      <c r="C126" s="10" t="s">
        <v>47</v>
      </c>
      <c r="D126" s="10">
        <v>85718</v>
      </c>
      <c r="E126" s="10" t="s">
        <v>9</v>
      </c>
      <c r="F126" s="10">
        <v>434</v>
      </c>
      <c r="Q126" s="11"/>
      <c r="R126" s="11"/>
    </row>
    <row r="127" spans="1:18" x14ac:dyDescent="0.2">
      <c r="A127" s="10" t="s">
        <v>91</v>
      </c>
      <c r="B127" s="10" t="s">
        <v>98</v>
      </c>
      <c r="C127" s="10" t="s">
        <v>47</v>
      </c>
      <c r="D127" s="10">
        <v>85741</v>
      </c>
      <c r="E127" s="10" t="s">
        <v>6</v>
      </c>
      <c r="F127" s="10">
        <v>1557</v>
      </c>
      <c r="Q127" s="11"/>
      <c r="R127" s="11"/>
    </row>
    <row r="128" spans="1:18" x14ac:dyDescent="0.2">
      <c r="A128" s="10" t="s">
        <v>91</v>
      </c>
      <c r="B128" s="10" t="s">
        <v>98</v>
      </c>
      <c r="C128" s="10" t="s">
        <v>47</v>
      </c>
      <c r="D128" s="10">
        <v>85714</v>
      </c>
      <c r="E128" s="10" t="s">
        <v>7</v>
      </c>
      <c r="F128" s="10">
        <v>1734</v>
      </c>
      <c r="Q128" s="11"/>
      <c r="R128" s="11"/>
    </row>
    <row r="129" spans="1:18" x14ac:dyDescent="0.2">
      <c r="A129" s="10" t="s">
        <v>91</v>
      </c>
      <c r="B129" s="10" t="s">
        <v>98</v>
      </c>
      <c r="C129" s="10" t="s">
        <v>47</v>
      </c>
      <c r="D129" s="10">
        <v>85737</v>
      </c>
      <c r="E129" s="10" t="s">
        <v>7</v>
      </c>
      <c r="F129" s="10">
        <v>614</v>
      </c>
      <c r="Q129" s="11"/>
      <c r="R129" s="11"/>
    </row>
    <row r="130" spans="1:18" x14ac:dyDescent="0.2">
      <c r="A130" s="10" t="s">
        <v>91</v>
      </c>
      <c r="B130" s="10" t="s">
        <v>98</v>
      </c>
      <c r="C130" s="10" t="s">
        <v>47</v>
      </c>
      <c r="D130" s="10">
        <v>85716</v>
      </c>
      <c r="E130" s="10" t="s">
        <v>6</v>
      </c>
      <c r="F130" s="10">
        <v>1363</v>
      </c>
      <c r="Q130" s="11"/>
      <c r="R130" s="11"/>
    </row>
    <row r="131" spans="1:18" x14ac:dyDescent="0.2">
      <c r="A131" s="10" t="s">
        <v>91</v>
      </c>
      <c r="B131" s="10" t="s">
        <v>98</v>
      </c>
      <c r="C131" s="10" t="s">
        <v>47</v>
      </c>
      <c r="D131" s="10">
        <v>85711</v>
      </c>
      <c r="E131" s="10" t="s">
        <v>7</v>
      </c>
      <c r="F131" s="10">
        <v>886</v>
      </c>
      <c r="Q131" s="11"/>
      <c r="R131" s="11"/>
    </row>
    <row r="132" spans="1:18" x14ac:dyDescent="0.2">
      <c r="A132" s="10" t="s">
        <v>91</v>
      </c>
      <c r="B132" s="10" t="s">
        <v>98</v>
      </c>
      <c r="C132" s="10" t="s">
        <v>47</v>
      </c>
      <c r="D132" s="10">
        <v>85711</v>
      </c>
      <c r="E132" s="10" t="s">
        <v>8</v>
      </c>
      <c r="F132" s="10">
        <v>351</v>
      </c>
      <c r="Q132" s="11"/>
      <c r="R132" s="11"/>
    </row>
    <row r="133" spans="1:18" x14ac:dyDescent="0.2">
      <c r="A133" s="10" t="s">
        <v>91</v>
      </c>
      <c r="B133" s="10" t="s">
        <v>98</v>
      </c>
      <c r="C133" s="10" t="s">
        <v>47</v>
      </c>
      <c r="D133" s="10">
        <v>85705</v>
      </c>
      <c r="E133" s="10" t="s">
        <v>7</v>
      </c>
      <c r="F133" s="10">
        <v>1011</v>
      </c>
      <c r="Q133" s="11"/>
      <c r="R133" s="11"/>
    </row>
    <row r="134" spans="1:18" x14ac:dyDescent="0.2">
      <c r="A134" s="10" t="s">
        <v>91</v>
      </c>
      <c r="B134" s="10" t="s">
        <v>99</v>
      </c>
      <c r="C134" s="10" t="s">
        <v>47</v>
      </c>
      <c r="D134" s="10">
        <v>85364</v>
      </c>
      <c r="E134" s="10" t="s">
        <v>5</v>
      </c>
      <c r="F134" s="10">
        <v>1637</v>
      </c>
      <c r="Q134" s="11"/>
      <c r="R134" s="11"/>
    </row>
    <row r="135" spans="1:18" x14ac:dyDescent="0.2">
      <c r="A135" s="10" t="s">
        <v>91</v>
      </c>
      <c r="B135" s="10" t="s">
        <v>98</v>
      </c>
      <c r="C135" s="10" t="s">
        <v>47</v>
      </c>
      <c r="D135" s="10">
        <v>85748</v>
      </c>
      <c r="E135" s="10" t="s">
        <v>7</v>
      </c>
      <c r="F135" s="10">
        <v>949</v>
      </c>
      <c r="Q135" s="11"/>
      <c r="R135" s="11"/>
    </row>
    <row r="136" spans="1:18" x14ac:dyDescent="0.2">
      <c r="A136" s="10" t="s">
        <v>100</v>
      </c>
      <c r="B136" s="10" t="s">
        <v>101</v>
      </c>
      <c r="C136" s="10" t="s">
        <v>45</v>
      </c>
      <c r="D136" s="10">
        <v>95060</v>
      </c>
      <c r="E136" s="10" t="s">
        <v>7</v>
      </c>
      <c r="F136" s="10">
        <v>677</v>
      </c>
      <c r="Q136" s="11"/>
      <c r="R136" s="11"/>
    </row>
    <row r="137" spans="1:18" x14ac:dyDescent="0.2">
      <c r="A137" s="10" t="s">
        <v>100</v>
      </c>
      <c r="B137" s="10" t="s">
        <v>102</v>
      </c>
      <c r="C137" s="10" t="s">
        <v>45</v>
      </c>
      <c r="D137" s="10">
        <v>93907</v>
      </c>
      <c r="E137" s="10" t="s">
        <v>7</v>
      </c>
      <c r="F137" s="10">
        <v>1366</v>
      </c>
      <c r="Q137" s="11"/>
      <c r="R137" s="11"/>
    </row>
    <row r="138" spans="1:18" x14ac:dyDescent="0.2">
      <c r="A138" s="10" t="s">
        <v>100</v>
      </c>
      <c r="B138" s="10" t="s">
        <v>103</v>
      </c>
      <c r="C138" s="10" t="s">
        <v>45</v>
      </c>
      <c r="D138" s="10">
        <v>93446</v>
      </c>
      <c r="E138" s="10" t="s">
        <v>5</v>
      </c>
      <c r="F138" s="10">
        <v>660</v>
      </c>
      <c r="Q138" s="11"/>
      <c r="R138" s="11"/>
    </row>
    <row r="139" spans="1:18" x14ac:dyDescent="0.2">
      <c r="A139" s="10" t="s">
        <v>100</v>
      </c>
      <c r="B139" s="10" t="s">
        <v>104</v>
      </c>
      <c r="C139" s="10" t="s">
        <v>45</v>
      </c>
      <c r="D139" s="10">
        <v>91730</v>
      </c>
      <c r="E139" s="10" t="s">
        <v>6</v>
      </c>
      <c r="F139" s="10">
        <v>2359</v>
      </c>
      <c r="Q139" s="11"/>
      <c r="R139" s="11"/>
    </row>
    <row r="140" spans="1:18" x14ac:dyDescent="0.2">
      <c r="A140" s="10" t="s">
        <v>100</v>
      </c>
      <c r="B140" s="10" t="s">
        <v>104</v>
      </c>
      <c r="C140" s="10" t="s">
        <v>45</v>
      </c>
      <c r="D140" s="10">
        <v>92346</v>
      </c>
      <c r="E140" s="10" t="s">
        <v>5</v>
      </c>
      <c r="F140" s="10">
        <v>1367</v>
      </c>
      <c r="Q140" s="11"/>
      <c r="R140" s="11"/>
    </row>
    <row r="141" spans="1:18" x14ac:dyDescent="0.2">
      <c r="A141" s="10" t="s">
        <v>100</v>
      </c>
      <c r="B141" s="10" t="s">
        <v>105</v>
      </c>
      <c r="C141" s="10" t="s">
        <v>45</v>
      </c>
      <c r="D141" s="10">
        <v>95928</v>
      </c>
      <c r="E141" s="10" t="s">
        <v>6</v>
      </c>
      <c r="F141" s="10">
        <v>1414</v>
      </c>
      <c r="Q141" s="11"/>
      <c r="R141" s="11"/>
    </row>
    <row r="142" spans="1:18" x14ac:dyDescent="0.2">
      <c r="A142" s="10" t="s">
        <v>100</v>
      </c>
      <c r="B142" s="10" t="s">
        <v>104</v>
      </c>
      <c r="C142" s="10" t="s">
        <v>45</v>
      </c>
      <c r="D142" s="10">
        <v>92392</v>
      </c>
      <c r="E142" s="10" t="s">
        <v>7</v>
      </c>
      <c r="F142" s="10">
        <v>4372</v>
      </c>
      <c r="Q142" s="11"/>
      <c r="R142" s="11"/>
    </row>
    <row r="143" spans="1:18" x14ac:dyDescent="0.2">
      <c r="A143" s="10" t="s">
        <v>100</v>
      </c>
      <c r="B143" s="10" t="s">
        <v>106</v>
      </c>
      <c r="C143" s="10" t="s">
        <v>45</v>
      </c>
      <c r="D143" s="10">
        <v>93257</v>
      </c>
      <c r="E143" s="10" t="s">
        <v>7</v>
      </c>
      <c r="F143" s="10">
        <v>5442</v>
      </c>
      <c r="Q143" s="11"/>
      <c r="R143" s="11"/>
    </row>
    <row r="144" spans="1:18" x14ac:dyDescent="0.2">
      <c r="A144" s="10" t="s">
        <v>100</v>
      </c>
      <c r="B144" s="10" t="s">
        <v>102</v>
      </c>
      <c r="C144" s="10" t="s">
        <v>45</v>
      </c>
      <c r="D144" s="10">
        <v>93955</v>
      </c>
      <c r="E144" s="10" t="s">
        <v>6</v>
      </c>
      <c r="F144" s="10">
        <v>950</v>
      </c>
      <c r="Q144" s="11"/>
      <c r="R144" s="11"/>
    </row>
    <row r="145" spans="1:18" x14ac:dyDescent="0.2">
      <c r="A145" s="10" t="s">
        <v>100</v>
      </c>
      <c r="B145" s="10" t="s">
        <v>102</v>
      </c>
      <c r="C145" s="10" t="s">
        <v>45</v>
      </c>
      <c r="D145" s="10">
        <v>93955</v>
      </c>
      <c r="E145" s="10" t="s">
        <v>5</v>
      </c>
      <c r="F145" s="10">
        <v>3623</v>
      </c>
      <c r="Q145" s="11"/>
      <c r="R145" s="11"/>
    </row>
    <row r="146" spans="1:18" x14ac:dyDescent="0.2">
      <c r="A146" s="10" t="s">
        <v>100</v>
      </c>
      <c r="B146" s="10" t="s">
        <v>107</v>
      </c>
      <c r="C146" s="10" t="s">
        <v>45</v>
      </c>
      <c r="D146" s="10">
        <v>95667</v>
      </c>
      <c r="E146" s="10" t="s">
        <v>7</v>
      </c>
      <c r="F146" s="10">
        <v>3157</v>
      </c>
      <c r="Q146" s="11"/>
      <c r="R146" s="11"/>
    </row>
    <row r="147" spans="1:18" x14ac:dyDescent="0.2">
      <c r="A147" s="10" t="s">
        <v>100</v>
      </c>
      <c r="B147" s="10" t="s">
        <v>107</v>
      </c>
      <c r="C147" s="10" t="s">
        <v>45</v>
      </c>
      <c r="D147" s="10">
        <v>95762</v>
      </c>
      <c r="E147" s="10" t="s">
        <v>8</v>
      </c>
      <c r="F147" s="10">
        <v>1853</v>
      </c>
      <c r="Q147" s="11"/>
      <c r="R147" s="11"/>
    </row>
    <row r="148" spans="1:18" x14ac:dyDescent="0.2">
      <c r="A148" s="10" t="s">
        <v>100</v>
      </c>
      <c r="B148" s="10" t="s">
        <v>108</v>
      </c>
      <c r="C148" s="10" t="s">
        <v>45</v>
      </c>
      <c r="D148" s="10">
        <v>95678</v>
      </c>
      <c r="E148" s="10" t="s">
        <v>5</v>
      </c>
      <c r="F148" s="10">
        <v>3160</v>
      </c>
      <c r="Q148" s="11"/>
      <c r="R148" s="11"/>
    </row>
    <row r="149" spans="1:18" x14ac:dyDescent="0.2">
      <c r="A149" s="10" t="s">
        <v>100</v>
      </c>
      <c r="B149" s="10" t="s">
        <v>108</v>
      </c>
      <c r="C149" s="10" t="s">
        <v>45</v>
      </c>
      <c r="D149" s="10">
        <v>95603</v>
      </c>
      <c r="E149" s="10" t="s">
        <v>5</v>
      </c>
      <c r="F149" s="10">
        <v>981</v>
      </c>
      <c r="Q149" s="11"/>
      <c r="R149" s="11"/>
    </row>
    <row r="150" spans="1:18" x14ac:dyDescent="0.2">
      <c r="A150" s="10" t="s">
        <v>100</v>
      </c>
      <c r="B150" s="10" t="s">
        <v>108</v>
      </c>
      <c r="C150" s="10" t="s">
        <v>45</v>
      </c>
      <c r="D150" s="10">
        <v>95661</v>
      </c>
      <c r="E150" s="10" t="s">
        <v>6</v>
      </c>
      <c r="F150" s="10">
        <v>2000</v>
      </c>
      <c r="Q150" s="11"/>
      <c r="R150" s="11"/>
    </row>
    <row r="151" spans="1:18" x14ac:dyDescent="0.2">
      <c r="A151" s="10" t="s">
        <v>100</v>
      </c>
      <c r="B151" s="10" t="s">
        <v>109</v>
      </c>
      <c r="C151" s="10" t="s">
        <v>45</v>
      </c>
      <c r="D151" s="10">
        <v>95492</v>
      </c>
      <c r="E151" s="10" t="s">
        <v>6</v>
      </c>
      <c r="F151" s="10">
        <v>1119</v>
      </c>
      <c r="Q151" s="11"/>
      <c r="R151" s="11"/>
    </row>
    <row r="152" spans="1:18" x14ac:dyDescent="0.2">
      <c r="A152" s="10" t="s">
        <v>100</v>
      </c>
      <c r="B152" s="10" t="s">
        <v>109</v>
      </c>
      <c r="C152" s="10" t="s">
        <v>45</v>
      </c>
      <c r="D152" s="10">
        <v>95476</v>
      </c>
      <c r="E152" s="10" t="s">
        <v>5</v>
      </c>
      <c r="F152" s="10">
        <v>609</v>
      </c>
      <c r="Q152" s="11"/>
      <c r="R152" s="11"/>
    </row>
    <row r="153" spans="1:18" x14ac:dyDescent="0.2">
      <c r="A153" s="10" t="s">
        <v>100</v>
      </c>
      <c r="B153" s="10" t="s">
        <v>109</v>
      </c>
      <c r="C153" s="10" t="s">
        <v>45</v>
      </c>
      <c r="D153" s="10">
        <v>95403</v>
      </c>
      <c r="E153" s="10" t="s">
        <v>5</v>
      </c>
      <c r="F153" s="10">
        <v>1112</v>
      </c>
      <c r="Q153" s="11"/>
      <c r="R153" s="11"/>
    </row>
    <row r="154" spans="1:18" x14ac:dyDescent="0.2">
      <c r="A154" s="10" t="s">
        <v>100</v>
      </c>
      <c r="B154" s="10" t="s">
        <v>109</v>
      </c>
      <c r="C154" s="10" t="s">
        <v>45</v>
      </c>
      <c r="D154" s="10">
        <v>94954</v>
      </c>
      <c r="E154" s="10" t="s">
        <v>5</v>
      </c>
      <c r="F154" s="10">
        <v>1117</v>
      </c>
      <c r="Q154" s="11"/>
      <c r="R154" s="11"/>
    </row>
    <row r="155" spans="1:18" x14ac:dyDescent="0.2">
      <c r="A155" s="10" t="s">
        <v>100</v>
      </c>
      <c r="B155" s="10" t="s">
        <v>103</v>
      </c>
      <c r="C155" s="10" t="s">
        <v>45</v>
      </c>
      <c r="D155" s="10">
        <v>93401</v>
      </c>
      <c r="E155" s="10" t="s">
        <v>5</v>
      </c>
      <c r="F155" s="10">
        <v>913</v>
      </c>
      <c r="Q155" s="11"/>
      <c r="R155" s="11"/>
    </row>
    <row r="156" spans="1:18" x14ac:dyDescent="0.2">
      <c r="A156" s="10" t="s">
        <v>100</v>
      </c>
      <c r="B156" s="10" t="s">
        <v>104</v>
      </c>
      <c r="C156" s="10" t="s">
        <v>45</v>
      </c>
      <c r="D156" s="10">
        <v>92408</v>
      </c>
      <c r="E156" s="10" t="s">
        <v>5</v>
      </c>
      <c r="F156" s="10">
        <v>8715</v>
      </c>
      <c r="Q156" s="11"/>
      <c r="R156" s="11"/>
    </row>
    <row r="157" spans="1:18" x14ac:dyDescent="0.2">
      <c r="A157" s="10" t="s">
        <v>100</v>
      </c>
      <c r="B157" s="10" t="s">
        <v>103</v>
      </c>
      <c r="C157" s="10" t="s">
        <v>45</v>
      </c>
      <c r="D157" s="10">
        <v>93420</v>
      </c>
      <c r="E157" s="10" t="s">
        <v>7</v>
      </c>
      <c r="F157" s="10">
        <v>5585</v>
      </c>
      <c r="Q157" s="11"/>
      <c r="R157" s="11"/>
    </row>
    <row r="158" spans="1:18" x14ac:dyDescent="0.2">
      <c r="A158" s="10" t="s">
        <v>100</v>
      </c>
      <c r="B158" s="10" t="s">
        <v>110</v>
      </c>
      <c r="C158" s="10" t="s">
        <v>45</v>
      </c>
      <c r="D158" s="10">
        <v>92243</v>
      </c>
      <c r="E158" s="10" t="s">
        <v>5</v>
      </c>
      <c r="F158" s="10">
        <v>792</v>
      </c>
      <c r="Q158" s="11"/>
      <c r="R158" s="11"/>
    </row>
    <row r="159" spans="1:18" x14ac:dyDescent="0.2">
      <c r="A159" s="10" t="s">
        <v>100</v>
      </c>
      <c r="B159" s="10" t="s">
        <v>104</v>
      </c>
      <c r="C159" s="10" t="s">
        <v>45</v>
      </c>
      <c r="D159" s="10">
        <v>92374</v>
      </c>
      <c r="E159" s="10" t="s">
        <v>6</v>
      </c>
      <c r="F159" s="10">
        <v>4583</v>
      </c>
      <c r="Q159" s="11"/>
      <c r="R159" s="11"/>
    </row>
    <row r="160" spans="1:18" x14ac:dyDescent="0.2">
      <c r="A160" s="10" t="s">
        <v>100</v>
      </c>
      <c r="B160" s="10" t="s">
        <v>104</v>
      </c>
      <c r="C160" s="10" t="s">
        <v>45</v>
      </c>
      <c r="D160" s="10">
        <v>92408</v>
      </c>
      <c r="E160" s="10" t="s">
        <v>6</v>
      </c>
      <c r="F160" s="10">
        <v>3315</v>
      </c>
      <c r="Q160" s="11"/>
      <c r="R160" s="11"/>
    </row>
    <row r="161" spans="1:18" x14ac:dyDescent="0.2">
      <c r="A161" s="10" t="s">
        <v>100</v>
      </c>
      <c r="B161" s="10" t="s">
        <v>106</v>
      </c>
      <c r="C161" s="10" t="s">
        <v>45</v>
      </c>
      <c r="D161" s="10">
        <v>93277</v>
      </c>
      <c r="E161" s="10" t="s">
        <v>6</v>
      </c>
      <c r="F161" s="10">
        <v>1878</v>
      </c>
      <c r="Q161" s="11"/>
      <c r="R161" s="11"/>
    </row>
    <row r="162" spans="1:18" x14ac:dyDescent="0.2">
      <c r="A162" s="10" t="s">
        <v>100</v>
      </c>
      <c r="B162" s="10" t="s">
        <v>104</v>
      </c>
      <c r="C162" s="10" t="s">
        <v>45</v>
      </c>
      <c r="D162" s="10">
        <v>92399</v>
      </c>
      <c r="E162" s="10" t="s">
        <v>5</v>
      </c>
      <c r="F162" s="10">
        <v>1800</v>
      </c>
      <c r="Q162" s="11"/>
      <c r="R162" s="11"/>
    </row>
    <row r="163" spans="1:18" x14ac:dyDescent="0.2">
      <c r="A163" s="10" t="s">
        <v>100</v>
      </c>
      <c r="B163" s="10" t="s">
        <v>104</v>
      </c>
      <c r="C163" s="10" t="s">
        <v>45</v>
      </c>
      <c r="D163" s="10">
        <v>92392</v>
      </c>
      <c r="E163" s="10" t="s">
        <v>5</v>
      </c>
      <c r="F163" s="10">
        <v>536</v>
      </c>
      <c r="Q163" s="11"/>
      <c r="R163" s="11"/>
    </row>
    <row r="164" spans="1:18" x14ac:dyDescent="0.2">
      <c r="A164" s="10" t="s">
        <v>100</v>
      </c>
      <c r="B164" s="10" t="s">
        <v>106</v>
      </c>
      <c r="C164" s="10" t="s">
        <v>45</v>
      </c>
      <c r="D164" s="10">
        <v>93277</v>
      </c>
      <c r="E164" s="10" t="s">
        <v>5</v>
      </c>
      <c r="F164" s="10">
        <v>1308</v>
      </c>
      <c r="Q164" s="11"/>
      <c r="R164" s="11"/>
    </row>
    <row r="165" spans="1:18" x14ac:dyDescent="0.2">
      <c r="A165" s="10" t="s">
        <v>100</v>
      </c>
      <c r="B165" s="10" t="s">
        <v>104</v>
      </c>
      <c r="C165" s="10" t="s">
        <v>45</v>
      </c>
      <c r="D165" s="10">
        <v>92308</v>
      </c>
      <c r="E165" s="10" t="s">
        <v>5</v>
      </c>
      <c r="F165" s="10">
        <v>7942</v>
      </c>
      <c r="Q165" s="11"/>
      <c r="R165" s="11"/>
    </row>
    <row r="166" spans="1:18" x14ac:dyDescent="0.2">
      <c r="A166" s="10" t="s">
        <v>100</v>
      </c>
      <c r="B166" s="10" t="s">
        <v>104</v>
      </c>
      <c r="C166" s="10" t="s">
        <v>45</v>
      </c>
      <c r="D166" s="10">
        <v>91784</v>
      </c>
      <c r="E166" s="10" t="s">
        <v>6</v>
      </c>
      <c r="F166" s="10">
        <v>743</v>
      </c>
      <c r="Q166" s="11"/>
      <c r="R166" s="11"/>
    </row>
    <row r="167" spans="1:18" x14ac:dyDescent="0.2">
      <c r="A167" s="10" t="s">
        <v>100</v>
      </c>
      <c r="B167" s="10" t="s">
        <v>104</v>
      </c>
      <c r="C167" s="10" t="s">
        <v>45</v>
      </c>
      <c r="D167" s="10">
        <v>91761</v>
      </c>
      <c r="E167" s="10" t="s">
        <v>6</v>
      </c>
      <c r="F167" s="10">
        <v>1331</v>
      </c>
      <c r="Q167" s="11"/>
      <c r="R167" s="11"/>
    </row>
    <row r="168" spans="1:18" x14ac:dyDescent="0.2">
      <c r="A168" s="10" t="s">
        <v>100</v>
      </c>
      <c r="B168" s="10" t="s">
        <v>104</v>
      </c>
      <c r="C168" s="10" t="s">
        <v>45</v>
      </c>
      <c r="D168" s="10">
        <v>91739</v>
      </c>
      <c r="E168" s="10" t="s">
        <v>6</v>
      </c>
      <c r="F168" s="10">
        <v>857</v>
      </c>
      <c r="Q168" s="11"/>
      <c r="R168" s="11"/>
    </row>
    <row r="169" spans="1:18" x14ac:dyDescent="0.2">
      <c r="A169" s="10" t="s">
        <v>100</v>
      </c>
      <c r="B169" s="10" t="s">
        <v>104</v>
      </c>
      <c r="C169" s="10" t="s">
        <v>45</v>
      </c>
      <c r="D169" s="10">
        <v>91710</v>
      </c>
      <c r="E169" s="10" t="s">
        <v>5</v>
      </c>
      <c r="F169" s="10">
        <v>1541</v>
      </c>
      <c r="Q169" s="11"/>
      <c r="R169" s="11"/>
    </row>
    <row r="170" spans="1:18" x14ac:dyDescent="0.2">
      <c r="A170" s="10" t="s">
        <v>100</v>
      </c>
      <c r="B170" s="10" t="s">
        <v>101</v>
      </c>
      <c r="C170" s="10" t="s">
        <v>45</v>
      </c>
      <c r="D170" s="10">
        <v>95062</v>
      </c>
      <c r="E170" s="10" t="s">
        <v>5</v>
      </c>
      <c r="F170" s="10">
        <v>1499</v>
      </c>
      <c r="Q170" s="11"/>
      <c r="R170" s="11"/>
    </row>
    <row r="171" spans="1:18" x14ac:dyDescent="0.2">
      <c r="A171" s="10" t="s">
        <v>100</v>
      </c>
      <c r="B171" s="10" t="s">
        <v>103</v>
      </c>
      <c r="C171" s="10" t="s">
        <v>45</v>
      </c>
      <c r="D171" s="10">
        <v>93401</v>
      </c>
      <c r="E171" s="10" t="s">
        <v>9</v>
      </c>
      <c r="F171" s="10">
        <v>374</v>
      </c>
      <c r="Q171" s="11"/>
      <c r="R171" s="11"/>
    </row>
    <row r="172" spans="1:18" x14ac:dyDescent="0.2">
      <c r="A172" s="10" t="s">
        <v>100</v>
      </c>
      <c r="B172" s="10" t="s">
        <v>104</v>
      </c>
      <c r="C172" s="10" t="s">
        <v>45</v>
      </c>
      <c r="D172" s="10">
        <v>91764</v>
      </c>
      <c r="E172" s="10" t="s">
        <v>5</v>
      </c>
      <c r="F172" s="10">
        <v>906</v>
      </c>
      <c r="Q172" s="11"/>
      <c r="R172" s="11"/>
    </row>
    <row r="173" spans="1:18" x14ac:dyDescent="0.2">
      <c r="A173" s="10" t="s">
        <v>100</v>
      </c>
      <c r="B173" s="10" t="s">
        <v>104</v>
      </c>
      <c r="C173" s="10" t="s">
        <v>45</v>
      </c>
      <c r="D173" s="10">
        <v>91786</v>
      </c>
      <c r="E173" s="10" t="s">
        <v>5</v>
      </c>
      <c r="F173" s="10">
        <v>1472</v>
      </c>
      <c r="Q173" s="11"/>
      <c r="R173" s="11"/>
    </row>
    <row r="174" spans="1:18" x14ac:dyDescent="0.2">
      <c r="A174" s="10" t="s">
        <v>100</v>
      </c>
      <c r="B174" s="10" t="s">
        <v>104</v>
      </c>
      <c r="C174" s="10" t="s">
        <v>45</v>
      </c>
      <c r="D174" s="10">
        <v>92336</v>
      </c>
      <c r="E174" s="10" t="s">
        <v>7</v>
      </c>
      <c r="F174" s="10">
        <v>2072</v>
      </c>
      <c r="Q174" s="11"/>
      <c r="R174" s="11"/>
    </row>
    <row r="175" spans="1:18" x14ac:dyDescent="0.2">
      <c r="A175" s="10" t="s">
        <v>100</v>
      </c>
      <c r="B175" s="10" t="s">
        <v>101</v>
      </c>
      <c r="C175" s="10" t="s">
        <v>45</v>
      </c>
      <c r="D175" s="10">
        <v>95076</v>
      </c>
      <c r="E175" s="10" t="s">
        <v>5</v>
      </c>
      <c r="F175" s="10">
        <v>325</v>
      </c>
      <c r="Q175" s="11"/>
      <c r="R175" s="11"/>
    </row>
    <row r="176" spans="1:18" x14ac:dyDescent="0.2">
      <c r="A176" s="10" t="s">
        <v>100</v>
      </c>
      <c r="B176" s="10" t="s">
        <v>111</v>
      </c>
      <c r="C176" s="10" t="s">
        <v>45</v>
      </c>
      <c r="D176" s="10">
        <v>96002</v>
      </c>
      <c r="E176" s="10" t="s">
        <v>6</v>
      </c>
      <c r="F176" s="10">
        <v>1369</v>
      </c>
      <c r="Q176" s="11"/>
      <c r="R176" s="11"/>
    </row>
    <row r="177" spans="1:18" x14ac:dyDescent="0.2">
      <c r="A177" s="10" t="s">
        <v>100</v>
      </c>
      <c r="B177" s="10" t="s">
        <v>105</v>
      </c>
      <c r="C177" s="10" t="s">
        <v>45</v>
      </c>
      <c r="D177" s="10">
        <v>95928</v>
      </c>
      <c r="E177" s="10" t="s">
        <v>5</v>
      </c>
      <c r="F177" s="10">
        <v>781</v>
      </c>
      <c r="Q177" s="11"/>
      <c r="R177" s="11"/>
    </row>
    <row r="178" spans="1:18" x14ac:dyDescent="0.2">
      <c r="A178" s="10" t="s">
        <v>100</v>
      </c>
      <c r="B178" s="10" t="s">
        <v>108</v>
      </c>
      <c r="C178" s="10" t="s">
        <v>45</v>
      </c>
      <c r="D178" s="10">
        <v>95678</v>
      </c>
      <c r="E178" s="10" t="s">
        <v>10</v>
      </c>
      <c r="F178" s="10">
        <v>599</v>
      </c>
      <c r="Q178" s="11"/>
      <c r="R178" s="11"/>
    </row>
    <row r="179" spans="1:18" x14ac:dyDescent="0.2">
      <c r="A179" s="10" t="s">
        <v>100</v>
      </c>
      <c r="B179" s="10" t="s">
        <v>109</v>
      </c>
      <c r="C179" s="10" t="s">
        <v>45</v>
      </c>
      <c r="D179" s="10">
        <v>95407</v>
      </c>
      <c r="E179" s="10" t="s">
        <v>6</v>
      </c>
      <c r="F179" s="10">
        <v>1095</v>
      </c>
      <c r="Q179" s="11"/>
      <c r="R179" s="11"/>
    </row>
    <row r="180" spans="1:18" x14ac:dyDescent="0.2">
      <c r="A180" s="10" t="s">
        <v>100</v>
      </c>
      <c r="B180" s="10" t="s">
        <v>109</v>
      </c>
      <c r="C180" s="10" t="s">
        <v>45</v>
      </c>
      <c r="D180" s="10">
        <v>94928</v>
      </c>
      <c r="E180" s="10" t="s">
        <v>6</v>
      </c>
      <c r="F180" s="10">
        <v>889</v>
      </c>
      <c r="Q180" s="11"/>
      <c r="R180" s="11"/>
    </row>
    <row r="181" spans="1:18" x14ac:dyDescent="0.2">
      <c r="A181" s="10" t="s">
        <v>100</v>
      </c>
      <c r="B181" s="10" t="s">
        <v>103</v>
      </c>
      <c r="C181" s="10" t="s">
        <v>45</v>
      </c>
      <c r="D181" s="10">
        <v>93422</v>
      </c>
      <c r="E181" s="10" t="s">
        <v>5</v>
      </c>
      <c r="F181" s="10">
        <v>992</v>
      </c>
      <c r="Q181" s="11"/>
      <c r="R181" s="11"/>
    </row>
    <row r="182" spans="1:18" x14ac:dyDescent="0.2">
      <c r="A182" s="10" t="s">
        <v>100</v>
      </c>
      <c r="B182" s="10" t="s">
        <v>112</v>
      </c>
      <c r="C182" s="10" t="s">
        <v>46</v>
      </c>
      <c r="D182" s="10">
        <v>90631</v>
      </c>
      <c r="E182" s="10" t="s">
        <v>5</v>
      </c>
      <c r="F182" s="10">
        <v>2022</v>
      </c>
      <c r="Q182" s="11"/>
      <c r="R182" s="11"/>
    </row>
    <row r="183" spans="1:18" x14ac:dyDescent="0.2">
      <c r="A183" s="10" t="s">
        <v>100</v>
      </c>
      <c r="B183" s="10" t="s">
        <v>112</v>
      </c>
      <c r="C183" s="10" t="s">
        <v>46</v>
      </c>
      <c r="D183" s="10">
        <v>92675</v>
      </c>
      <c r="E183" s="10" t="s">
        <v>5</v>
      </c>
      <c r="F183" s="10">
        <v>605</v>
      </c>
      <c r="Q183" s="11"/>
      <c r="R183" s="11"/>
    </row>
    <row r="184" spans="1:18" x14ac:dyDescent="0.2">
      <c r="A184" s="10" t="s">
        <v>100</v>
      </c>
      <c r="B184" s="10" t="s">
        <v>113</v>
      </c>
      <c r="C184" s="10" t="s">
        <v>46</v>
      </c>
      <c r="D184" s="10">
        <v>95832</v>
      </c>
      <c r="E184" s="10" t="s">
        <v>5</v>
      </c>
      <c r="F184" s="10">
        <v>1645</v>
      </c>
      <c r="Q184" s="11"/>
      <c r="R184" s="11"/>
    </row>
    <row r="185" spans="1:18" x14ac:dyDescent="0.2">
      <c r="A185" s="10" t="s">
        <v>100</v>
      </c>
      <c r="B185" s="10" t="s">
        <v>112</v>
      </c>
      <c r="C185" s="10" t="s">
        <v>46</v>
      </c>
      <c r="D185" s="10">
        <v>92865</v>
      </c>
      <c r="E185" s="10" t="s">
        <v>5</v>
      </c>
      <c r="F185" s="10">
        <v>1061</v>
      </c>
      <c r="Q185" s="11"/>
      <c r="R185" s="11"/>
    </row>
    <row r="186" spans="1:18" x14ac:dyDescent="0.2">
      <c r="A186" s="10" t="s">
        <v>100</v>
      </c>
      <c r="B186" s="10" t="s">
        <v>114</v>
      </c>
      <c r="C186" s="10" t="s">
        <v>46</v>
      </c>
      <c r="D186" s="10">
        <v>94596</v>
      </c>
      <c r="E186" s="10" t="s">
        <v>8</v>
      </c>
      <c r="F186" s="10">
        <v>36</v>
      </c>
      <c r="Q186" s="11"/>
      <c r="R186" s="11"/>
    </row>
    <row r="187" spans="1:18" x14ac:dyDescent="0.2">
      <c r="A187" s="10" t="s">
        <v>100</v>
      </c>
      <c r="B187" s="10" t="s">
        <v>115</v>
      </c>
      <c r="C187" s="10" t="s">
        <v>46</v>
      </c>
      <c r="D187" s="10">
        <v>95119</v>
      </c>
      <c r="E187" s="10" t="s">
        <v>5</v>
      </c>
      <c r="F187" s="10">
        <v>286</v>
      </c>
      <c r="Q187" s="11"/>
      <c r="R187" s="11"/>
    </row>
    <row r="188" spans="1:18" x14ac:dyDescent="0.2">
      <c r="A188" s="10" t="s">
        <v>100</v>
      </c>
      <c r="B188" s="10" t="s">
        <v>115</v>
      </c>
      <c r="C188" s="10" t="s">
        <v>46</v>
      </c>
      <c r="D188" s="10">
        <v>95121</v>
      </c>
      <c r="E188" s="10" t="s">
        <v>6</v>
      </c>
      <c r="F188" s="10">
        <v>830</v>
      </c>
      <c r="Q188" s="11"/>
      <c r="R188" s="11"/>
    </row>
    <row r="189" spans="1:18" x14ac:dyDescent="0.2">
      <c r="A189" s="10" t="s">
        <v>100</v>
      </c>
      <c r="B189" s="10" t="s">
        <v>114</v>
      </c>
      <c r="C189" s="10" t="s">
        <v>46</v>
      </c>
      <c r="D189" s="10">
        <v>94564</v>
      </c>
      <c r="E189" s="10" t="s">
        <v>5</v>
      </c>
      <c r="F189" s="10">
        <v>1058</v>
      </c>
      <c r="Q189" s="11"/>
      <c r="R189" s="11"/>
    </row>
    <row r="190" spans="1:18" x14ac:dyDescent="0.2">
      <c r="A190" s="10" t="s">
        <v>100</v>
      </c>
      <c r="B190" s="10" t="s">
        <v>114</v>
      </c>
      <c r="C190" s="10" t="s">
        <v>46</v>
      </c>
      <c r="D190" s="10">
        <v>94523</v>
      </c>
      <c r="E190" s="10" t="s">
        <v>8</v>
      </c>
      <c r="F190" s="10">
        <v>1004</v>
      </c>
      <c r="Q190" s="11"/>
      <c r="R190" s="11"/>
    </row>
    <row r="191" spans="1:18" x14ac:dyDescent="0.2">
      <c r="A191" s="10" t="s">
        <v>100</v>
      </c>
      <c r="B191" s="10" t="s">
        <v>115</v>
      </c>
      <c r="C191" s="10" t="s">
        <v>46</v>
      </c>
      <c r="D191" s="10">
        <v>95020</v>
      </c>
      <c r="E191" s="10" t="s">
        <v>5</v>
      </c>
      <c r="F191" s="10">
        <v>1954</v>
      </c>
      <c r="Q191" s="11"/>
      <c r="R191" s="11"/>
    </row>
    <row r="192" spans="1:18" x14ac:dyDescent="0.2">
      <c r="A192" s="10" t="s">
        <v>100</v>
      </c>
      <c r="B192" s="10" t="s">
        <v>116</v>
      </c>
      <c r="C192" s="10" t="s">
        <v>46</v>
      </c>
      <c r="D192" s="10">
        <v>91360</v>
      </c>
      <c r="E192" s="10" t="s">
        <v>6</v>
      </c>
      <c r="F192" s="10">
        <v>1034</v>
      </c>
      <c r="Q192" s="11"/>
      <c r="R192" s="11"/>
    </row>
    <row r="193" spans="1:18" x14ac:dyDescent="0.2">
      <c r="A193" s="10" t="s">
        <v>100</v>
      </c>
      <c r="B193" s="10" t="s">
        <v>112</v>
      </c>
      <c r="C193" s="10" t="s">
        <v>46</v>
      </c>
      <c r="D193" s="10">
        <v>92705</v>
      </c>
      <c r="E193" s="10" t="s">
        <v>5</v>
      </c>
      <c r="F193" s="10">
        <v>1307</v>
      </c>
      <c r="Q193" s="11"/>
      <c r="R193" s="11"/>
    </row>
    <row r="194" spans="1:18" x14ac:dyDescent="0.2">
      <c r="A194" s="10" t="s">
        <v>100</v>
      </c>
      <c r="B194" s="10" t="s">
        <v>117</v>
      </c>
      <c r="C194" s="10" t="s">
        <v>46</v>
      </c>
      <c r="D194" s="10">
        <v>94103</v>
      </c>
      <c r="E194" s="10" t="s">
        <v>9</v>
      </c>
      <c r="F194" s="10">
        <v>70</v>
      </c>
      <c r="Q194" s="11"/>
      <c r="R194" s="11"/>
    </row>
    <row r="195" spans="1:18" x14ac:dyDescent="0.2">
      <c r="A195" s="10" t="s">
        <v>100</v>
      </c>
      <c r="B195" s="10" t="s">
        <v>117</v>
      </c>
      <c r="C195" s="10" t="s">
        <v>46</v>
      </c>
      <c r="D195" s="10">
        <v>94105</v>
      </c>
      <c r="E195" s="10" t="s">
        <v>9</v>
      </c>
      <c r="F195" s="10">
        <v>186</v>
      </c>
      <c r="Q195" s="11"/>
      <c r="R195" s="11"/>
    </row>
    <row r="196" spans="1:18" x14ac:dyDescent="0.2">
      <c r="A196" s="10" t="s">
        <v>100</v>
      </c>
      <c r="B196" s="10" t="s">
        <v>117</v>
      </c>
      <c r="C196" s="10" t="s">
        <v>46</v>
      </c>
      <c r="D196" s="10">
        <v>94109</v>
      </c>
      <c r="E196" s="10" t="s">
        <v>5</v>
      </c>
      <c r="F196" s="10">
        <v>1271</v>
      </c>
      <c r="Q196" s="11"/>
      <c r="R196" s="11"/>
    </row>
    <row r="197" spans="1:18" x14ac:dyDescent="0.2">
      <c r="A197" s="10" t="s">
        <v>100</v>
      </c>
      <c r="B197" s="10" t="s">
        <v>117</v>
      </c>
      <c r="C197" s="10" t="s">
        <v>46</v>
      </c>
      <c r="D197" s="10">
        <v>94115</v>
      </c>
      <c r="E197" s="10" t="s">
        <v>10</v>
      </c>
      <c r="F197" s="10">
        <v>249</v>
      </c>
      <c r="Q197" s="11"/>
      <c r="R197" s="11"/>
    </row>
    <row r="198" spans="1:18" x14ac:dyDescent="0.2">
      <c r="A198" s="10" t="s">
        <v>100</v>
      </c>
      <c r="B198" s="10" t="s">
        <v>117</v>
      </c>
      <c r="C198" s="10" t="s">
        <v>46</v>
      </c>
      <c r="D198" s="10">
        <v>94118</v>
      </c>
      <c r="E198" s="10" t="s">
        <v>6</v>
      </c>
      <c r="F198" s="10">
        <v>171</v>
      </c>
      <c r="Q198" s="11"/>
      <c r="R198" s="11"/>
    </row>
    <row r="199" spans="1:18" x14ac:dyDescent="0.2">
      <c r="A199" s="10" t="s">
        <v>100</v>
      </c>
      <c r="B199" s="10" t="s">
        <v>118</v>
      </c>
      <c r="C199" s="10" t="s">
        <v>46</v>
      </c>
      <c r="D199" s="10">
        <v>95945</v>
      </c>
      <c r="E199" s="10" t="s">
        <v>5</v>
      </c>
      <c r="F199" s="10">
        <v>2132</v>
      </c>
      <c r="Q199" s="11"/>
      <c r="R199" s="11"/>
    </row>
    <row r="200" spans="1:18" x14ac:dyDescent="0.2">
      <c r="A200" s="10" t="s">
        <v>100</v>
      </c>
      <c r="B200" s="10" t="s">
        <v>115</v>
      </c>
      <c r="C200" s="10" t="s">
        <v>46</v>
      </c>
      <c r="D200" s="10">
        <v>95128</v>
      </c>
      <c r="E200" s="10" t="s">
        <v>10</v>
      </c>
      <c r="F200" s="10">
        <v>843</v>
      </c>
      <c r="Q200" s="11"/>
      <c r="R200" s="11"/>
    </row>
    <row r="201" spans="1:18" x14ac:dyDescent="0.2">
      <c r="A201" s="10" t="s">
        <v>100</v>
      </c>
      <c r="B201" s="10" t="s">
        <v>113</v>
      </c>
      <c r="C201" s="10" t="s">
        <v>46</v>
      </c>
      <c r="D201" s="10">
        <v>95823</v>
      </c>
      <c r="E201" s="10" t="s">
        <v>6</v>
      </c>
      <c r="F201" s="10">
        <v>1021</v>
      </c>
      <c r="Q201" s="11"/>
      <c r="R201" s="11"/>
    </row>
    <row r="202" spans="1:18" x14ac:dyDescent="0.2">
      <c r="A202" s="10" t="s">
        <v>100</v>
      </c>
      <c r="B202" s="10" t="s">
        <v>115</v>
      </c>
      <c r="C202" s="10" t="s">
        <v>46</v>
      </c>
      <c r="D202" s="10">
        <v>94301</v>
      </c>
      <c r="E202" s="10" t="s">
        <v>10</v>
      </c>
      <c r="F202" s="10">
        <v>534</v>
      </c>
      <c r="Q202" s="11"/>
      <c r="R202" s="11"/>
    </row>
    <row r="203" spans="1:18" x14ac:dyDescent="0.2">
      <c r="A203" s="10" t="s">
        <v>100</v>
      </c>
      <c r="B203" s="10" t="s">
        <v>114</v>
      </c>
      <c r="C203" s="10" t="s">
        <v>46</v>
      </c>
      <c r="D203" s="10">
        <v>94531</v>
      </c>
      <c r="E203" s="10" t="s">
        <v>6</v>
      </c>
      <c r="F203" s="10">
        <v>1335</v>
      </c>
      <c r="Q203" s="11"/>
      <c r="R203" s="11"/>
    </row>
    <row r="204" spans="1:18" x14ac:dyDescent="0.2">
      <c r="A204" s="10" t="s">
        <v>100</v>
      </c>
      <c r="B204" s="10" t="s">
        <v>114</v>
      </c>
      <c r="C204" s="10" t="s">
        <v>46</v>
      </c>
      <c r="D204" s="10">
        <v>94596</v>
      </c>
      <c r="E204" s="10" t="s">
        <v>9</v>
      </c>
      <c r="F204" s="10">
        <v>1732</v>
      </c>
      <c r="Q204" s="11"/>
      <c r="R204" s="11"/>
    </row>
    <row r="205" spans="1:18" x14ac:dyDescent="0.2">
      <c r="A205" s="10" t="s">
        <v>100</v>
      </c>
      <c r="B205" s="10" t="s">
        <v>115</v>
      </c>
      <c r="C205" s="10" t="s">
        <v>46</v>
      </c>
      <c r="D205" s="10">
        <v>95051</v>
      </c>
      <c r="E205" s="10" t="s">
        <v>8</v>
      </c>
      <c r="F205" s="10">
        <v>520</v>
      </c>
      <c r="Q205" s="11"/>
      <c r="R205" s="11"/>
    </row>
    <row r="206" spans="1:18" x14ac:dyDescent="0.2">
      <c r="A206" s="10" t="s">
        <v>100</v>
      </c>
      <c r="B206" s="10" t="s">
        <v>115</v>
      </c>
      <c r="C206" s="10" t="s">
        <v>46</v>
      </c>
      <c r="D206" s="10">
        <v>95110</v>
      </c>
      <c r="E206" s="10" t="s">
        <v>6</v>
      </c>
      <c r="F206" s="10">
        <v>1188</v>
      </c>
      <c r="Q206" s="11"/>
      <c r="R206" s="11"/>
    </row>
    <row r="207" spans="1:18" x14ac:dyDescent="0.2">
      <c r="A207" s="10" t="s">
        <v>100</v>
      </c>
      <c r="B207" s="10" t="s">
        <v>115</v>
      </c>
      <c r="C207" s="10" t="s">
        <v>46</v>
      </c>
      <c r="D207" s="10">
        <v>95110</v>
      </c>
      <c r="E207" s="10" t="s">
        <v>5</v>
      </c>
      <c r="F207" s="10">
        <v>504</v>
      </c>
      <c r="Q207" s="11"/>
      <c r="R207" s="11"/>
    </row>
    <row r="208" spans="1:18" x14ac:dyDescent="0.2">
      <c r="A208" s="10" t="s">
        <v>100</v>
      </c>
      <c r="B208" s="10" t="s">
        <v>113</v>
      </c>
      <c r="C208" s="10" t="s">
        <v>46</v>
      </c>
      <c r="D208" s="10">
        <v>95742</v>
      </c>
      <c r="E208" s="10" t="s">
        <v>5</v>
      </c>
      <c r="F208" s="10">
        <v>4268</v>
      </c>
      <c r="Q208" s="11"/>
      <c r="R208" s="11"/>
    </row>
    <row r="209" spans="1:18" x14ac:dyDescent="0.2">
      <c r="A209" s="10" t="s">
        <v>100</v>
      </c>
      <c r="B209" s="10" t="s">
        <v>113</v>
      </c>
      <c r="C209" s="10" t="s">
        <v>46</v>
      </c>
      <c r="D209" s="10">
        <v>95834</v>
      </c>
      <c r="E209" s="10" t="s">
        <v>5</v>
      </c>
      <c r="F209" s="10">
        <v>1325</v>
      </c>
      <c r="Q209" s="11"/>
      <c r="R209" s="11"/>
    </row>
    <row r="210" spans="1:18" x14ac:dyDescent="0.2">
      <c r="A210" s="10" t="s">
        <v>100</v>
      </c>
      <c r="B210" s="10" t="s">
        <v>112</v>
      </c>
      <c r="C210" s="10" t="s">
        <v>46</v>
      </c>
      <c r="D210" s="10">
        <v>90630</v>
      </c>
      <c r="E210" s="10" t="s">
        <v>5</v>
      </c>
      <c r="F210" s="10">
        <v>1799</v>
      </c>
      <c r="Q210" s="11"/>
      <c r="R210" s="11"/>
    </row>
    <row r="211" spans="1:18" x14ac:dyDescent="0.2">
      <c r="A211" s="10" t="s">
        <v>100</v>
      </c>
      <c r="B211" s="10" t="s">
        <v>112</v>
      </c>
      <c r="C211" s="10" t="s">
        <v>46</v>
      </c>
      <c r="D211" s="10">
        <v>92801</v>
      </c>
      <c r="E211" s="10" t="s">
        <v>5</v>
      </c>
      <c r="F211" s="10">
        <v>1960</v>
      </c>
      <c r="Q211" s="11"/>
      <c r="R211" s="11"/>
    </row>
    <row r="212" spans="1:18" x14ac:dyDescent="0.2">
      <c r="A212" s="10" t="s">
        <v>100</v>
      </c>
      <c r="B212" s="10" t="s">
        <v>117</v>
      </c>
      <c r="C212" s="10" t="s">
        <v>46</v>
      </c>
      <c r="D212" s="10">
        <v>94123</v>
      </c>
      <c r="E212" s="10" t="s">
        <v>9</v>
      </c>
      <c r="F212" s="10">
        <v>9</v>
      </c>
      <c r="Q212" s="11"/>
      <c r="R212" s="11"/>
    </row>
    <row r="213" spans="1:18" x14ac:dyDescent="0.2">
      <c r="A213" s="10" t="s">
        <v>100</v>
      </c>
      <c r="B213" s="10" t="s">
        <v>112</v>
      </c>
      <c r="C213" s="10" t="s">
        <v>46</v>
      </c>
      <c r="D213" s="10">
        <v>92887</v>
      </c>
      <c r="E213" s="10" t="s">
        <v>5</v>
      </c>
      <c r="F213" s="10">
        <v>6489</v>
      </c>
      <c r="Q213" s="11"/>
      <c r="R213" s="11"/>
    </row>
    <row r="214" spans="1:18" x14ac:dyDescent="0.2">
      <c r="A214" s="10" t="s">
        <v>100</v>
      </c>
      <c r="B214" s="10" t="s">
        <v>113</v>
      </c>
      <c r="C214" s="10" t="s">
        <v>46</v>
      </c>
      <c r="D214" s="10">
        <v>95670</v>
      </c>
      <c r="E214" s="10" t="s">
        <v>8</v>
      </c>
      <c r="F214" s="10">
        <v>306</v>
      </c>
      <c r="Q214" s="11"/>
      <c r="R214" s="11"/>
    </row>
    <row r="215" spans="1:18" x14ac:dyDescent="0.2">
      <c r="A215" s="10" t="s">
        <v>100</v>
      </c>
      <c r="B215" s="10" t="s">
        <v>113</v>
      </c>
      <c r="C215" s="10" t="s">
        <v>46</v>
      </c>
      <c r="D215" s="10">
        <v>95630</v>
      </c>
      <c r="E215" s="10" t="s">
        <v>5</v>
      </c>
      <c r="F215" s="10">
        <v>1512</v>
      </c>
      <c r="Q215" s="11"/>
      <c r="R215" s="11"/>
    </row>
    <row r="216" spans="1:18" x14ac:dyDescent="0.2">
      <c r="A216" s="10" t="s">
        <v>100</v>
      </c>
      <c r="B216" s="10" t="s">
        <v>113</v>
      </c>
      <c r="C216" s="10" t="s">
        <v>46</v>
      </c>
      <c r="D216" s="10">
        <v>95630</v>
      </c>
      <c r="E216" s="10" t="s">
        <v>6</v>
      </c>
      <c r="F216" s="10">
        <v>2282</v>
      </c>
      <c r="Q216" s="11"/>
      <c r="R216" s="11"/>
    </row>
    <row r="217" spans="1:18" x14ac:dyDescent="0.2">
      <c r="A217" s="10" t="s">
        <v>100</v>
      </c>
      <c r="B217" s="10" t="s">
        <v>115</v>
      </c>
      <c r="C217" s="10" t="s">
        <v>46</v>
      </c>
      <c r="D217" s="10">
        <v>95035</v>
      </c>
      <c r="E217" s="10" t="s">
        <v>5</v>
      </c>
      <c r="F217" s="10">
        <v>2496</v>
      </c>
      <c r="Q217" s="11"/>
      <c r="R217" s="11"/>
    </row>
    <row r="218" spans="1:18" x14ac:dyDescent="0.2">
      <c r="A218" s="10" t="s">
        <v>100</v>
      </c>
      <c r="B218" s="10" t="s">
        <v>115</v>
      </c>
      <c r="C218" s="10" t="s">
        <v>46</v>
      </c>
      <c r="D218" s="10">
        <v>95032</v>
      </c>
      <c r="E218" s="10" t="s">
        <v>6</v>
      </c>
      <c r="F218" s="10">
        <v>1198</v>
      </c>
      <c r="Q218" s="11"/>
      <c r="R218" s="11"/>
    </row>
    <row r="219" spans="1:18" x14ac:dyDescent="0.2">
      <c r="A219" s="10" t="s">
        <v>100</v>
      </c>
      <c r="B219" s="10" t="s">
        <v>115</v>
      </c>
      <c r="C219" s="10" t="s">
        <v>46</v>
      </c>
      <c r="D219" s="10">
        <v>95014</v>
      </c>
      <c r="E219" s="10" t="s">
        <v>5</v>
      </c>
      <c r="F219" s="10">
        <v>989</v>
      </c>
      <c r="Q219" s="11"/>
      <c r="R219" s="11"/>
    </row>
    <row r="220" spans="1:18" x14ac:dyDescent="0.2">
      <c r="A220" s="10" t="s">
        <v>100</v>
      </c>
      <c r="B220" s="10" t="s">
        <v>114</v>
      </c>
      <c r="C220" s="10" t="s">
        <v>46</v>
      </c>
      <c r="D220" s="10">
        <v>94583</v>
      </c>
      <c r="E220" s="10" t="s">
        <v>5</v>
      </c>
      <c r="F220" s="10">
        <v>1205</v>
      </c>
      <c r="Q220" s="11"/>
      <c r="R220" s="11"/>
    </row>
    <row r="221" spans="1:18" x14ac:dyDescent="0.2">
      <c r="A221" s="10" t="s">
        <v>100</v>
      </c>
      <c r="B221" s="10" t="s">
        <v>114</v>
      </c>
      <c r="C221" s="10" t="s">
        <v>46</v>
      </c>
      <c r="D221" s="10">
        <v>94583</v>
      </c>
      <c r="E221" s="10" t="s">
        <v>6</v>
      </c>
      <c r="F221" s="10">
        <v>995</v>
      </c>
      <c r="Q221" s="11"/>
      <c r="R221" s="11"/>
    </row>
    <row r="222" spans="1:18" x14ac:dyDescent="0.2">
      <c r="A222" s="10" t="s">
        <v>100</v>
      </c>
      <c r="B222" s="10" t="s">
        <v>114</v>
      </c>
      <c r="C222" s="10" t="s">
        <v>46</v>
      </c>
      <c r="D222" s="10">
        <v>94549</v>
      </c>
      <c r="E222" s="10" t="s">
        <v>9</v>
      </c>
      <c r="F222" s="10">
        <v>2462</v>
      </c>
      <c r="Q222" s="11"/>
      <c r="R222" s="11"/>
    </row>
    <row r="223" spans="1:18" x14ac:dyDescent="0.2">
      <c r="A223" s="10" t="s">
        <v>100</v>
      </c>
      <c r="B223" s="10" t="s">
        <v>114</v>
      </c>
      <c r="C223" s="10" t="s">
        <v>46</v>
      </c>
      <c r="D223" s="10">
        <v>94526</v>
      </c>
      <c r="E223" s="10" t="s">
        <v>9</v>
      </c>
      <c r="F223" s="10">
        <v>128</v>
      </c>
      <c r="Q223" s="11"/>
      <c r="R223" s="11"/>
    </row>
    <row r="224" spans="1:18" x14ac:dyDescent="0.2">
      <c r="A224" s="10" t="s">
        <v>100</v>
      </c>
      <c r="B224" s="10" t="s">
        <v>114</v>
      </c>
      <c r="C224" s="10" t="s">
        <v>46</v>
      </c>
      <c r="D224" s="10">
        <v>94523</v>
      </c>
      <c r="E224" s="10" t="s">
        <v>5</v>
      </c>
      <c r="F224" s="10">
        <v>1388</v>
      </c>
      <c r="Q224" s="11"/>
      <c r="R224" s="11"/>
    </row>
    <row r="225" spans="1:18" x14ac:dyDescent="0.2">
      <c r="A225" s="10" t="s">
        <v>100</v>
      </c>
      <c r="B225" s="10" t="s">
        <v>115</v>
      </c>
      <c r="C225" s="10" t="s">
        <v>46</v>
      </c>
      <c r="D225" s="10">
        <v>94040</v>
      </c>
      <c r="E225" s="10" t="s">
        <v>6</v>
      </c>
      <c r="F225" s="10">
        <v>1163</v>
      </c>
      <c r="Q225" s="11"/>
      <c r="R225" s="11"/>
    </row>
    <row r="226" spans="1:18" x14ac:dyDescent="0.2">
      <c r="A226" s="10" t="s">
        <v>100</v>
      </c>
      <c r="B226" s="10" t="s">
        <v>119</v>
      </c>
      <c r="C226" s="10" t="s">
        <v>46</v>
      </c>
      <c r="D226" s="10">
        <v>93230</v>
      </c>
      <c r="E226" s="10" t="s">
        <v>5</v>
      </c>
      <c r="F226" s="10">
        <v>1515</v>
      </c>
      <c r="Q226" s="11"/>
      <c r="R226" s="11"/>
    </row>
    <row r="227" spans="1:18" x14ac:dyDescent="0.2">
      <c r="A227" s="10" t="s">
        <v>100</v>
      </c>
      <c r="B227" s="10" t="s">
        <v>120</v>
      </c>
      <c r="C227" s="10" t="s">
        <v>46</v>
      </c>
      <c r="D227" s="10">
        <v>94534</v>
      </c>
      <c r="E227" s="10" t="s">
        <v>5</v>
      </c>
      <c r="F227" s="10">
        <v>1307</v>
      </c>
      <c r="Q227" s="11"/>
      <c r="R227" s="11"/>
    </row>
    <row r="228" spans="1:18" x14ac:dyDescent="0.2">
      <c r="A228" s="10" t="s">
        <v>100</v>
      </c>
      <c r="B228" s="10" t="s">
        <v>120</v>
      </c>
      <c r="C228" s="10" t="s">
        <v>46</v>
      </c>
      <c r="D228" s="10">
        <v>94591</v>
      </c>
      <c r="E228" s="10" t="s">
        <v>7</v>
      </c>
      <c r="F228" s="10">
        <v>776</v>
      </c>
      <c r="Q228" s="11"/>
      <c r="R228" s="11"/>
    </row>
    <row r="229" spans="1:18" x14ac:dyDescent="0.2">
      <c r="A229" s="10" t="s">
        <v>100</v>
      </c>
      <c r="B229" s="10" t="s">
        <v>117</v>
      </c>
      <c r="C229" s="10" t="s">
        <v>46</v>
      </c>
      <c r="D229" s="10">
        <v>94118</v>
      </c>
      <c r="E229" s="10" t="s">
        <v>9</v>
      </c>
      <c r="F229" s="10">
        <v>714</v>
      </c>
      <c r="Q229" s="11"/>
      <c r="R229" s="11"/>
    </row>
    <row r="230" spans="1:18" x14ac:dyDescent="0.2">
      <c r="A230" s="10" t="s">
        <v>100</v>
      </c>
      <c r="B230" s="10" t="s">
        <v>117</v>
      </c>
      <c r="C230" s="10" t="s">
        <v>46</v>
      </c>
      <c r="D230" s="10">
        <v>94104</v>
      </c>
      <c r="E230" s="10" t="s">
        <v>9</v>
      </c>
      <c r="F230" s="10">
        <v>390</v>
      </c>
      <c r="Q230" s="11"/>
      <c r="R230" s="11"/>
    </row>
    <row r="231" spans="1:18" x14ac:dyDescent="0.2">
      <c r="A231" s="10" t="s">
        <v>100</v>
      </c>
      <c r="B231" s="10" t="s">
        <v>117</v>
      </c>
      <c r="C231" s="10" t="s">
        <v>46</v>
      </c>
      <c r="D231" s="10">
        <v>94103</v>
      </c>
      <c r="E231" s="10" t="s">
        <v>6</v>
      </c>
      <c r="F231" s="10">
        <v>1664</v>
      </c>
      <c r="Q231" s="11"/>
      <c r="R231" s="11"/>
    </row>
    <row r="232" spans="1:18" x14ac:dyDescent="0.2">
      <c r="A232" s="10" t="s">
        <v>100</v>
      </c>
      <c r="B232" s="10" t="s">
        <v>116</v>
      </c>
      <c r="C232" s="10" t="s">
        <v>46</v>
      </c>
      <c r="D232" s="10">
        <v>93065</v>
      </c>
      <c r="E232" s="10" t="s">
        <v>5</v>
      </c>
      <c r="F232" s="10">
        <v>494</v>
      </c>
      <c r="Q232" s="11"/>
      <c r="R232" s="11"/>
    </row>
    <row r="233" spans="1:18" x14ac:dyDescent="0.2">
      <c r="A233" s="10" t="s">
        <v>100</v>
      </c>
      <c r="B233" s="10" t="s">
        <v>116</v>
      </c>
      <c r="C233" s="10" t="s">
        <v>46</v>
      </c>
      <c r="D233" s="10">
        <v>93065</v>
      </c>
      <c r="E233" s="10" t="s">
        <v>6</v>
      </c>
      <c r="F233" s="10">
        <v>1340</v>
      </c>
      <c r="Q233" s="11"/>
      <c r="R233" s="11"/>
    </row>
    <row r="234" spans="1:18" x14ac:dyDescent="0.2">
      <c r="A234" s="10" t="s">
        <v>100</v>
      </c>
      <c r="B234" s="10" t="s">
        <v>116</v>
      </c>
      <c r="C234" s="10" t="s">
        <v>46</v>
      </c>
      <c r="D234" s="10">
        <v>93003</v>
      </c>
      <c r="E234" s="10" t="s">
        <v>6</v>
      </c>
      <c r="F234" s="10">
        <v>1122</v>
      </c>
      <c r="Q234" s="11"/>
      <c r="R234" s="11"/>
    </row>
    <row r="235" spans="1:18" x14ac:dyDescent="0.2">
      <c r="A235" s="10" t="s">
        <v>100</v>
      </c>
      <c r="B235" s="10" t="s">
        <v>121</v>
      </c>
      <c r="C235" s="10" t="s">
        <v>46</v>
      </c>
      <c r="D235" s="10">
        <v>95242</v>
      </c>
      <c r="E235" s="10" t="s">
        <v>5</v>
      </c>
      <c r="F235" s="10">
        <v>1758</v>
      </c>
      <c r="Q235" s="11"/>
      <c r="R235" s="11"/>
    </row>
    <row r="236" spans="1:18" x14ac:dyDescent="0.2">
      <c r="A236" s="10" t="s">
        <v>100</v>
      </c>
      <c r="B236" s="10" t="s">
        <v>121</v>
      </c>
      <c r="C236" s="10" t="s">
        <v>46</v>
      </c>
      <c r="D236" s="10">
        <v>95304</v>
      </c>
      <c r="E236" s="10" t="s">
        <v>5</v>
      </c>
      <c r="F236" s="10">
        <v>2053</v>
      </c>
      <c r="Q236" s="11"/>
      <c r="R236" s="11"/>
    </row>
    <row r="237" spans="1:18" x14ac:dyDescent="0.2">
      <c r="A237" s="10" t="s">
        <v>100</v>
      </c>
      <c r="B237" s="10" t="s">
        <v>112</v>
      </c>
      <c r="C237" s="10" t="s">
        <v>46</v>
      </c>
      <c r="D237" s="10">
        <v>90720</v>
      </c>
      <c r="E237" s="10" t="s">
        <v>6</v>
      </c>
      <c r="F237" s="10">
        <v>715</v>
      </c>
      <c r="Q237" s="11"/>
      <c r="R237" s="11"/>
    </row>
    <row r="238" spans="1:18" x14ac:dyDescent="0.2">
      <c r="A238" s="10" t="s">
        <v>100</v>
      </c>
      <c r="B238" s="10" t="s">
        <v>112</v>
      </c>
      <c r="C238" s="10" t="s">
        <v>46</v>
      </c>
      <c r="D238" s="10">
        <v>92602</v>
      </c>
      <c r="E238" s="10" t="s">
        <v>7</v>
      </c>
      <c r="F238" s="10">
        <v>1007</v>
      </c>
      <c r="Q238" s="11"/>
      <c r="R238" s="11"/>
    </row>
    <row r="239" spans="1:18" x14ac:dyDescent="0.2">
      <c r="A239" s="10" t="s">
        <v>100</v>
      </c>
      <c r="B239" s="10" t="s">
        <v>112</v>
      </c>
      <c r="C239" s="10" t="s">
        <v>46</v>
      </c>
      <c r="D239" s="10">
        <v>92630</v>
      </c>
      <c r="E239" s="10" t="s">
        <v>5</v>
      </c>
      <c r="F239" s="10">
        <v>1683</v>
      </c>
      <c r="Q239" s="11"/>
      <c r="R239" s="11"/>
    </row>
    <row r="240" spans="1:18" x14ac:dyDescent="0.2">
      <c r="A240" s="10" t="s">
        <v>100</v>
      </c>
      <c r="B240" s="10" t="s">
        <v>116</v>
      </c>
      <c r="C240" s="10" t="s">
        <v>46</v>
      </c>
      <c r="D240" s="10">
        <v>91360</v>
      </c>
      <c r="E240" s="10" t="s">
        <v>10</v>
      </c>
      <c r="F240" s="10">
        <v>815</v>
      </c>
      <c r="Q240" s="11"/>
      <c r="R240" s="11"/>
    </row>
    <row r="241" spans="1:18" x14ac:dyDescent="0.2">
      <c r="A241" s="10" t="s">
        <v>100</v>
      </c>
      <c r="B241" s="10" t="s">
        <v>112</v>
      </c>
      <c r="C241" s="10" t="s">
        <v>46</v>
      </c>
      <c r="D241" s="10">
        <v>92660</v>
      </c>
      <c r="E241" s="10" t="s">
        <v>5</v>
      </c>
      <c r="F241" s="10">
        <v>1059</v>
      </c>
      <c r="Q241" s="11"/>
      <c r="R241" s="11"/>
    </row>
    <row r="242" spans="1:18" x14ac:dyDescent="0.2">
      <c r="A242" s="10" t="s">
        <v>100</v>
      </c>
      <c r="B242" s="10" t="s">
        <v>116</v>
      </c>
      <c r="C242" s="10" t="s">
        <v>46</v>
      </c>
      <c r="D242" s="10">
        <v>93010</v>
      </c>
      <c r="E242" s="10" t="s">
        <v>5</v>
      </c>
      <c r="F242" s="10">
        <v>1346</v>
      </c>
      <c r="Q242" s="11"/>
      <c r="R242" s="11"/>
    </row>
    <row r="243" spans="1:18" x14ac:dyDescent="0.2">
      <c r="A243" s="10" t="s">
        <v>100</v>
      </c>
      <c r="B243" s="10" t="s">
        <v>117</v>
      </c>
      <c r="C243" s="10" t="s">
        <v>46</v>
      </c>
      <c r="D243" s="10">
        <v>94103</v>
      </c>
      <c r="E243" s="10" t="s">
        <v>7</v>
      </c>
      <c r="F243" s="10">
        <v>1718</v>
      </c>
      <c r="Q243" s="11"/>
      <c r="R243" s="11"/>
    </row>
    <row r="244" spans="1:18" x14ac:dyDescent="0.2">
      <c r="A244" s="10" t="s">
        <v>100</v>
      </c>
      <c r="B244" s="10" t="s">
        <v>112</v>
      </c>
      <c r="C244" s="10" t="s">
        <v>46</v>
      </c>
      <c r="D244" s="10">
        <v>92673</v>
      </c>
      <c r="E244" s="10" t="s">
        <v>6</v>
      </c>
      <c r="F244" s="10">
        <v>1851</v>
      </c>
      <c r="Q244" s="11"/>
      <c r="R244" s="11"/>
    </row>
    <row r="245" spans="1:18" x14ac:dyDescent="0.2">
      <c r="A245" s="10" t="s">
        <v>100</v>
      </c>
      <c r="B245" s="10" t="s">
        <v>112</v>
      </c>
      <c r="C245" s="10" t="s">
        <v>46</v>
      </c>
      <c r="D245" s="10">
        <v>90740</v>
      </c>
      <c r="E245" s="10" t="s">
        <v>5</v>
      </c>
      <c r="F245" s="10">
        <v>2673</v>
      </c>
      <c r="Q245" s="11"/>
      <c r="R245" s="11"/>
    </row>
    <row r="246" spans="1:18" x14ac:dyDescent="0.2">
      <c r="A246" s="10" t="s">
        <v>100</v>
      </c>
      <c r="B246" s="10" t="s">
        <v>112</v>
      </c>
      <c r="C246" s="10" t="s">
        <v>46</v>
      </c>
      <c r="D246" s="10">
        <v>92618</v>
      </c>
      <c r="E246" s="10" t="s">
        <v>6</v>
      </c>
      <c r="F246" s="10">
        <v>787</v>
      </c>
      <c r="Q246" s="11"/>
      <c r="R246" s="11"/>
    </row>
    <row r="247" spans="1:18" x14ac:dyDescent="0.2">
      <c r="A247" s="10" t="s">
        <v>100</v>
      </c>
      <c r="B247" s="10" t="s">
        <v>112</v>
      </c>
      <c r="C247" s="10" t="s">
        <v>46</v>
      </c>
      <c r="D247" s="10">
        <v>92627</v>
      </c>
      <c r="E247" s="10" t="s">
        <v>5</v>
      </c>
      <c r="F247" s="10">
        <v>2364</v>
      </c>
      <c r="Q247" s="11"/>
      <c r="R247" s="11"/>
    </row>
    <row r="248" spans="1:18" x14ac:dyDescent="0.2">
      <c r="A248" s="10" t="s">
        <v>100</v>
      </c>
      <c r="B248" s="10" t="s">
        <v>112</v>
      </c>
      <c r="C248" s="10" t="s">
        <v>46</v>
      </c>
      <c r="D248" s="10">
        <v>92647</v>
      </c>
      <c r="E248" s="10" t="s">
        <v>5</v>
      </c>
      <c r="F248" s="10">
        <v>1296</v>
      </c>
      <c r="Q248" s="11"/>
      <c r="R248" s="11"/>
    </row>
    <row r="249" spans="1:18" x14ac:dyDescent="0.2">
      <c r="A249" s="10" t="s">
        <v>100</v>
      </c>
      <c r="B249" s="10" t="s">
        <v>112</v>
      </c>
      <c r="C249" s="10" t="s">
        <v>46</v>
      </c>
      <c r="D249" s="10">
        <v>92648</v>
      </c>
      <c r="E249" s="10" t="s">
        <v>5</v>
      </c>
      <c r="F249" s="10">
        <v>1943</v>
      </c>
      <c r="Q249" s="11"/>
      <c r="R249" s="11"/>
    </row>
    <row r="250" spans="1:18" x14ac:dyDescent="0.2">
      <c r="A250" s="10" t="s">
        <v>100</v>
      </c>
      <c r="B250" s="10" t="s">
        <v>112</v>
      </c>
      <c r="C250" s="10" t="s">
        <v>46</v>
      </c>
      <c r="D250" s="10">
        <v>92656</v>
      </c>
      <c r="E250" s="10" t="s">
        <v>5</v>
      </c>
      <c r="F250" s="10">
        <v>2069</v>
      </c>
      <c r="Q250" s="11"/>
      <c r="R250" s="11"/>
    </row>
    <row r="251" spans="1:18" x14ac:dyDescent="0.2">
      <c r="A251" s="10" t="s">
        <v>100</v>
      </c>
      <c r="B251" s="10" t="s">
        <v>112</v>
      </c>
      <c r="C251" s="10" t="s">
        <v>46</v>
      </c>
      <c r="D251" s="10">
        <v>92694</v>
      </c>
      <c r="E251" s="10" t="s">
        <v>5</v>
      </c>
      <c r="F251" s="10">
        <v>1160</v>
      </c>
      <c r="Q251" s="11"/>
      <c r="R251" s="11"/>
    </row>
    <row r="252" spans="1:18" x14ac:dyDescent="0.2">
      <c r="A252" s="10" t="s">
        <v>100</v>
      </c>
      <c r="B252" s="10" t="s">
        <v>112</v>
      </c>
      <c r="C252" s="10" t="s">
        <v>46</v>
      </c>
      <c r="D252" s="10">
        <v>92708</v>
      </c>
      <c r="E252" s="10" t="s">
        <v>6</v>
      </c>
      <c r="F252" s="10">
        <v>1036</v>
      </c>
      <c r="Q252" s="11"/>
      <c r="R252" s="11"/>
    </row>
    <row r="253" spans="1:18" x14ac:dyDescent="0.2">
      <c r="A253" s="10" t="s">
        <v>100</v>
      </c>
      <c r="B253" s="10" t="s">
        <v>121</v>
      </c>
      <c r="C253" s="10" t="s">
        <v>46</v>
      </c>
      <c r="D253" s="10">
        <v>95336</v>
      </c>
      <c r="E253" s="10" t="s">
        <v>5</v>
      </c>
      <c r="F253" s="10">
        <v>1634</v>
      </c>
      <c r="Q253" s="11"/>
      <c r="R253" s="11"/>
    </row>
    <row r="254" spans="1:18" x14ac:dyDescent="0.2">
      <c r="A254" s="10" t="s">
        <v>100</v>
      </c>
      <c r="B254" s="10" t="s">
        <v>122</v>
      </c>
      <c r="C254" s="10" t="s">
        <v>46</v>
      </c>
      <c r="D254" s="10">
        <v>95618</v>
      </c>
      <c r="E254" s="10" t="s">
        <v>7</v>
      </c>
      <c r="F254" s="10">
        <v>1576</v>
      </c>
      <c r="Q254" s="11"/>
      <c r="R254" s="11"/>
    </row>
    <row r="255" spans="1:18" x14ac:dyDescent="0.2">
      <c r="A255" s="10" t="s">
        <v>100</v>
      </c>
      <c r="B255" s="10" t="s">
        <v>123</v>
      </c>
      <c r="C255" s="10" t="s">
        <v>46</v>
      </c>
      <c r="D255" s="10">
        <v>95642</v>
      </c>
      <c r="E255" s="10" t="s">
        <v>5</v>
      </c>
      <c r="F255" s="10">
        <v>417</v>
      </c>
      <c r="Q255" s="11"/>
      <c r="R255" s="11"/>
    </row>
    <row r="256" spans="1:18" x14ac:dyDescent="0.2">
      <c r="A256" s="10" t="s">
        <v>100</v>
      </c>
      <c r="B256" s="10" t="s">
        <v>112</v>
      </c>
      <c r="C256" s="10" t="s">
        <v>46</v>
      </c>
      <c r="D256" s="10">
        <v>92704</v>
      </c>
      <c r="E256" s="10" t="s">
        <v>5</v>
      </c>
      <c r="F256" s="10">
        <v>1311</v>
      </c>
      <c r="Q256" s="11"/>
      <c r="R256" s="11"/>
    </row>
    <row r="257" spans="1:18" x14ac:dyDescent="0.2">
      <c r="A257" s="10" t="s">
        <v>100</v>
      </c>
      <c r="B257" s="10" t="s">
        <v>117</v>
      </c>
      <c r="C257" s="10" t="s">
        <v>46</v>
      </c>
      <c r="D257" s="10">
        <v>94111</v>
      </c>
      <c r="E257" s="10" t="s">
        <v>9</v>
      </c>
      <c r="F257" s="10">
        <v>1267</v>
      </c>
      <c r="Q257" s="11"/>
      <c r="R257" s="11"/>
    </row>
    <row r="258" spans="1:18" x14ac:dyDescent="0.2">
      <c r="A258" s="10" t="s">
        <v>100</v>
      </c>
      <c r="B258" s="10" t="s">
        <v>112</v>
      </c>
      <c r="C258" s="10" t="s">
        <v>46</v>
      </c>
      <c r="D258" s="10">
        <v>92843</v>
      </c>
      <c r="E258" s="10" t="s">
        <v>6</v>
      </c>
      <c r="F258" s="10">
        <v>1117</v>
      </c>
      <c r="Q258" s="11"/>
      <c r="R258" s="11"/>
    </row>
    <row r="259" spans="1:18" x14ac:dyDescent="0.2">
      <c r="A259" s="10" t="s">
        <v>100</v>
      </c>
      <c r="B259" s="10" t="s">
        <v>117</v>
      </c>
      <c r="C259" s="10" t="s">
        <v>46</v>
      </c>
      <c r="D259" s="10">
        <v>94115</v>
      </c>
      <c r="E259" s="10" t="s">
        <v>9</v>
      </c>
      <c r="F259" s="10">
        <v>733</v>
      </c>
      <c r="Q259" s="11"/>
      <c r="R259" s="11"/>
    </row>
    <row r="260" spans="1:18" x14ac:dyDescent="0.2">
      <c r="A260" s="10" t="s">
        <v>100</v>
      </c>
      <c r="B260" s="10" t="s">
        <v>112</v>
      </c>
      <c r="C260" s="10" t="s">
        <v>46</v>
      </c>
      <c r="D260" s="10">
        <v>92843</v>
      </c>
      <c r="E260" s="10" t="s">
        <v>5</v>
      </c>
      <c r="F260" s="10">
        <v>1092</v>
      </c>
      <c r="Q260" s="11"/>
      <c r="R260" s="11"/>
    </row>
    <row r="261" spans="1:18" x14ac:dyDescent="0.2">
      <c r="A261" s="10" t="s">
        <v>100</v>
      </c>
      <c r="B261" s="10" t="s">
        <v>113</v>
      </c>
      <c r="C261" s="10" t="s">
        <v>46</v>
      </c>
      <c r="D261" s="10">
        <v>95841</v>
      </c>
      <c r="E261" s="10" t="s">
        <v>6</v>
      </c>
      <c r="F261" s="10">
        <v>2234</v>
      </c>
      <c r="Q261" s="11"/>
      <c r="R261" s="11"/>
    </row>
    <row r="262" spans="1:18" x14ac:dyDescent="0.2">
      <c r="A262" s="10" t="s">
        <v>100</v>
      </c>
      <c r="B262" s="10" t="s">
        <v>117</v>
      </c>
      <c r="C262" s="10" t="s">
        <v>46</v>
      </c>
      <c r="D262" s="10">
        <v>94123</v>
      </c>
      <c r="E262" s="10" t="s">
        <v>10</v>
      </c>
      <c r="F262" s="10">
        <v>505</v>
      </c>
      <c r="Q262" s="11"/>
      <c r="R262" s="11"/>
    </row>
    <row r="263" spans="1:18" x14ac:dyDescent="0.2">
      <c r="A263" s="10" t="s">
        <v>100</v>
      </c>
      <c r="B263" s="10" t="s">
        <v>114</v>
      </c>
      <c r="C263" s="10" t="s">
        <v>46</v>
      </c>
      <c r="D263" s="10">
        <v>94597</v>
      </c>
      <c r="E263" s="10" t="s">
        <v>7</v>
      </c>
      <c r="F263" s="10">
        <v>1868</v>
      </c>
      <c r="Q263" s="11"/>
      <c r="R263" s="11"/>
    </row>
    <row r="264" spans="1:18" x14ac:dyDescent="0.2">
      <c r="A264" s="10" t="s">
        <v>100</v>
      </c>
      <c r="B264" s="10" t="s">
        <v>124</v>
      </c>
      <c r="C264" s="10" t="s">
        <v>46</v>
      </c>
      <c r="D264" s="10">
        <v>94901</v>
      </c>
      <c r="E264" s="10" t="s">
        <v>6</v>
      </c>
      <c r="F264" s="10">
        <v>533</v>
      </c>
      <c r="Q264" s="11"/>
      <c r="R264" s="11"/>
    </row>
    <row r="265" spans="1:18" x14ac:dyDescent="0.2">
      <c r="A265" s="10" t="s">
        <v>100</v>
      </c>
      <c r="B265" s="10" t="s">
        <v>124</v>
      </c>
      <c r="C265" s="10" t="s">
        <v>46</v>
      </c>
      <c r="D265" s="10">
        <v>94901</v>
      </c>
      <c r="E265" s="10" t="s">
        <v>5</v>
      </c>
      <c r="F265" s="10">
        <v>1067</v>
      </c>
      <c r="Q265" s="11"/>
      <c r="R265" s="11"/>
    </row>
    <row r="266" spans="1:18" x14ac:dyDescent="0.2">
      <c r="A266" s="10" t="s">
        <v>100</v>
      </c>
      <c r="B266" s="10" t="s">
        <v>124</v>
      </c>
      <c r="C266" s="10" t="s">
        <v>46</v>
      </c>
      <c r="D266" s="10">
        <v>94925</v>
      </c>
      <c r="E266" s="10" t="s">
        <v>10</v>
      </c>
      <c r="F266" s="10">
        <v>363</v>
      </c>
      <c r="Q266" s="11"/>
      <c r="R266" s="11"/>
    </row>
    <row r="267" spans="1:18" x14ac:dyDescent="0.2">
      <c r="A267" s="10" t="s">
        <v>100</v>
      </c>
      <c r="B267" s="10" t="s">
        <v>117</v>
      </c>
      <c r="C267" s="10" t="s">
        <v>46</v>
      </c>
      <c r="D267" s="10">
        <v>94108</v>
      </c>
      <c r="E267" s="10" t="s">
        <v>10</v>
      </c>
      <c r="F267" s="10">
        <v>91</v>
      </c>
      <c r="Q267" s="11"/>
      <c r="R267" s="11"/>
    </row>
    <row r="268" spans="1:18" x14ac:dyDescent="0.2">
      <c r="A268" s="10" t="s">
        <v>100</v>
      </c>
      <c r="B268" s="10" t="s">
        <v>125</v>
      </c>
      <c r="C268" s="10" t="s">
        <v>46</v>
      </c>
      <c r="D268" s="10">
        <v>93637</v>
      </c>
      <c r="E268" s="10" t="s">
        <v>6</v>
      </c>
      <c r="F268" s="10">
        <v>788</v>
      </c>
      <c r="Q268" s="11"/>
      <c r="R268" s="11"/>
    </row>
    <row r="269" spans="1:18" x14ac:dyDescent="0.2">
      <c r="A269" s="10" t="s">
        <v>100</v>
      </c>
      <c r="B269" s="10" t="s">
        <v>116</v>
      </c>
      <c r="C269" s="10" t="s">
        <v>46</v>
      </c>
      <c r="D269" s="10">
        <v>93036</v>
      </c>
      <c r="E269" s="10" t="s">
        <v>5</v>
      </c>
      <c r="F269" s="10">
        <v>2618</v>
      </c>
      <c r="Q269" s="11"/>
      <c r="R269" s="11"/>
    </row>
    <row r="270" spans="1:18" x14ac:dyDescent="0.2">
      <c r="A270" s="10" t="s">
        <v>100</v>
      </c>
      <c r="B270" s="10" t="s">
        <v>124</v>
      </c>
      <c r="C270" s="10" t="s">
        <v>46</v>
      </c>
      <c r="D270" s="10">
        <v>94945</v>
      </c>
      <c r="E270" s="10" t="s">
        <v>5</v>
      </c>
      <c r="F270" s="10">
        <v>2445</v>
      </c>
      <c r="Q270" s="11"/>
      <c r="R270" s="11"/>
    </row>
    <row r="271" spans="1:18" x14ac:dyDescent="0.2">
      <c r="A271" s="10" t="s">
        <v>100</v>
      </c>
      <c r="B271" s="10" t="s">
        <v>121</v>
      </c>
      <c r="C271" s="10" t="s">
        <v>46</v>
      </c>
      <c r="D271" s="10">
        <v>95207</v>
      </c>
      <c r="E271" s="10" t="s">
        <v>6</v>
      </c>
      <c r="F271" s="10">
        <v>875</v>
      </c>
      <c r="Q271" s="11"/>
      <c r="R271" s="11"/>
    </row>
    <row r="272" spans="1:18" x14ac:dyDescent="0.2">
      <c r="A272" s="10" t="s">
        <v>100</v>
      </c>
      <c r="B272" s="10" t="s">
        <v>113</v>
      </c>
      <c r="C272" s="10" t="s">
        <v>46</v>
      </c>
      <c r="D272" s="10">
        <v>95819</v>
      </c>
      <c r="E272" s="10" t="s">
        <v>6</v>
      </c>
      <c r="F272" s="10">
        <v>800</v>
      </c>
      <c r="Q272" s="11"/>
      <c r="R272" s="11"/>
    </row>
    <row r="273" spans="1:18" x14ac:dyDescent="0.2">
      <c r="A273" s="10" t="s">
        <v>100</v>
      </c>
      <c r="B273" s="10" t="s">
        <v>113</v>
      </c>
      <c r="C273" s="10" t="s">
        <v>46</v>
      </c>
      <c r="D273" s="10">
        <v>95825</v>
      </c>
      <c r="E273" s="10" t="s">
        <v>7</v>
      </c>
      <c r="F273" s="10">
        <v>1585</v>
      </c>
      <c r="Q273" s="11"/>
      <c r="R273" s="11"/>
    </row>
    <row r="274" spans="1:18" x14ac:dyDescent="0.2">
      <c r="A274" s="10" t="s">
        <v>100</v>
      </c>
      <c r="B274" s="10" t="s">
        <v>113</v>
      </c>
      <c r="C274" s="10" t="s">
        <v>46</v>
      </c>
      <c r="D274" s="10">
        <v>95624</v>
      </c>
      <c r="E274" s="10" t="s">
        <v>5</v>
      </c>
      <c r="F274" s="10">
        <v>1264</v>
      </c>
      <c r="Q274" s="11"/>
      <c r="R274" s="11"/>
    </row>
    <row r="275" spans="1:18" x14ac:dyDescent="0.2">
      <c r="A275" s="10" t="s">
        <v>100</v>
      </c>
      <c r="B275" s="10" t="s">
        <v>113</v>
      </c>
      <c r="C275" s="10" t="s">
        <v>46</v>
      </c>
      <c r="D275" s="10">
        <v>95610</v>
      </c>
      <c r="E275" s="10" t="s">
        <v>5</v>
      </c>
      <c r="F275" s="10">
        <v>1087</v>
      </c>
      <c r="Q275" s="11"/>
      <c r="R275" s="11"/>
    </row>
    <row r="276" spans="1:18" x14ac:dyDescent="0.2">
      <c r="A276" s="10" t="s">
        <v>100</v>
      </c>
      <c r="B276" s="10" t="s">
        <v>120</v>
      </c>
      <c r="C276" s="10" t="s">
        <v>46</v>
      </c>
      <c r="D276" s="10">
        <v>95687</v>
      </c>
      <c r="E276" s="10" t="s">
        <v>5</v>
      </c>
      <c r="F276" s="10">
        <v>1595</v>
      </c>
      <c r="Q276" s="11"/>
      <c r="R276" s="11"/>
    </row>
    <row r="277" spans="1:18" x14ac:dyDescent="0.2">
      <c r="A277" s="10" t="s">
        <v>100</v>
      </c>
      <c r="B277" s="10" t="s">
        <v>121</v>
      </c>
      <c r="C277" s="10" t="s">
        <v>46</v>
      </c>
      <c r="D277" s="10">
        <v>95207</v>
      </c>
      <c r="E277" s="10" t="s">
        <v>7</v>
      </c>
      <c r="F277" s="10">
        <v>1932</v>
      </c>
      <c r="Q277" s="11"/>
      <c r="R277" s="11"/>
    </row>
    <row r="278" spans="1:18" x14ac:dyDescent="0.2">
      <c r="A278" s="10" t="s">
        <v>100</v>
      </c>
      <c r="B278" s="10" t="s">
        <v>112</v>
      </c>
      <c r="C278" s="10" t="s">
        <v>46</v>
      </c>
      <c r="D278" s="10">
        <v>92832</v>
      </c>
      <c r="E278" s="10" t="s">
        <v>6</v>
      </c>
      <c r="F278" s="10">
        <v>2380</v>
      </c>
      <c r="Q278" s="11"/>
      <c r="R278" s="11"/>
    </row>
    <row r="279" spans="1:18" x14ac:dyDescent="0.2">
      <c r="A279" s="10" t="s">
        <v>100</v>
      </c>
      <c r="B279" s="10" t="s">
        <v>112</v>
      </c>
      <c r="C279" s="10" t="s">
        <v>46</v>
      </c>
      <c r="D279" s="10">
        <v>92831</v>
      </c>
      <c r="E279" s="10" t="s">
        <v>6</v>
      </c>
      <c r="F279" s="10">
        <v>3525</v>
      </c>
      <c r="Q279" s="11"/>
      <c r="R279" s="11"/>
    </row>
    <row r="280" spans="1:18" x14ac:dyDescent="0.2">
      <c r="A280" s="10" t="s">
        <v>100</v>
      </c>
      <c r="B280" s="10" t="s">
        <v>112</v>
      </c>
      <c r="C280" s="10" t="s">
        <v>46</v>
      </c>
      <c r="D280" s="10">
        <v>92691</v>
      </c>
      <c r="E280" s="10" t="s">
        <v>7</v>
      </c>
      <c r="F280" s="10">
        <v>968</v>
      </c>
      <c r="Q280" s="11"/>
      <c r="R280" s="11"/>
    </row>
    <row r="281" spans="1:18" x14ac:dyDescent="0.2">
      <c r="A281" s="10" t="s">
        <v>100</v>
      </c>
      <c r="B281" s="10" t="s">
        <v>115</v>
      </c>
      <c r="C281" s="10" t="s">
        <v>46</v>
      </c>
      <c r="D281" s="10">
        <v>95118</v>
      </c>
      <c r="E281" s="10" t="s">
        <v>7</v>
      </c>
      <c r="F281" s="10">
        <v>1656</v>
      </c>
      <c r="Q281" s="11"/>
      <c r="R281" s="11"/>
    </row>
    <row r="282" spans="1:18" x14ac:dyDescent="0.2">
      <c r="A282" s="10" t="s">
        <v>100</v>
      </c>
      <c r="B282" s="10" t="s">
        <v>112</v>
      </c>
      <c r="C282" s="10" t="s">
        <v>46</v>
      </c>
      <c r="D282" s="10">
        <v>92688</v>
      </c>
      <c r="E282" s="10" t="s">
        <v>5</v>
      </c>
      <c r="F282" s="10">
        <v>988</v>
      </c>
      <c r="Q282" s="11"/>
      <c r="R282" s="11"/>
    </row>
    <row r="283" spans="1:18" x14ac:dyDescent="0.2">
      <c r="A283" s="10" t="s">
        <v>100</v>
      </c>
      <c r="B283" s="10" t="s">
        <v>115</v>
      </c>
      <c r="C283" s="10" t="s">
        <v>46</v>
      </c>
      <c r="D283" s="10">
        <v>95008</v>
      </c>
      <c r="E283" s="10" t="s">
        <v>5</v>
      </c>
      <c r="F283" s="10">
        <v>2230</v>
      </c>
      <c r="Q283" s="11"/>
      <c r="R283" s="11"/>
    </row>
    <row r="284" spans="1:18" x14ac:dyDescent="0.2">
      <c r="A284" s="10" t="s">
        <v>100</v>
      </c>
      <c r="B284" s="10" t="s">
        <v>114</v>
      </c>
      <c r="C284" s="10" t="s">
        <v>46</v>
      </c>
      <c r="D284" s="10">
        <v>94596</v>
      </c>
      <c r="E284" s="10" t="s">
        <v>10</v>
      </c>
      <c r="F284" s="10">
        <v>773</v>
      </c>
      <c r="Q284" s="11"/>
      <c r="R284" s="11"/>
    </row>
    <row r="285" spans="1:18" x14ac:dyDescent="0.2">
      <c r="A285" s="10" t="s">
        <v>100</v>
      </c>
      <c r="B285" s="10" t="s">
        <v>114</v>
      </c>
      <c r="C285" s="10" t="s">
        <v>46</v>
      </c>
      <c r="D285" s="10">
        <v>94583</v>
      </c>
      <c r="E285" s="10" t="s">
        <v>10</v>
      </c>
      <c r="F285" s="10">
        <v>1747</v>
      </c>
      <c r="Q285" s="11"/>
      <c r="R285" s="11"/>
    </row>
    <row r="286" spans="1:18" x14ac:dyDescent="0.2">
      <c r="A286" s="10" t="s">
        <v>100</v>
      </c>
      <c r="B286" s="10" t="s">
        <v>114</v>
      </c>
      <c r="C286" s="10" t="s">
        <v>46</v>
      </c>
      <c r="D286" s="10">
        <v>94521</v>
      </c>
      <c r="E286" s="10" t="s">
        <v>5</v>
      </c>
      <c r="F286" s="10">
        <v>1313</v>
      </c>
      <c r="Q286" s="11"/>
      <c r="R286" s="11"/>
    </row>
    <row r="287" spans="1:18" x14ac:dyDescent="0.2">
      <c r="A287" s="10" t="s">
        <v>100</v>
      </c>
      <c r="B287" s="10" t="s">
        <v>112</v>
      </c>
      <c r="C287" s="10" t="s">
        <v>46</v>
      </c>
      <c r="D287" s="10">
        <v>92821</v>
      </c>
      <c r="E287" s="10" t="s">
        <v>5</v>
      </c>
      <c r="F287" s="10">
        <v>2205</v>
      </c>
      <c r="Q287" s="11"/>
      <c r="R287" s="11"/>
    </row>
    <row r="288" spans="1:18" x14ac:dyDescent="0.2">
      <c r="A288" s="10" t="s">
        <v>100</v>
      </c>
      <c r="B288" s="10" t="s">
        <v>112</v>
      </c>
      <c r="C288" s="10" t="s">
        <v>46</v>
      </c>
      <c r="D288" s="10">
        <v>92606</v>
      </c>
      <c r="E288" s="10" t="s">
        <v>5</v>
      </c>
      <c r="F288" s="10">
        <v>1457</v>
      </c>
      <c r="Q288" s="11"/>
      <c r="R288" s="11"/>
    </row>
    <row r="289" spans="1:18" x14ac:dyDescent="0.2">
      <c r="A289" s="10" t="s">
        <v>100</v>
      </c>
      <c r="B289" s="10" t="s">
        <v>112</v>
      </c>
      <c r="C289" s="10" t="s">
        <v>46</v>
      </c>
      <c r="D289" s="10">
        <v>92612</v>
      </c>
      <c r="E289" s="10" t="s">
        <v>6</v>
      </c>
      <c r="F289" s="10">
        <v>814</v>
      </c>
      <c r="Q289" s="11"/>
      <c r="R289" s="11"/>
    </row>
    <row r="290" spans="1:18" x14ac:dyDescent="0.2">
      <c r="A290" s="10" t="s">
        <v>100</v>
      </c>
      <c r="B290" s="10" t="s">
        <v>112</v>
      </c>
      <c r="C290" s="10" t="s">
        <v>46</v>
      </c>
      <c r="D290" s="10">
        <v>92626</v>
      </c>
      <c r="E290" s="10" t="s">
        <v>10</v>
      </c>
      <c r="F290" s="10">
        <v>1516</v>
      </c>
      <c r="Q290" s="11"/>
      <c r="R290" s="11"/>
    </row>
    <row r="291" spans="1:18" x14ac:dyDescent="0.2">
      <c r="A291" s="10" t="s">
        <v>100</v>
      </c>
      <c r="B291" s="10" t="s">
        <v>112</v>
      </c>
      <c r="C291" s="10" t="s">
        <v>46</v>
      </c>
      <c r="D291" s="10">
        <v>92647</v>
      </c>
      <c r="E291" s="10" t="s">
        <v>10</v>
      </c>
      <c r="F291" s="10">
        <v>1861</v>
      </c>
      <c r="Q291" s="11"/>
      <c r="R291" s="11"/>
    </row>
    <row r="292" spans="1:18" x14ac:dyDescent="0.2">
      <c r="A292" s="10" t="s">
        <v>100</v>
      </c>
      <c r="B292" s="10" t="s">
        <v>115</v>
      </c>
      <c r="C292" s="10" t="s">
        <v>46</v>
      </c>
      <c r="D292" s="10">
        <v>95037</v>
      </c>
      <c r="E292" s="10" t="s">
        <v>5</v>
      </c>
      <c r="F292" s="10">
        <v>1371</v>
      </c>
      <c r="Q292" s="11"/>
      <c r="R292" s="11"/>
    </row>
    <row r="293" spans="1:18" x14ac:dyDescent="0.2">
      <c r="A293" s="10" t="s">
        <v>100</v>
      </c>
      <c r="B293" s="10" t="s">
        <v>126</v>
      </c>
      <c r="C293" s="10" t="s">
        <v>47</v>
      </c>
      <c r="D293" s="10">
        <v>92110</v>
      </c>
      <c r="E293" s="10" t="s">
        <v>6</v>
      </c>
      <c r="F293" s="10">
        <v>345</v>
      </c>
      <c r="Q293" s="11"/>
      <c r="R293" s="11"/>
    </row>
    <row r="294" spans="1:18" x14ac:dyDescent="0.2">
      <c r="A294" s="10" t="s">
        <v>100</v>
      </c>
      <c r="B294" s="10" t="s">
        <v>127</v>
      </c>
      <c r="C294" s="10" t="s">
        <v>47</v>
      </c>
      <c r="D294" s="10">
        <v>90048</v>
      </c>
      <c r="E294" s="10" t="s">
        <v>8</v>
      </c>
      <c r="F294" s="10">
        <v>424</v>
      </c>
      <c r="Q294" s="11"/>
      <c r="R294" s="11"/>
    </row>
    <row r="295" spans="1:18" x14ac:dyDescent="0.2">
      <c r="A295" s="10" t="s">
        <v>100</v>
      </c>
      <c r="B295" s="10" t="s">
        <v>128</v>
      </c>
      <c r="C295" s="10" t="s">
        <v>47</v>
      </c>
      <c r="D295" s="10">
        <v>92591</v>
      </c>
      <c r="E295" s="10" t="s">
        <v>6</v>
      </c>
      <c r="F295" s="10">
        <v>1947</v>
      </c>
      <c r="Q295" s="11"/>
      <c r="R295" s="11"/>
    </row>
    <row r="296" spans="1:18" x14ac:dyDescent="0.2">
      <c r="A296" s="10" t="s">
        <v>100</v>
      </c>
      <c r="B296" s="10" t="s">
        <v>127</v>
      </c>
      <c r="C296" s="10" t="s">
        <v>47</v>
      </c>
      <c r="D296" s="10">
        <v>90230</v>
      </c>
      <c r="E296" s="10" t="s">
        <v>6</v>
      </c>
      <c r="F296" s="10">
        <v>3003</v>
      </c>
      <c r="Q296" s="11"/>
      <c r="R296" s="11"/>
    </row>
    <row r="297" spans="1:18" x14ac:dyDescent="0.2">
      <c r="A297" s="10" t="s">
        <v>100</v>
      </c>
      <c r="B297" s="10" t="s">
        <v>127</v>
      </c>
      <c r="C297" s="10" t="s">
        <v>47</v>
      </c>
      <c r="D297" s="10">
        <v>90241</v>
      </c>
      <c r="E297" s="10" t="s">
        <v>7</v>
      </c>
      <c r="F297" s="10">
        <v>1647</v>
      </c>
      <c r="Q297" s="11"/>
      <c r="R297" s="11"/>
    </row>
    <row r="298" spans="1:18" x14ac:dyDescent="0.2">
      <c r="A298" s="10" t="s">
        <v>100</v>
      </c>
      <c r="B298" s="10" t="s">
        <v>127</v>
      </c>
      <c r="C298" s="10" t="s">
        <v>47</v>
      </c>
      <c r="D298" s="10">
        <v>90024</v>
      </c>
      <c r="E298" s="10" t="s">
        <v>10</v>
      </c>
      <c r="F298" s="10">
        <v>440</v>
      </c>
      <c r="Q298" s="11"/>
      <c r="R298" s="11"/>
    </row>
    <row r="299" spans="1:18" x14ac:dyDescent="0.2">
      <c r="A299" s="10" t="s">
        <v>100</v>
      </c>
      <c r="B299" s="10" t="s">
        <v>127</v>
      </c>
      <c r="C299" s="10" t="s">
        <v>47</v>
      </c>
      <c r="D299" s="10">
        <v>90035</v>
      </c>
      <c r="E299" s="10" t="s">
        <v>6</v>
      </c>
      <c r="F299" s="10">
        <v>374</v>
      </c>
      <c r="Q299" s="11"/>
      <c r="R299" s="11"/>
    </row>
    <row r="300" spans="1:18" x14ac:dyDescent="0.2">
      <c r="A300" s="10" t="s">
        <v>100</v>
      </c>
      <c r="B300" s="10" t="s">
        <v>127</v>
      </c>
      <c r="C300" s="10" t="s">
        <v>47</v>
      </c>
      <c r="D300" s="10">
        <v>90036</v>
      </c>
      <c r="E300" s="10" t="s">
        <v>6</v>
      </c>
      <c r="F300" s="10">
        <v>904</v>
      </c>
      <c r="Q300" s="11"/>
      <c r="R300" s="11"/>
    </row>
    <row r="301" spans="1:18" x14ac:dyDescent="0.2">
      <c r="A301" s="10" t="s">
        <v>100</v>
      </c>
      <c r="B301" s="10" t="s">
        <v>128</v>
      </c>
      <c r="C301" s="10" t="s">
        <v>47</v>
      </c>
      <c r="D301" s="10">
        <v>92584</v>
      </c>
      <c r="E301" s="10" t="s">
        <v>5</v>
      </c>
      <c r="F301" s="10">
        <v>1581</v>
      </c>
      <c r="Q301" s="11"/>
      <c r="R301" s="11"/>
    </row>
    <row r="302" spans="1:18" x14ac:dyDescent="0.2">
      <c r="A302" s="10" t="s">
        <v>100</v>
      </c>
      <c r="B302" s="10" t="s">
        <v>127</v>
      </c>
      <c r="C302" s="10" t="s">
        <v>47</v>
      </c>
      <c r="D302" s="10">
        <v>90036</v>
      </c>
      <c r="E302" s="10" t="s">
        <v>5</v>
      </c>
      <c r="F302" s="10">
        <v>1037</v>
      </c>
      <c r="Q302" s="11"/>
      <c r="R302" s="11"/>
    </row>
    <row r="303" spans="1:18" x14ac:dyDescent="0.2">
      <c r="A303" s="10" t="s">
        <v>100</v>
      </c>
      <c r="B303" s="10" t="s">
        <v>127</v>
      </c>
      <c r="C303" s="10" t="s">
        <v>47</v>
      </c>
      <c r="D303" s="10">
        <v>90255</v>
      </c>
      <c r="E303" s="10" t="s">
        <v>5</v>
      </c>
      <c r="F303" s="10">
        <v>1747</v>
      </c>
      <c r="Q303" s="11"/>
      <c r="R303" s="11"/>
    </row>
    <row r="304" spans="1:18" x14ac:dyDescent="0.2">
      <c r="A304" s="10" t="s">
        <v>100</v>
      </c>
      <c r="B304" s="10" t="s">
        <v>129</v>
      </c>
      <c r="C304" s="10" t="s">
        <v>47</v>
      </c>
      <c r="D304" s="10">
        <v>94705</v>
      </c>
      <c r="E304" s="10" t="s">
        <v>9</v>
      </c>
      <c r="F304" s="10">
        <v>26</v>
      </c>
      <c r="Q304" s="11"/>
      <c r="R304" s="11"/>
    </row>
    <row r="305" spans="1:18" x14ac:dyDescent="0.2">
      <c r="A305" s="10" t="s">
        <v>100</v>
      </c>
      <c r="B305" s="10" t="s">
        <v>127</v>
      </c>
      <c r="C305" s="10" t="s">
        <v>47</v>
      </c>
      <c r="D305" s="10">
        <v>90065</v>
      </c>
      <c r="E305" s="10" t="s">
        <v>5</v>
      </c>
      <c r="F305" s="10">
        <v>1580</v>
      </c>
      <c r="Q305" s="11"/>
      <c r="R305" s="11"/>
    </row>
    <row r="306" spans="1:18" x14ac:dyDescent="0.2">
      <c r="A306" s="10" t="s">
        <v>100</v>
      </c>
      <c r="B306" s="10" t="s">
        <v>127</v>
      </c>
      <c r="C306" s="10" t="s">
        <v>47</v>
      </c>
      <c r="D306" s="10">
        <v>90242</v>
      </c>
      <c r="E306" s="10" t="s">
        <v>5</v>
      </c>
      <c r="F306" s="10">
        <v>1708</v>
      </c>
      <c r="Q306" s="11"/>
      <c r="R306" s="11"/>
    </row>
    <row r="307" spans="1:18" x14ac:dyDescent="0.2">
      <c r="A307" s="10" t="s">
        <v>100</v>
      </c>
      <c r="B307" s="10" t="s">
        <v>127</v>
      </c>
      <c r="C307" s="10" t="s">
        <v>47</v>
      </c>
      <c r="D307" s="10">
        <v>90245</v>
      </c>
      <c r="E307" s="10" t="s">
        <v>10</v>
      </c>
      <c r="F307" s="10">
        <v>239</v>
      </c>
      <c r="Q307" s="11"/>
      <c r="R307" s="11"/>
    </row>
    <row r="308" spans="1:18" x14ac:dyDescent="0.2">
      <c r="A308" s="10" t="s">
        <v>100</v>
      </c>
      <c r="B308" s="10" t="s">
        <v>127</v>
      </c>
      <c r="C308" s="10" t="s">
        <v>47</v>
      </c>
      <c r="D308" s="10">
        <v>90291</v>
      </c>
      <c r="E308" s="10" t="s">
        <v>5</v>
      </c>
      <c r="F308" s="10">
        <v>855</v>
      </c>
      <c r="Q308" s="11"/>
      <c r="R308" s="11"/>
    </row>
    <row r="309" spans="1:18" x14ac:dyDescent="0.2">
      <c r="A309" s="10" t="s">
        <v>100</v>
      </c>
      <c r="B309" s="10" t="s">
        <v>127</v>
      </c>
      <c r="C309" s="10" t="s">
        <v>47</v>
      </c>
      <c r="D309" s="10">
        <v>90247</v>
      </c>
      <c r="E309" s="10" t="s">
        <v>5</v>
      </c>
      <c r="F309" s="10">
        <v>1566</v>
      </c>
      <c r="Q309" s="11"/>
      <c r="R309" s="11"/>
    </row>
    <row r="310" spans="1:18" x14ac:dyDescent="0.2">
      <c r="A310" s="10" t="s">
        <v>100</v>
      </c>
      <c r="B310" s="10" t="s">
        <v>127</v>
      </c>
      <c r="C310" s="10" t="s">
        <v>47</v>
      </c>
      <c r="D310" s="10">
        <v>90503</v>
      </c>
      <c r="E310" s="10" t="s">
        <v>6</v>
      </c>
      <c r="F310" s="10">
        <v>2003</v>
      </c>
      <c r="Q310" s="11"/>
      <c r="R310" s="11"/>
    </row>
    <row r="311" spans="1:18" x14ac:dyDescent="0.2">
      <c r="A311" s="10" t="s">
        <v>100</v>
      </c>
      <c r="B311" s="10" t="s">
        <v>127</v>
      </c>
      <c r="C311" s="10" t="s">
        <v>47</v>
      </c>
      <c r="D311" s="10">
        <v>90650</v>
      </c>
      <c r="E311" s="10" t="s">
        <v>6</v>
      </c>
      <c r="F311" s="10">
        <v>1373</v>
      </c>
      <c r="Q311" s="11"/>
      <c r="R311" s="11"/>
    </row>
    <row r="312" spans="1:18" x14ac:dyDescent="0.2">
      <c r="A312" s="10" t="s">
        <v>100</v>
      </c>
      <c r="B312" s="10" t="s">
        <v>127</v>
      </c>
      <c r="C312" s="10" t="s">
        <v>47</v>
      </c>
      <c r="D312" s="10">
        <v>90603</v>
      </c>
      <c r="E312" s="10" t="s">
        <v>6</v>
      </c>
      <c r="F312" s="10">
        <v>1068</v>
      </c>
      <c r="Q312" s="11"/>
      <c r="R312" s="11"/>
    </row>
    <row r="313" spans="1:18" x14ac:dyDescent="0.2">
      <c r="A313" s="10" t="s">
        <v>100</v>
      </c>
      <c r="B313" s="10" t="s">
        <v>127</v>
      </c>
      <c r="C313" s="10" t="s">
        <v>47</v>
      </c>
      <c r="D313" s="10">
        <v>90503</v>
      </c>
      <c r="E313" s="10" t="s">
        <v>5</v>
      </c>
      <c r="F313" s="10">
        <v>853</v>
      </c>
      <c r="Q313" s="11"/>
      <c r="R313" s="11"/>
    </row>
    <row r="314" spans="1:18" x14ac:dyDescent="0.2">
      <c r="A314" s="10" t="s">
        <v>100</v>
      </c>
      <c r="B314" s="10" t="s">
        <v>130</v>
      </c>
      <c r="C314" s="10" t="s">
        <v>47</v>
      </c>
      <c r="D314" s="10">
        <v>93720</v>
      </c>
      <c r="E314" s="10" t="s">
        <v>7</v>
      </c>
      <c r="F314" s="10">
        <v>1572</v>
      </c>
      <c r="Q314" s="11"/>
      <c r="R314" s="11"/>
    </row>
    <row r="315" spans="1:18" x14ac:dyDescent="0.2">
      <c r="A315" s="10" t="s">
        <v>100</v>
      </c>
      <c r="B315" s="10" t="s">
        <v>127</v>
      </c>
      <c r="C315" s="10" t="s">
        <v>47</v>
      </c>
      <c r="D315" s="10">
        <v>90712</v>
      </c>
      <c r="E315" s="10" t="s">
        <v>7</v>
      </c>
      <c r="F315" s="10">
        <v>1925</v>
      </c>
      <c r="Q315" s="11"/>
      <c r="R315" s="11"/>
    </row>
    <row r="316" spans="1:18" x14ac:dyDescent="0.2">
      <c r="A316" s="10" t="s">
        <v>100</v>
      </c>
      <c r="B316" s="10" t="s">
        <v>130</v>
      </c>
      <c r="C316" s="10" t="s">
        <v>47</v>
      </c>
      <c r="D316" s="10">
        <v>93710</v>
      </c>
      <c r="E316" s="10" t="s">
        <v>6</v>
      </c>
      <c r="F316" s="10">
        <v>1197</v>
      </c>
      <c r="Q316" s="11"/>
      <c r="R316" s="11"/>
    </row>
    <row r="317" spans="1:18" x14ac:dyDescent="0.2">
      <c r="A317" s="10" t="s">
        <v>100</v>
      </c>
      <c r="B317" s="10" t="s">
        <v>127</v>
      </c>
      <c r="C317" s="10" t="s">
        <v>47</v>
      </c>
      <c r="D317" s="10">
        <v>90732</v>
      </c>
      <c r="E317" s="10" t="s">
        <v>6</v>
      </c>
      <c r="F317" s="10">
        <v>3753</v>
      </c>
      <c r="Q317" s="11"/>
      <c r="R317" s="11"/>
    </row>
    <row r="318" spans="1:18" x14ac:dyDescent="0.2">
      <c r="A318" s="10" t="s">
        <v>100</v>
      </c>
      <c r="B318" s="10" t="s">
        <v>126</v>
      </c>
      <c r="C318" s="10" t="s">
        <v>47</v>
      </c>
      <c r="D318" s="10">
        <v>91950</v>
      </c>
      <c r="E318" s="10" t="s">
        <v>6</v>
      </c>
      <c r="F318" s="10">
        <v>2126</v>
      </c>
      <c r="Q318" s="11"/>
      <c r="R318" s="11"/>
    </row>
    <row r="319" spans="1:18" x14ac:dyDescent="0.2">
      <c r="A319" s="10" t="s">
        <v>100</v>
      </c>
      <c r="B319" s="10" t="s">
        <v>128</v>
      </c>
      <c r="C319" s="10" t="s">
        <v>47</v>
      </c>
      <c r="D319" s="10">
        <v>92592</v>
      </c>
      <c r="E319" s="10" t="s">
        <v>5</v>
      </c>
      <c r="F319" s="10">
        <v>2238</v>
      </c>
      <c r="Q319" s="11"/>
      <c r="R319" s="11"/>
    </row>
    <row r="320" spans="1:18" x14ac:dyDescent="0.2">
      <c r="A320" s="10" t="s">
        <v>100</v>
      </c>
      <c r="B320" s="10" t="s">
        <v>127</v>
      </c>
      <c r="C320" s="10" t="s">
        <v>47</v>
      </c>
      <c r="D320" s="10">
        <v>90008</v>
      </c>
      <c r="E320" s="10" t="s">
        <v>5</v>
      </c>
      <c r="F320" s="10">
        <v>2026</v>
      </c>
      <c r="Q320" s="11"/>
      <c r="R320" s="11"/>
    </row>
    <row r="321" spans="1:18" x14ac:dyDescent="0.2">
      <c r="A321" s="10" t="s">
        <v>100</v>
      </c>
      <c r="B321" s="10" t="s">
        <v>127</v>
      </c>
      <c r="C321" s="10" t="s">
        <v>47</v>
      </c>
      <c r="D321" s="10">
        <v>90292</v>
      </c>
      <c r="E321" s="10" t="s">
        <v>10</v>
      </c>
      <c r="F321" s="10">
        <v>252</v>
      </c>
      <c r="Q321" s="11"/>
      <c r="R321" s="11"/>
    </row>
    <row r="322" spans="1:18" x14ac:dyDescent="0.2">
      <c r="A322" s="10" t="s">
        <v>100</v>
      </c>
      <c r="B322" s="10" t="s">
        <v>127</v>
      </c>
      <c r="C322" s="10" t="s">
        <v>47</v>
      </c>
      <c r="D322" s="10">
        <v>90303</v>
      </c>
      <c r="E322" s="10" t="s">
        <v>5</v>
      </c>
      <c r="F322" s="10">
        <v>1664</v>
      </c>
      <c r="Q322" s="11"/>
      <c r="R322" s="11"/>
    </row>
    <row r="323" spans="1:18" x14ac:dyDescent="0.2">
      <c r="A323" s="10" t="s">
        <v>100</v>
      </c>
      <c r="B323" s="10" t="s">
        <v>127</v>
      </c>
      <c r="C323" s="10" t="s">
        <v>47</v>
      </c>
      <c r="D323" s="10">
        <v>90401</v>
      </c>
      <c r="E323" s="10" t="s">
        <v>10</v>
      </c>
      <c r="F323" s="10">
        <v>138</v>
      </c>
      <c r="Q323" s="11"/>
      <c r="R323" s="11"/>
    </row>
    <row r="324" spans="1:18" x14ac:dyDescent="0.2">
      <c r="A324" s="10" t="s">
        <v>100</v>
      </c>
      <c r="B324" s="10" t="s">
        <v>127</v>
      </c>
      <c r="C324" s="10" t="s">
        <v>47</v>
      </c>
      <c r="D324" s="10">
        <v>90403</v>
      </c>
      <c r="E324" s="10" t="s">
        <v>9</v>
      </c>
      <c r="F324" s="10">
        <v>452</v>
      </c>
      <c r="Q324" s="11"/>
      <c r="R324" s="11"/>
    </row>
    <row r="325" spans="1:18" x14ac:dyDescent="0.2">
      <c r="A325" s="10" t="s">
        <v>100</v>
      </c>
      <c r="B325" s="10" t="s">
        <v>127</v>
      </c>
      <c r="C325" s="10" t="s">
        <v>47</v>
      </c>
      <c r="D325" s="10">
        <v>90745</v>
      </c>
      <c r="E325" s="10" t="s">
        <v>5</v>
      </c>
      <c r="F325" s="10">
        <v>1262</v>
      </c>
      <c r="Q325" s="11"/>
      <c r="R325" s="11"/>
    </row>
    <row r="326" spans="1:18" x14ac:dyDescent="0.2">
      <c r="A326" s="10" t="s">
        <v>100</v>
      </c>
      <c r="B326" s="10" t="s">
        <v>127</v>
      </c>
      <c r="C326" s="10" t="s">
        <v>47</v>
      </c>
      <c r="D326" s="10">
        <v>91105</v>
      </c>
      <c r="E326" s="10" t="s">
        <v>10</v>
      </c>
      <c r="F326" s="10">
        <v>1179</v>
      </c>
      <c r="Q326" s="11"/>
      <c r="R326" s="11"/>
    </row>
    <row r="327" spans="1:18" x14ac:dyDescent="0.2">
      <c r="A327" s="10" t="s">
        <v>100</v>
      </c>
      <c r="B327" s="10" t="s">
        <v>127</v>
      </c>
      <c r="C327" s="10" t="s">
        <v>47</v>
      </c>
      <c r="D327" s="10">
        <v>90036</v>
      </c>
      <c r="E327" s="10" t="s">
        <v>10</v>
      </c>
      <c r="F327" s="10">
        <v>909</v>
      </c>
      <c r="Q327" s="11"/>
      <c r="R327" s="11"/>
    </row>
    <row r="328" spans="1:18" x14ac:dyDescent="0.2">
      <c r="A328" s="10" t="s">
        <v>100</v>
      </c>
      <c r="B328" s="10" t="s">
        <v>126</v>
      </c>
      <c r="C328" s="10" t="s">
        <v>47</v>
      </c>
      <c r="D328" s="10">
        <v>92009</v>
      </c>
      <c r="E328" s="10" t="s">
        <v>10</v>
      </c>
      <c r="F328" s="10">
        <v>1673</v>
      </c>
      <c r="Q328" s="11"/>
      <c r="R328" s="11"/>
    </row>
    <row r="329" spans="1:18" x14ac:dyDescent="0.2">
      <c r="A329" s="10" t="s">
        <v>100</v>
      </c>
      <c r="B329" s="10" t="s">
        <v>127</v>
      </c>
      <c r="C329" s="10" t="s">
        <v>47</v>
      </c>
      <c r="D329" s="10">
        <v>91342</v>
      </c>
      <c r="E329" s="10" t="s">
        <v>6</v>
      </c>
      <c r="F329" s="10">
        <v>1800</v>
      </c>
      <c r="Q329" s="11"/>
      <c r="R329" s="11"/>
    </row>
    <row r="330" spans="1:18" x14ac:dyDescent="0.2">
      <c r="A330" s="10" t="s">
        <v>100</v>
      </c>
      <c r="B330" s="10" t="s">
        <v>126</v>
      </c>
      <c r="C330" s="10" t="s">
        <v>47</v>
      </c>
      <c r="D330" s="10">
        <v>92020</v>
      </c>
      <c r="E330" s="10" t="s">
        <v>6</v>
      </c>
      <c r="F330" s="10">
        <v>2461</v>
      </c>
      <c r="Q330" s="11"/>
      <c r="R330" s="11"/>
    </row>
    <row r="331" spans="1:18" x14ac:dyDescent="0.2">
      <c r="A331" s="10" t="s">
        <v>100</v>
      </c>
      <c r="B331" s="10" t="s">
        <v>126</v>
      </c>
      <c r="C331" s="10" t="s">
        <v>47</v>
      </c>
      <c r="D331" s="10">
        <v>92108</v>
      </c>
      <c r="E331" s="10" t="s">
        <v>9</v>
      </c>
      <c r="F331" s="10">
        <v>1044</v>
      </c>
      <c r="Q331" s="11"/>
      <c r="R331" s="11"/>
    </row>
    <row r="332" spans="1:18" x14ac:dyDescent="0.2">
      <c r="A332" s="10" t="s">
        <v>100</v>
      </c>
      <c r="B332" s="10" t="s">
        <v>126</v>
      </c>
      <c r="C332" s="10" t="s">
        <v>47</v>
      </c>
      <c r="D332" s="10">
        <v>92130</v>
      </c>
      <c r="E332" s="10" t="s">
        <v>9</v>
      </c>
      <c r="F332" s="10">
        <v>7988</v>
      </c>
      <c r="Q332" s="11"/>
      <c r="R332" s="11"/>
    </row>
    <row r="333" spans="1:18" x14ac:dyDescent="0.2">
      <c r="A333" s="10" t="s">
        <v>100</v>
      </c>
      <c r="B333" s="10" t="s">
        <v>127</v>
      </c>
      <c r="C333" s="10" t="s">
        <v>47</v>
      </c>
      <c r="D333" s="10">
        <v>91411</v>
      </c>
      <c r="E333" s="10" t="s">
        <v>6</v>
      </c>
      <c r="F333" s="10">
        <v>2290</v>
      </c>
      <c r="Q333" s="11"/>
      <c r="R333" s="11"/>
    </row>
    <row r="334" spans="1:18" x14ac:dyDescent="0.2">
      <c r="A334" s="10" t="s">
        <v>100</v>
      </c>
      <c r="B334" s="10" t="s">
        <v>127</v>
      </c>
      <c r="C334" s="10" t="s">
        <v>47</v>
      </c>
      <c r="D334" s="10">
        <v>91411</v>
      </c>
      <c r="E334" s="10" t="s">
        <v>5</v>
      </c>
      <c r="F334" s="10">
        <v>1966</v>
      </c>
      <c r="Q334" s="11"/>
      <c r="R334" s="11"/>
    </row>
    <row r="335" spans="1:18" x14ac:dyDescent="0.2">
      <c r="A335" s="10" t="s">
        <v>100</v>
      </c>
      <c r="B335" s="10" t="s">
        <v>127</v>
      </c>
      <c r="C335" s="10" t="s">
        <v>47</v>
      </c>
      <c r="D335" s="10">
        <v>91502</v>
      </c>
      <c r="E335" s="10" t="s">
        <v>6</v>
      </c>
      <c r="F335" s="10">
        <v>10689</v>
      </c>
      <c r="Q335" s="11"/>
      <c r="R335" s="11"/>
    </row>
    <row r="336" spans="1:18" x14ac:dyDescent="0.2">
      <c r="A336" s="10" t="s">
        <v>100</v>
      </c>
      <c r="B336" s="10" t="s">
        <v>126</v>
      </c>
      <c r="C336" s="10" t="s">
        <v>47</v>
      </c>
      <c r="D336" s="10">
        <v>92121</v>
      </c>
      <c r="E336" s="10" t="s">
        <v>6</v>
      </c>
      <c r="F336" s="10">
        <v>988</v>
      </c>
      <c r="Q336" s="11"/>
      <c r="R336" s="11"/>
    </row>
    <row r="337" spans="1:18" x14ac:dyDescent="0.2">
      <c r="A337" s="10" t="s">
        <v>100</v>
      </c>
      <c r="B337" s="10" t="s">
        <v>126</v>
      </c>
      <c r="C337" s="10" t="s">
        <v>47</v>
      </c>
      <c r="D337" s="10">
        <v>92111</v>
      </c>
      <c r="E337" s="10" t="s">
        <v>5</v>
      </c>
      <c r="F337" s="10">
        <v>928</v>
      </c>
      <c r="Q337" s="11"/>
      <c r="R337" s="11"/>
    </row>
    <row r="338" spans="1:18" x14ac:dyDescent="0.2">
      <c r="A338" s="10" t="s">
        <v>100</v>
      </c>
      <c r="B338" s="10" t="s">
        <v>130</v>
      </c>
      <c r="C338" s="10" t="s">
        <v>47</v>
      </c>
      <c r="D338" s="10">
        <v>93704</v>
      </c>
      <c r="E338" s="10" t="s">
        <v>10</v>
      </c>
      <c r="F338" s="10">
        <v>1143</v>
      </c>
      <c r="Q338" s="11"/>
      <c r="R338" s="11"/>
    </row>
    <row r="339" spans="1:18" x14ac:dyDescent="0.2">
      <c r="A339" s="10" t="s">
        <v>100</v>
      </c>
      <c r="B339" s="10" t="s">
        <v>127</v>
      </c>
      <c r="C339" s="10" t="s">
        <v>47</v>
      </c>
      <c r="D339" s="10">
        <v>91740</v>
      </c>
      <c r="E339" s="10" t="s">
        <v>5</v>
      </c>
      <c r="F339" s="10">
        <v>2388</v>
      </c>
      <c r="Q339" s="11"/>
      <c r="R339" s="11"/>
    </row>
    <row r="340" spans="1:18" x14ac:dyDescent="0.2">
      <c r="A340" s="10" t="s">
        <v>100</v>
      </c>
      <c r="B340" s="10" t="s">
        <v>127</v>
      </c>
      <c r="C340" s="10" t="s">
        <v>47</v>
      </c>
      <c r="D340" s="10">
        <v>91754</v>
      </c>
      <c r="E340" s="10" t="s">
        <v>5</v>
      </c>
      <c r="F340" s="10">
        <v>1546</v>
      </c>
      <c r="Q340" s="11"/>
      <c r="R340" s="11"/>
    </row>
    <row r="341" spans="1:18" x14ac:dyDescent="0.2">
      <c r="A341" s="10" t="s">
        <v>100</v>
      </c>
      <c r="B341" s="10" t="s">
        <v>129</v>
      </c>
      <c r="C341" s="10" t="s">
        <v>47</v>
      </c>
      <c r="D341" s="10">
        <v>94551</v>
      </c>
      <c r="E341" s="10" t="s">
        <v>8</v>
      </c>
      <c r="F341" s="10">
        <v>31</v>
      </c>
      <c r="Q341" s="11"/>
      <c r="R341" s="11"/>
    </row>
    <row r="342" spans="1:18" x14ac:dyDescent="0.2">
      <c r="A342" s="10" t="s">
        <v>100</v>
      </c>
      <c r="B342" s="10" t="s">
        <v>129</v>
      </c>
      <c r="C342" s="10" t="s">
        <v>47</v>
      </c>
      <c r="D342" s="10">
        <v>94551</v>
      </c>
      <c r="E342" s="10" t="s">
        <v>7</v>
      </c>
      <c r="F342" s="10">
        <v>1021</v>
      </c>
      <c r="Q342" s="11"/>
      <c r="R342" s="11"/>
    </row>
    <row r="343" spans="1:18" x14ac:dyDescent="0.2">
      <c r="A343" s="10" t="s">
        <v>100</v>
      </c>
      <c r="B343" s="10" t="s">
        <v>129</v>
      </c>
      <c r="C343" s="10" t="s">
        <v>47</v>
      </c>
      <c r="D343" s="10">
        <v>94710</v>
      </c>
      <c r="E343" s="10" t="s">
        <v>10</v>
      </c>
      <c r="F343" s="10">
        <v>222</v>
      </c>
      <c r="Q343" s="11"/>
      <c r="R343" s="11"/>
    </row>
    <row r="344" spans="1:18" x14ac:dyDescent="0.2">
      <c r="A344" s="10" t="s">
        <v>100</v>
      </c>
      <c r="B344" s="10" t="s">
        <v>131</v>
      </c>
      <c r="C344" s="10" t="s">
        <v>47</v>
      </c>
      <c r="D344" s="10">
        <v>95482</v>
      </c>
      <c r="E344" s="10" t="s">
        <v>5</v>
      </c>
      <c r="F344" s="10">
        <v>1112</v>
      </c>
      <c r="Q344" s="11"/>
      <c r="R344" s="11"/>
    </row>
    <row r="345" spans="1:18" x14ac:dyDescent="0.2">
      <c r="A345" s="10" t="s">
        <v>100</v>
      </c>
      <c r="B345" s="10" t="s">
        <v>132</v>
      </c>
      <c r="C345" s="10" t="s">
        <v>47</v>
      </c>
      <c r="D345" s="10">
        <v>95380</v>
      </c>
      <c r="E345" s="10" t="s">
        <v>5</v>
      </c>
      <c r="F345" s="10">
        <v>1077</v>
      </c>
      <c r="Q345" s="11"/>
      <c r="R345" s="11"/>
    </row>
    <row r="346" spans="1:18" x14ac:dyDescent="0.2">
      <c r="A346" s="10" t="s">
        <v>100</v>
      </c>
      <c r="B346" s="10" t="s">
        <v>132</v>
      </c>
      <c r="C346" s="10" t="s">
        <v>47</v>
      </c>
      <c r="D346" s="10">
        <v>95367</v>
      </c>
      <c r="E346" s="10" t="s">
        <v>5</v>
      </c>
      <c r="F346" s="10">
        <v>819</v>
      </c>
      <c r="Q346" s="11"/>
      <c r="R346" s="11"/>
    </row>
    <row r="347" spans="1:18" x14ac:dyDescent="0.2">
      <c r="A347" s="10" t="s">
        <v>100</v>
      </c>
      <c r="B347" s="10" t="s">
        <v>132</v>
      </c>
      <c r="C347" s="10" t="s">
        <v>47</v>
      </c>
      <c r="D347" s="10">
        <v>95350</v>
      </c>
      <c r="E347" s="10" t="s">
        <v>6</v>
      </c>
      <c r="F347" s="10">
        <v>3775</v>
      </c>
      <c r="Q347" s="11"/>
      <c r="R347" s="11"/>
    </row>
    <row r="348" spans="1:18" x14ac:dyDescent="0.2">
      <c r="A348" s="10" t="s">
        <v>100</v>
      </c>
      <c r="B348" s="10" t="s">
        <v>133</v>
      </c>
      <c r="C348" s="10" t="s">
        <v>47</v>
      </c>
      <c r="D348" s="10">
        <v>94403</v>
      </c>
      <c r="E348" s="10" t="s">
        <v>6</v>
      </c>
      <c r="F348" s="10">
        <v>1863</v>
      </c>
      <c r="Q348" s="11"/>
      <c r="R348" s="11"/>
    </row>
    <row r="349" spans="1:18" x14ac:dyDescent="0.2">
      <c r="A349" s="10" t="s">
        <v>100</v>
      </c>
      <c r="B349" s="10" t="s">
        <v>133</v>
      </c>
      <c r="C349" s="10" t="s">
        <v>47</v>
      </c>
      <c r="D349" s="10">
        <v>94080</v>
      </c>
      <c r="E349" s="10" t="s">
        <v>5</v>
      </c>
      <c r="F349" s="10">
        <v>627</v>
      </c>
      <c r="Q349" s="11"/>
      <c r="R349" s="11"/>
    </row>
    <row r="350" spans="1:18" x14ac:dyDescent="0.2">
      <c r="A350" s="10" t="s">
        <v>100</v>
      </c>
      <c r="B350" s="10" t="s">
        <v>133</v>
      </c>
      <c r="C350" s="10" t="s">
        <v>47</v>
      </c>
      <c r="D350" s="10">
        <v>94010</v>
      </c>
      <c r="E350" s="10" t="s">
        <v>9</v>
      </c>
      <c r="F350" s="10">
        <v>888</v>
      </c>
      <c r="Q350" s="11"/>
      <c r="R350" s="11"/>
    </row>
    <row r="351" spans="1:18" x14ac:dyDescent="0.2">
      <c r="A351" s="10" t="s">
        <v>100</v>
      </c>
      <c r="B351" s="10" t="s">
        <v>132</v>
      </c>
      <c r="C351" s="10" t="s">
        <v>47</v>
      </c>
      <c r="D351" s="10">
        <v>95355</v>
      </c>
      <c r="E351" s="10" t="s">
        <v>7</v>
      </c>
      <c r="F351" s="10">
        <v>1199</v>
      </c>
      <c r="Q351" s="11"/>
      <c r="R351" s="11"/>
    </row>
    <row r="352" spans="1:18" x14ac:dyDescent="0.2">
      <c r="A352" s="10" t="s">
        <v>100</v>
      </c>
      <c r="B352" s="10" t="s">
        <v>133</v>
      </c>
      <c r="C352" s="10" t="s">
        <v>47</v>
      </c>
      <c r="D352" s="10">
        <v>94025</v>
      </c>
      <c r="E352" s="10" t="s">
        <v>5</v>
      </c>
      <c r="F352" s="10">
        <v>476</v>
      </c>
      <c r="Q352" s="11"/>
      <c r="R352" s="11"/>
    </row>
    <row r="353" spans="1:18" x14ac:dyDescent="0.2">
      <c r="A353" s="10" t="s">
        <v>100</v>
      </c>
      <c r="B353" s="10" t="s">
        <v>128</v>
      </c>
      <c r="C353" s="10" t="s">
        <v>47</v>
      </c>
      <c r="D353" s="10">
        <v>92253</v>
      </c>
      <c r="E353" s="10" t="s">
        <v>5</v>
      </c>
      <c r="F353" s="10">
        <v>1754</v>
      </c>
      <c r="Q353" s="11"/>
      <c r="R353" s="11"/>
    </row>
    <row r="354" spans="1:18" x14ac:dyDescent="0.2">
      <c r="A354" s="10" t="s">
        <v>100</v>
      </c>
      <c r="B354" s="10" t="s">
        <v>127</v>
      </c>
      <c r="C354" s="10" t="s">
        <v>47</v>
      </c>
      <c r="D354" s="10">
        <v>91791</v>
      </c>
      <c r="E354" s="10" t="s">
        <v>6</v>
      </c>
      <c r="F354" s="10">
        <v>2683</v>
      </c>
      <c r="Q354" s="11"/>
      <c r="R354" s="11"/>
    </row>
    <row r="355" spans="1:18" x14ac:dyDescent="0.2">
      <c r="A355" s="10" t="s">
        <v>100</v>
      </c>
      <c r="B355" s="10" t="s">
        <v>126</v>
      </c>
      <c r="C355" s="10" t="s">
        <v>47</v>
      </c>
      <c r="D355" s="10">
        <v>92010</v>
      </c>
      <c r="E355" s="10" t="s">
        <v>5</v>
      </c>
      <c r="F355" s="10">
        <v>1805</v>
      </c>
      <c r="Q355" s="11"/>
      <c r="R355" s="11"/>
    </row>
    <row r="356" spans="1:18" x14ac:dyDescent="0.2">
      <c r="A356" s="10" t="s">
        <v>100</v>
      </c>
      <c r="B356" s="10" t="s">
        <v>127</v>
      </c>
      <c r="C356" s="10" t="s">
        <v>47</v>
      </c>
      <c r="D356" s="10">
        <v>90803</v>
      </c>
      <c r="E356" s="10" t="s">
        <v>10</v>
      </c>
      <c r="F356" s="10">
        <v>86</v>
      </c>
      <c r="Q356" s="11"/>
      <c r="R356" s="11"/>
    </row>
    <row r="357" spans="1:18" x14ac:dyDescent="0.2">
      <c r="A357" s="10" t="s">
        <v>100</v>
      </c>
      <c r="B357" s="10" t="s">
        <v>127</v>
      </c>
      <c r="C357" s="10" t="s">
        <v>47</v>
      </c>
      <c r="D357" s="10">
        <v>91105</v>
      </c>
      <c r="E357" s="10" t="s">
        <v>8</v>
      </c>
      <c r="F357" s="10">
        <v>320</v>
      </c>
      <c r="Q357" s="11"/>
      <c r="R357" s="11"/>
    </row>
    <row r="358" spans="1:18" x14ac:dyDescent="0.2">
      <c r="A358" s="10" t="s">
        <v>100</v>
      </c>
      <c r="B358" s="10" t="s">
        <v>126</v>
      </c>
      <c r="C358" s="10" t="s">
        <v>47</v>
      </c>
      <c r="D358" s="10">
        <v>92019</v>
      </c>
      <c r="E358" s="10" t="s">
        <v>5</v>
      </c>
      <c r="F358" s="10">
        <v>1109</v>
      </c>
      <c r="Q358" s="11"/>
      <c r="R358" s="11"/>
    </row>
    <row r="359" spans="1:18" x14ac:dyDescent="0.2">
      <c r="A359" s="10" t="s">
        <v>100</v>
      </c>
      <c r="B359" s="10" t="s">
        <v>126</v>
      </c>
      <c r="C359" s="10" t="s">
        <v>47</v>
      </c>
      <c r="D359" s="10">
        <v>92027</v>
      </c>
      <c r="E359" s="10" t="s">
        <v>6</v>
      </c>
      <c r="F359" s="10">
        <v>1710</v>
      </c>
      <c r="Q359" s="11"/>
      <c r="R359" s="11"/>
    </row>
    <row r="360" spans="1:18" x14ac:dyDescent="0.2">
      <c r="A360" s="10" t="s">
        <v>100</v>
      </c>
      <c r="B360" s="10" t="s">
        <v>127</v>
      </c>
      <c r="C360" s="10" t="s">
        <v>47</v>
      </c>
      <c r="D360" s="10">
        <v>91106</v>
      </c>
      <c r="E360" s="10" t="s">
        <v>6</v>
      </c>
      <c r="F360" s="10">
        <v>938</v>
      </c>
      <c r="Q360" s="11"/>
      <c r="R360" s="11"/>
    </row>
    <row r="361" spans="1:18" x14ac:dyDescent="0.2">
      <c r="A361" s="10" t="s">
        <v>100</v>
      </c>
      <c r="B361" s="10" t="s">
        <v>127</v>
      </c>
      <c r="C361" s="10" t="s">
        <v>47</v>
      </c>
      <c r="D361" s="10">
        <v>91303</v>
      </c>
      <c r="E361" s="10" t="s">
        <v>9</v>
      </c>
      <c r="F361" s="10">
        <v>3652</v>
      </c>
      <c r="Q361" s="11"/>
      <c r="R361" s="11"/>
    </row>
    <row r="362" spans="1:18" x14ac:dyDescent="0.2">
      <c r="A362" s="10" t="s">
        <v>100</v>
      </c>
      <c r="B362" s="10" t="s">
        <v>127</v>
      </c>
      <c r="C362" s="10" t="s">
        <v>47</v>
      </c>
      <c r="D362" s="10">
        <v>91324</v>
      </c>
      <c r="E362" s="10" t="s">
        <v>6</v>
      </c>
      <c r="F362" s="10">
        <v>1779</v>
      </c>
      <c r="Q362" s="11"/>
      <c r="R362" s="11"/>
    </row>
    <row r="363" spans="1:18" x14ac:dyDescent="0.2">
      <c r="A363" s="10" t="s">
        <v>100</v>
      </c>
      <c r="B363" s="10" t="s">
        <v>127</v>
      </c>
      <c r="C363" s="10" t="s">
        <v>47</v>
      </c>
      <c r="D363" s="10">
        <v>91355</v>
      </c>
      <c r="E363" s="10" t="s">
        <v>6</v>
      </c>
      <c r="F363" s="10">
        <v>2098</v>
      </c>
      <c r="Q363" s="11"/>
      <c r="R363" s="11"/>
    </row>
    <row r="364" spans="1:18" x14ac:dyDescent="0.2">
      <c r="A364" s="10" t="s">
        <v>100</v>
      </c>
      <c r="B364" s="10" t="s">
        <v>134</v>
      </c>
      <c r="C364" s="10" t="s">
        <v>47</v>
      </c>
      <c r="D364" s="10">
        <v>93101</v>
      </c>
      <c r="E364" s="10" t="s">
        <v>7</v>
      </c>
      <c r="F364" s="10">
        <v>1443</v>
      </c>
      <c r="Q364" s="11"/>
      <c r="R364" s="11"/>
    </row>
    <row r="365" spans="1:18" x14ac:dyDescent="0.2">
      <c r="A365" s="10" t="s">
        <v>100</v>
      </c>
      <c r="B365" s="10" t="s">
        <v>135</v>
      </c>
      <c r="C365" s="10" t="s">
        <v>47</v>
      </c>
      <c r="D365" s="10">
        <v>93309</v>
      </c>
      <c r="E365" s="10" t="s">
        <v>6</v>
      </c>
      <c r="F365" s="10">
        <v>1747</v>
      </c>
      <c r="Q365" s="11"/>
      <c r="R365" s="11"/>
    </row>
    <row r="366" spans="1:18" x14ac:dyDescent="0.2">
      <c r="A366" s="10" t="s">
        <v>100</v>
      </c>
      <c r="B366" s="10" t="s">
        <v>133</v>
      </c>
      <c r="C366" s="10" t="s">
        <v>47</v>
      </c>
      <c r="D366" s="10">
        <v>94010</v>
      </c>
      <c r="E366" s="10" t="s">
        <v>10</v>
      </c>
      <c r="F366" s="10">
        <v>754</v>
      </c>
      <c r="Q366" s="11"/>
      <c r="R366" s="11"/>
    </row>
    <row r="367" spans="1:18" x14ac:dyDescent="0.2">
      <c r="A367" s="10" t="s">
        <v>100</v>
      </c>
      <c r="B367" s="10" t="s">
        <v>127</v>
      </c>
      <c r="C367" s="10" t="s">
        <v>47</v>
      </c>
      <c r="D367" s="10">
        <v>91355</v>
      </c>
      <c r="E367" s="10" t="s">
        <v>5</v>
      </c>
      <c r="F367" s="10">
        <v>1457</v>
      </c>
      <c r="Q367" s="11"/>
      <c r="R367" s="11"/>
    </row>
    <row r="368" spans="1:18" x14ac:dyDescent="0.2">
      <c r="A368" s="10" t="s">
        <v>100</v>
      </c>
      <c r="B368" s="10" t="s">
        <v>127</v>
      </c>
      <c r="C368" s="10" t="s">
        <v>47</v>
      </c>
      <c r="D368" s="10">
        <v>90020</v>
      </c>
      <c r="E368" s="10" t="s">
        <v>5</v>
      </c>
      <c r="F368" s="10">
        <v>509</v>
      </c>
      <c r="Q368" s="11"/>
      <c r="R368" s="11"/>
    </row>
    <row r="369" spans="1:18" x14ac:dyDescent="0.2">
      <c r="A369" s="10" t="s">
        <v>100</v>
      </c>
      <c r="B369" s="10" t="s">
        <v>126</v>
      </c>
      <c r="C369" s="10" t="s">
        <v>47</v>
      </c>
      <c r="D369" s="10">
        <v>92071</v>
      </c>
      <c r="E369" s="10" t="s">
        <v>6</v>
      </c>
      <c r="F369" s="10">
        <v>1306</v>
      </c>
      <c r="Q369" s="11"/>
      <c r="R369" s="11"/>
    </row>
    <row r="370" spans="1:18" x14ac:dyDescent="0.2">
      <c r="A370" s="10" t="s">
        <v>100</v>
      </c>
      <c r="B370" s="10" t="s">
        <v>127</v>
      </c>
      <c r="C370" s="10" t="s">
        <v>47</v>
      </c>
      <c r="D370" s="10">
        <v>91367</v>
      </c>
      <c r="E370" s="10" t="s">
        <v>6</v>
      </c>
      <c r="F370" s="10">
        <v>1992</v>
      </c>
      <c r="Q370" s="11"/>
      <c r="R370" s="11"/>
    </row>
    <row r="371" spans="1:18" x14ac:dyDescent="0.2">
      <c r="A371" s="10" t="s">
        <v>100</v>
      </c>
      <c r="B371" s="10" t="s">
        <v>127</v>
      </c>
      <c r="C371" s="10" t="s">
        <v>47</v>
      </c>
      <c r="D371" s="10">
        <v>91367</v>
      </c>
      <c r="E371" s="10" t="s">
        <v>5</v>
      </c>
      <c r="F371" s="10">
        <v>1662</v>
      </c>
      <c r="Q371" s="11"/>
      <c r="R371" s="11"/>
    </row>
    <row r="372" spans="1:18" x14ac:dyDescent="0.2">
      <c r="A372" s="10" t="s">
        <v>100</v>
      </c>
      <c r="B372" s="10" t="s">
        <v>127</v>
      </c>
      <c r="C372" s="10" t="s">
        <v>47</v>
      </c>
      <c r="D372" s="10">
        <v>91604</v>
      </c>
      <c r="E372" s="10" t="s">
        <v>10</v>
      </c>
      <c r="F372" s="10">
        <v>546</v>
      </c>
      <c r="Q372" s="11"/>
      <c r="R372" s="11"/>
    </row>
    <row r="373" spans="1:18" x14ac:dyDescent="0.2">
      <c r="A373" s="10" t="s">
        <v>100</v>
      </c>
      <c r="B373" s="10" t="s">
        <v>126</v>
      </c>
      <c r="C373" s="10" t="s">
        <v>47</v>
      </c>
      <c r="D373" s="10">
        <v>92108</v>
      </c>
      <c r="E373" s="10" t="s">
        <v>5</v>
      </c>
      <c r="F373" s="10">
        <v>1282</v>
      </c>
      <c r="Q373" s="11"/>
      <c r="R373" s="11"/>
    </row>
    <row r="374" spans="1:18" x14ac:dyDescent="0.2">
      <c r="A374" s="10" t="s">
        <v>100</v>
      </c>
      <c r="B374" s="10" t="s">
        <v>126</v>
      </c>
      <c r="C374" s="10" t="s">
        <v>47</v>
      </c>
      <c r="D374" s="10">
        <v>92108</v>
      </c>
      <c r="E374" s="10" t="s">
        <v>6</v>
      </c>
      <c r="F374" s="10">
        <v>696</v>
      </c>
      <c r="Q374" s="11"/>
      <c r="R374" s="11"/>
    </row>
    <row r="375" spans="1:18" x14ac:dyDescent="0.2">
      <c r="A375" s="10" t="s">
        <v>100</v>
      </c>
      <c r="B375" s="10" t="s">
        <v>126</v>
      </c>
      <c r="C375" s="10" t="s">
        <v>47</v>
      </c>
      <c r="D375" s="10">
        <v>92101</v>
      </c>
      <c r="E375" s="10" t="s">
        <v>6</v>
      </c>
      <c r="F375" s="10">
        <v>2628</v>
      </c>
      <c r="Q375" s="11"/>
      <c r="R375" s="11"/>
    </row>
    <row r="376" spans="1:18" x14ac:dyDescent="0.2">
      <c r="A376" s="10" t="s">
        <v>100</v>
      </c>
      <c r="B376" s="10" t="s">
        <v>126</v>
      </c>
      <c r="C376" s="10" t="s">
        <v>47</v>
      </c>
      <c r="D376" s="10">
        <v>92109</v>
      </c>
      <c r="E376" s="10" t="s">
        <v>5</v>
      </c>
      <c r="F376" s="10">
        <v>4276</v>
      </c>
      <c r="Q376" s="11"/>
      <c r="R376" s="11"/>
    </row>
    <row r="377" spans="1:18" x14ac:dyDescent="0.2">
      <c r="A377" s="10" t="s">
        <v>100</v>
      </c>
      <c r="B377" s="10" t="s">
        <v>126</v>
      </c>
      <c r="C377" s="10" t="s">
        <v>47</v>
      </c>
      <c r="D377" s="10">
        <v>92054</v>
      </c>
      <c r="E377" s="10" t="s">
        <v>5</v>
      </c>
      <c r="F377" s="10">
        <v>3304</v>
      </c>
      <c r="Q377" s="11"/>
      <c r="R377" s="11"/>
    </row>
    <row r="378" spans="1:18" x14ac:dyDescent="0.2">
      <c r="A378" s="10" t="s">
        <v>100</v>
      </c>
      <c r="B378" s="10" t="s">
        <v>128</v>
      </c>
      <c r="C378" s="10" t="s">
        <v>47</v>
      </c>
      <c r="D378" s="10">
        <v>91752</v>
      </c>
      <c r="E378" s="10" t="s">
        <v>5</v>
      </c>
      <c r="F378" s="10">
        <v>2368</v>
      </c>
      <c r="Q378" s="11"/>
      <c r="R378" s="11"/>
    </row>
    <row r="379" spans="1:18" x14ac:dyDescent="0.2">
      <c r="A379" s="10" t="s">
        <v>100</v>
      </c>
      <c r="B379" s="10" t="s">
        <v>128</v>
      </c>
      <c r="C379" s="10" t="s">
        <v>47</v>
      </c>
      <c r="D379" s="10">
        <v>92260</v>
      </c>
      <c r="E379" s="10" t="s">
        <v>5</v>
      </c>
      <c r="F379" s="10">
        <v>705</v>
      </c>
      <c r="Q379" s="11"/>
      <c r="R379" s="11"/>
    </row>
    <row r="380" spans="1:18" x14ac:dyDescent="0.2">
      <c r="A380" s="10" t="s">
        <v>100</v>
      </c>
      <c r="B380" s="10" t="s">
        <v>126</v>
      </c>
      <c r="C380" s="10" t="s">
        <v>47</v>
      </c>
      <c r="D380" s="10">
        <v>92029</v>
      </c>
      <c r="E380" s="10" t="s">
        <v>5</v>
      </c>
      <c r="F380" s="10">
        <v>3816</v>
      </c>
      <c r="Q380" s="11"/>
      <c r="R380" s="11"/>
    </row>
    <row r="381" spans="1:18" x14ac:dyDescent="0.2">
      <c r="A381" s="10" t="s">
        <v>100</v>
      </c>
      <c r="B381" s="10" t="s">
        <v>127</v>
      </c>
      <c r="C381" s="10" t="s">
        <v>47</v>
      </c>
      <c r="D381" s="10">
        <v>90210</v>
      </c>
      <c r="E381" s="10" t="s">
        <v>10</v>
      </c>
      <c r="F381" s="10">
        <v>78</v>
      </c>
      <c r="Q381" s="11"/>
      <c r="R381" s="11"/>
    </row>
    <row r="382" spans="1:18" x14ac:dyDescent="0.2">
      <c r="A382" s="10" t="s">
        <v>100</v>
      </c>
      <c r="B382" s="10" t="s">
        <v>128</v>
      </c>
      <c r="C382" s="10" t="s">
        <v>47</v>
      </c>
      <c r="D382" s="10">
        <v>92506</v>
      </c>
      <c r="E382" s="10" t="s">
        <v>5</v>
      </c>
      <c r="F382" s="10">
        <v>1598</v>
      </c>
      <c r="Q382" s="11"/>
      <c r="R382" s="11"/>
    </row>
    <row r="383" spans="1:18" x14ac:dyDescent="0.2">
      <c r="A383" s="10" t="s">
        <v>100</v>
      </c>
      <c r="B383" s="10" t="s">
        <v>134</v>
      </c>
      <c r="C383" s="10" t="s">
        <v>47</v>
      </c>
      <c r="D383" s="10">
        <v>93117</v>
      </c>
      <c r="E383" s="10" t="s">
        <v>5</v>
      </c>
      <c r="F383" s="10">
        <v>1156</v>
      </c>
      <c r="Q383" s="11"/>
      <c r="R383" s="11"/>
    </row>
    <row r="384" spans="1:18" x14ac:dyDescent="0.2">
      <c r="A384" s="10" t="s">
        <v>100</v>
      </c>
      <c r="B384" s="10" t="s">
        <v>136</v>
      </c>
      <c r="C384" s="10" t="s">
        <v>47</v>
      </c>
      <c r="D384" s="10">
        <v>95991</v>
      </c>
      <c r="E384" s="10" t="s">
        <v>5</v>
      </c>
      <c r="F384" s="10">
        <v>1526</v>
      </c>
      <c r="Q384" s="11"/>
      <c r="R384" s="11"/>
    </row>
    <row r="385" spans="1:18" x14ac:dyDescent="0.2">
      <c r="A385" s="10" t="s">
        <v>100</v>
      </c>
      <c r="B385" s="10" t="s">
        <v>126</v>
      </c>
      <c r="C385" s="10" t="s">
        <v>47</v>
      </c>
      <c r="D385" s="10">
        <v>92024</v>
      </c>
      <c r="E385" s="10" t="s">
        <v>6</v>
      </c>
      <c r="F385" s="10">
        <v>1114</v>
      </c>
      <c r="Q385" s="11"/>
      <c r="R385" s="11"/>
    </row>
    <row r="386" spans="1:18" x14ac:dyDescent="0.2">
      <c r="A386" s="10" t="s">
        <v>100</v>
      </c>
      <c r="B386" s="10" t="s">
        <v>127</v>
      </c>
      <c r="C386" s="10" t="s">
        <v>47</v>
      </c>
      <c r="D386" s="10">
        <v>91803</v>
      </c>
      <c r="E386" s="10" t="s">
        <v>6</v>
      </c>
      <c r="F386" s="10">
        <v>1277</v>
      </c>
      <c r="Q386" s="11"/>
      <c r="R386" s="11"/>
    </row>
    <row r="387" spans="1:18" x14ac:dyDescent="0.2">
      <c r="A387" s="10" t="s">
        <v>100</v>
      </c>
      <c r="B387" s="10" t="s">
        <v>127</v>
      </c>
      <c r="C387" s="10" t="s">
        <v>47</v>
      </c>
      <c r="D387" s="10">
        <v>91750</v>
      </c>
      <c r="E387" s="10" t="s">
        <v>5</v>
      </c>
      <c r="F387" s="10">
        <v>2622</v>
      </c>
      <c r="Q387" s="11"/>
      <c r="R387" s="11"/>
    </row>
    <row r="388" spans="1:18" x14ac:dyDescent="0.2">
      <c r="A388" s="10" t="s">
        <v>100</v>
      </c>
      <c r="B388" s="10" t="s">
        <v>127</v>
      </c>
      <c r="C388" s="10" t="s">
        <v>47</v>
      </c>
      <c r="D388" s="10">
        <v>91605</v>
      </c>
      <c r="E388" s="10" t="s">
        <v>5</v>
      </c>
      <c r="F388" s="10">
        <v>1480</v>
      </c>
      <c r="Q388" s="11"/>
      <c r="R388" s="11"/>
    </row>
    <row r="389" spans="1:18" x14ac:dyDescent="0.2">
      <c r="A389" s="10" t="s">
        <v>100</v>
      </c>
      <c r="B389" s="10" t="s">
        <v>127</v>
      </c>
      <c r="C389" s="10" t="s">
        <v>47</v>
      </c>
      <c r="D389" s="10">
        <v>91604</v>
      </c>
      <c r="E389" s="10" t="s">
        <v>9</v>
      </c>
      <c r="F389" s="10">
        <v>477</v>
      </c>
      <c r="Q389" s="11"/>
      <c r="R389" s="11"/>
    </row>
    <row r="390" spans="1:18" x14ac:dyDescent="0.2">
      <c r="A390" s="10" t="s">
        <v>100</v>
      </c>
      <c r="B390" s="10" t="s">
        <v>127</v>
      </c>
      <c r="C390" s="10" t="s">
        <v>47</v>
      </c>
      <c r="D390" s="10">
        <v>91367</v>
      </c>
      <c r="E390" s="10" t="s">
        <v>10</v>
      </c>
      <c r="F390" s="10">
        <v>456</v>
      </c>
      <c r="Q390" s="11"/>
      <c r="R390" s="11"/>
    </row>
    <row r="391" spans="1:18" x14ac:dyDescent="0.2">
      <c r="A391" s="10" t="s">
        <v>100</v>
      </c>
      <c r="B391" s="10" t="s">
        <v>127</v>
      </c>
      <c r="C391" s="10" t="s">
        <v>47</v>
      </c>
      <c r="D391" s="10">
        <v>91362</v>
      </c>
      <c r="E391" s="10" t="s">
        <v>5</v>
      </c>
      <c r="F391" s="10">
        <v>1050</v>
      </c>
      <c r="Q391" s="11"/>
      <c r="R391" s="11"/>
    </row>
    <row r="392" spans="1:18" x14ac:dyDescent="0.2">
      <c r="A392" s="10" t="s">
        <v>100</v>
      </c>
      <c r="B392" s="10" t="s">
        <v>126</v>
      </c>
      <c r="C392" s="10" t="s">
        <v>47</v>
      </c>
      <c r="D392" s="10">
        <v>92110</v>
      </c>
      <c r="E392" s="10" t="s">
        <v>5</v>
      </c>
      <c r="F392" s="10">
        <v>741</v>
      </c>
      <c r="Q392" s="11"/>
      <c r="R392" s="11"/>
    </row>
    <row r="393" spans="1:18" x14ac:dyDescent="0.2">
      <c r="A393" s="10" t="s">
        <v>100</v>
      </c>
      <c r="B393" s="10" t="s">
        <v>126</v>
      </c>
      <c r="C393" s="10" t="s">
        <v>47</v>
      </c>
      <c r="D393" s="10">
        <v>92122</v>
      </c>
      <c r="E393" s="10" t="s">
        <v>9</v>
      </c>
      <c r="F393" s="10">
        <v>1915</v>
      </c>
      <c r="Q393" s="11"/>
      <c r="R393" s="11"/>
    </row>
    <row r="394" spans="1:18" x14ac:dyDescent="0.2">
      <c r="A394" s="10" t="s">
        <v>100</v>
      </c>
      <c r="B394" s="10" t="s">
        <v>130</v>
      </c>
      <c r="C394" s="10" t="s">
        <v>47</v>
      </c>
      <c r="D394" s="10">
        <v>93611</v>
      </c>
      <c r="E394" s="10" t="s">
        <v>7</v>
      </c>
      <c r="F394" s="10">
        <v>969</v>
      </c>
      <c r="Q394" s="11"/>
      <c r="R394" s="11"/>
    </row>
    <row r="395" spans="1:18" x14ac:dyDescent="0.2">
      <c r="A395" s="10" t="s">
        <v>100</v>
      </c>
      <c r="B395" s="10" t="s">
        <v>130</v>
      </c>
      <c r="C395" s="10" t="s">
        <v>47</v>
      </c>
      <c r="D395" s="10">
        <v>93612</v>
      </c>
      <c r="E395" s="10" t="s">
        <v>6</v>
      </c>
      <c r="F395" s="10">
        <v>1593</v>
      </c>
      <c r="Q395" s="11"/>
      <c r="R395" s="11"/>
    </row>
    <row r="396" spans="1:18" x14ac:dyDescent="0.2">
      <c r="A396" s="10" t="s">
        <v>100</v>
      </c>
      <c r="B396" s="10" t="s">
        <v>130</v>
      </c>
      <c r="C396" s="10" t="s">
        <v>47</v>
      </c>
      <c r="D396" s="10">
        <v>93711</v>
      </c>
      <c r="E396" s="10" t="s">
        <v>6</v>
      </c>
      <c r="F396" s="10">
        <v>1111</v>
      </c>
      <c r="Q396" s="11"/>
      <c r="R396" s="11"/>
    </row>
    <row r="397" spans="1:18" x14ac:dyDescent="0.2">
      <c r="A397" s="10" t="s">
        <v>100</v>
      </c>
      <c r="B397" s="10" t="s">
        <v>130</v>
      </c>
      <c r="C397" s="10" t="s">
        <v>47</v>
      </c>
      <c r="D397" s="10">
        <v>93721</v>
      </c>
      <c r="E397" s="10" t="s">
        <v>6</v>
      </c>
      <c r="F397" s="10">
        <v>1924</v>
      </c>
      <c r="Q397" s="11"/>
      <c r="R397" s="11"/>
    </row>
    <row r="398" spans="1:18" x14ac:dyDescent="0.2">
      <c r="A398" s="10" t="s">
        <v>100</v>
      </c>
      <c r="B398" s="10" t="s">
        <v>127</v>
      </c>
      <c r="C398" s="10" t="s">
        <v>47</v>
      </c>
      <c r="D398" s="10">
        <v>90025</v>
      </c>
      <c r="E398" s="10" t="s">
        <v>5</v>
      </c>
      <c r="F398" s="10">
        <v>1172</v>
      </c>
      <c r="Q398" s="11"/>
      <c r="R398" s="11"/>
    </row>
    <row r="399" spans="1:18" x14ac:dyDescent="0.2">
      <c r="A399" s="10" t="s">
        <v>100</v>
      </c>
      <c r="B399" s="10" t="s">
        <v>137</v>
      </c>
      <c r="C399" s="10" t="s">
        <v>47</v>
      </c>
      <c r="D399" s="10">
        <v>95348</v>
      </c>
      <c r="E399" s="10" t="s">
        <v>5</v>
      </c>
      <c r="F399" s="10">
        <v>744</v>
      </c>
      <c r="Q399" s="11"/>
      <c r="R399" s="11"/>
    </row>
    <row r="400" spans="1:18" x14ac:dyDescent="0.2">
      <c r="A400" s="10" t="s">
        <v>100</v>
      </c>
      <c r="B400" s="10" t="s">
        <v>138</v>
      </c>
      <c r="C400" s="10" t="s">
        <v>47</v>
      </c>
      <c r="D400" s="10">
        <v>94558</v>
      </c>
      <c r="E400" s="10" t="s">
        <v>9</v>
      </c>
      <c r="F400" s="10">
        <v>863</v>
      </c>
      <c r="Q400" s="11"/>
      <c r="R400" s="11"/>
    </row>
    <row r="401" spans="1:18" x14ac:dyDescent="0.2">
      <c r="A401" s="10" t="s">
        <v>100</v>
      </c>
      <c r="B401" s="10" t="s">
        <v>134</v>
      </c>
      <c r="C401" s="10" t="s">
        <v>47</v>
      </c>
      <c r="D401" s="10">
        <v>93454</v>
      </c>
      <c r="E401" s="10" t="s">
        <v>6</v>
      </c>
      <c r="F401" s="10">
        <v>1394</v>
      </c>
      <c r="Q401" s="11"/>
      <c r="R401" s="11"/>
    </row>
    <row r="402" spans="1:18" x14ac:dyDescent="0.2">
      <c r="A402" s="10" t="s">
        <v>100</v>
      </c>
      <c r="B402" s="10" t="s">
        <v>127</v>
      </c>
      <c r="C402" s="10" t="s">
        <v>47</v>
      </c>
      <c r="D402" s="10">
        <v>91356</v>
      </c>
      <c r="E402" s="10" t="s">
        <v>6</v>
      </c>
      <c r="F402" s="10">
        <v>1299</v>
      </c>
      <c r="Q402" s="11"/>
      <c r="R402" s="11"/>
    </row>
    <row r="403" spans="1:18" x14ac:dyDescent="0.2">
      <c r="A403" s="10" t="s">
        <v>100</v>
      </c>
      <c r="B403" s="10" t="s">
        <v>135</v>
      </c>
      <c r="C403" s="10" t="s">
        <v>47</v>
      </c>
      <c r="D403" s="10">
        <v>93312</v>
      </c>
      <c r="E403" s="10" t="s">
        <v>6</v>
      </c>
      <c r="F403" s="10">
        <v>2743</v>
      </c>
      <c r="Q403" s="11"/>
      <c r="R403" s="11"/>
    </row>
    <row r="404" spans="1:18" x14ac:dyDescent="0.2">
      <c r="A404" s="10" t="s">
        <v>100</v>
      </c>
      <c r="B404" s="10" t="s">
        <v>128</v>
      </c>
      <c r="C404" s="10" t="s">
        <v>47</v>
      </c>
      <c r="D404" s="10">
        <v>92532</v>
      </c>
      <c r="E404" s="10" t="s">
        <v>5</v>
      </c>
      <c r="F404" s="10">
        <v>8896</v>
      </c>
      <c r="Q404" s="11"/>
      <c r="R404" s="11"/>
    </row>
    <row r="405" spans="1:18" x14ac:dyDescent="0.2">
      <c r="A405" s="10" t="s">
        <v>100</v>
      </c>
      <c r="B405" s="10" t="s">
        <v>128</v>
      </c>
      <c r="C405" s="10" t="s">
        <v>47</v>
      </c>
      <c r="D405" s="10">
        <v>92507</v>
      </c>
      <c r="E405" s="10" t="s">
        <v>5</v>
      </c>
      <c r="F405" s="10">
        <v>1212</v>
      </c>
      <c r="Q405" s="11"/>
      <c r="R405" s="11"/>
    </row>
    <row r="406" spans="1:18" x14ac:dyDescent="0.2">
      <c r="A406" s="10" t="s">
        <v>100</v>
      </c>
      <c r="B406" s="10" t="s">
        <v>128</v>
      </c>
      <c r="C406" s="10" t="s">
        <v>47</v>
      </c>
      <c r="D406" s="10">
        <v>92264</v>
      </c>
      <c r="E406" s="10" t="s">
        <v>5</v>
      </c>
      <c r="F406" s="10">
        <v>1626</v>
      </c>
      <c r="Q406" s="11"/>
      <c r="R406" s="11"/>
    </row>
    <row r="407" spans="1:18" x14ac:dyDescent="0.2">
      <c r="A407" s="10" t="s">
        <v>100</v>
      </c>
      <c r="B407" s="10" t="s">
        <v>128</v>
      </c>
      <c r="C407" s="10" t="s">
        <v>47</v>
      </c>
      <c r="D407" s="10">
        <v>92253</v>
      </c>
      <c r="E407" s="10" t="s">
        <v>7</v>
      </c>
      <c r="F407" s="10">
        <v>1485</v>
      </c>
      <c r="Q407" s="11"/>
      <c r="R407" s="11"/>
    </row>
    <row r="408" spans="1:18" x14ac:dyDescent="0.2">
      <c r="A408" s="10" t="s">
        <v>100</v>
      </c>
      <c r="B408" s="10" t="s">
        <v>138</v>
      </c>
      <c r="C408" s="10" t="s">
        <v>47</v>
      </c>
      <c r="D408" s="10">
        <v>94559</v>
      </c>
      <c r="E408" s="10" t="s">
        <v>6</v>
      </c>
      <c r="F408" s="10">
        <v>1813</v>
      </c>
      <c r="Q408" s="11"/>
      <c r="R408" s="11"/>
    </row>
    <row r="409" spans="1:18" x14ac:dyDescent="0.2">
      <c r="A409" s="10" t="s">
        <v>100</v>
      </c>
      <c r="B409" s="10" t="s">
        <v>129</v>
      </c>
      <c r="C409" s="10" t="s">
        <v>47</v>
      </c>
      <c r="D409" s="10">
        <v>94577</v>
      </c>
      <c r="E409" s="10" t="s">
        <v>6</v>
      </c>
      <c r="F409" s="10">
        <v>2212</v>
      </c>
      <c r="Q409" s="11"/>
      <c r="R409" s="11"/>
    </row>
    <row r="410" spans="1:18" x14ac:dyDescent="0.2">
      <c r="A410" s="10" t="s">
        <v>100</v>
      </c>
      <c r="B410" s="10" t="s">
        <v>129</v>
      </c>
      <c r="C410" s="10" t="s">
        <v>47</v>
      </c>
      <c r="D410" s="10">
        <v>94710</v>
      </c>
      <c r="E410" s="10" t="s">
        <v>6</v>
      </c>
      <c r="F410" s="10">
        <v>259</v>
      </c>
      <c r="Q410" s="11"/>
      <c r="R410" s="11"/>
    </row>
    <row r="411" spans="1:18" x14ac:dyDescent="0.2">
      <c r="A411" s="10" t="s">
        <v>100</v>
      </c>
      <c r="B411" s="10" t="s">
        <v>139</v>
      </c>
      <c r="C411" s="10" t="s">
        <v>47</v>
      </c>
      <c r="D411" s="10">
        <v>95370</v>
      </c>
      <c r="E411" s="10" t="s">
        <v>5</v>
      </c>
      <c r="F411" s="10">
        <v>909</v>
      </c>
      <c r="Q411" s="11"/>
      <c r="R411" s="11"/>
    </row>
    <row r="412" spans="1:18" x14ac:dyDescent="0.2">
      <c r="A412" s="10" t="s">
        <v>100</v>
      </c>
      <c r="B412" s="10" t="s">
        <v>127</v>
      </c>
      <c r="C412" s="10" t="s">
        <v>47</v>
      </c>
      <c r="D412" s="10">
        <v>91780</v>
      </c>
      <c r="E412" s="10" t="s">
        <v>6</v>
      </c>
      <c r="F412" s="10">
        <v>2686</v>
      </c>
      <c r="Q412" s="11"/>
      <c r="R412" s="11"/>
    </row>
    <row r="413" spans="1:18" x14ac:dyDescent="0.2">
      <c r="A413" s="10" t="s">
        <v>100</v>
      </c>
      <c r="B413" s="10" t="s">
        <v>127</v>
      </c>
      <c r="C413" s="10" t="s">
        <v>47</v>
      </c>
      <c r="D413" s="10">
        <v>90028</v>
      </c>
      <c r="E413" s="10" t="s">
        <v>5</v>
      </c>
      <c r="F413" s="10">
        <v>911</v>
      </c>
      <c r="Q413" s="11"/>
      <c r="R413" s="11"/>
    </row>
    <row r="414" spans="1:18" x14ac:dyDescent="0.2">
      <c r="A414" s="10" t="s">
        <v>100</v>
      </c>
      <c r="B414" s="10" t="s">
        <v>126</v>
      </c>
      <c r="C414" s="10" t="s">
        <v>47</v>
      </c>
      <c r="D414" s="10">
        <v>91914</v>
      </c>
      <c r="E414" s="10" t="s">
        <v>6</v>
      </c>
      <c r="F414" s="10">
        <v>2475</v>
      </c>
      <c r="Q414" s="11"/>
      <c r="R414" s="11"/>
    </row>
    <row r="415" spans="1:18" x14ac:dyDescent="0.2">
      <c r="A415" s="10" t="s">
        <v>100</v>
      </c>
      <c r="B415" s="10" t="s">
        <v>135</v>
      </c>
      <c r="C415" s="10" t="s">
        <v>47</v>
      </c>
      <c r="D415" s="10">
        <v>93306</v>
      </c>
      <c r="E415" s="10" t="s">
        <v>7</v>
      </c>
      <c r="F415" s="10">
        <v>3106</v>
      </c>
      <c r="Q415" s="11"/>
      <c r="R415" s="11"/>
    </row>
    <row r="416" spans="1:18" x14ac:dyDescent="0.2">
      <c r="A416" s="10" t="s">
        <v>100</v>
      </c>
      <c r="B416" s="10" t="s">
        <v>126</v>
      </c>
      <c r="C416" s="10" t="s">
        <v>47</v>
      </c>
      <c r="D416" s="10">
        <v>92037</v>
      </c>
      <c r="E416" s="10" t="s">
        <v>10</v>
      </c>
      <c r="F416" s="10">
        <v>634</v>
      </c>
      <c r="Q416" s="11"/>
      <c r="R416" s="11"/>
    </row>
    <row r="417" spans="1:18" x14ac:dyDescent="0.2">
      <c r="A417" s="10" t="s">
        <v>100</v>
      </c>
      <c r="B417" s="10" t="s">
        <v>126</v>
      </c>
      <c r="C417" s="10" t="s">
        <v>47</v>
      </c>
      <c r="D417" s="10">
        <v>92075</v>
      </c>
      <c r="E417" s="10" t="s">
        <v>5</v>
      </c>
      <c r="F417" s="10">
        <v>1164</v>
      </c>
      <c r="Q417" s="11"/>
      <c r="R417" s="11"/>
    </row>
    <row r="418" spans="1:18" x14ac:dyDescent="0.2">
      <c r="A418" s="10" t="s">
        <v>100</v>
      </c>
      <c r="B418" s="10" t="s">
        <v>127</v>
      </c>
      <c r="C418" s="10" t="s">
        <v>47</v>
      </c>
      <c r="D418" s="10">
        <v>91350</v>
      </c>
      <c r="E418" s="10" t="s">
        <v>7</v>
      </c>
      <c r="F418" s="10">
        <v>1103</v>
      </c>
      <c r="Q418" s="11"/>
      <c r="R418" s="11"/>
    </row>
    <row r="419" spans="1:18" x14ac:dyDescent="0.2">
      <c r="A419" s="10" t="s">
        <v>100</v>
      </c>
      <c r="B419" s="10" t="s">
        <v>126</v>
      </c>
      <c r="C419" s="10" t="s">
        <v>47</v>
      </c>
      <c r="D419" s="10">
        <v>92083</v>
      </c>
      <c r="E419" s="10" t="s">
        <v>5</v>
      </c>
      <c r="F419" s="10">
        <v>1668</v>
      </c>
      <c r="Q419" s="11"/>
      <c r="R419" s="11"/>
    </row>
    <row r="420" spans="1:18" x14ac:dyDescent="0.2">
      <c r="A420" s="10" t="s">
        <v>100</v>
      </c>
      <c r="B420" s="10" t="s">
        <v>126</v>
      </c>
      <c r="C420" s="10" t="s">
        <v>47</v>
      </c>
      <c r="D420" s="10">
        <v>92128</v>
      </c>
      <c r="E420" s="10" t="s">
        <v>5</v>
      </c>
      <c r="F420" s="10">
        <v>1549</v>
      </c>
      <c r="Q420" s="11"/>
      <c r="R420" s="11"/>
    </row>
    <row r="421" spans="1:18" x14ac:dyDescent="0.2">
      <c r="A421" s="10" t="s">
        <v>100</v>
      </c>
      <c r="B421" s="10" t="s">
        <v>133</v>
      </c>
      <c r="C421" s="10" t="s">
        <v>47</v>
      </c>
      <c r="D421" s="10">
        <v>94014</v>
      </c>
      <c r="E421" s="10" t="s">
        <v>6</v>
      </c>
      <c r="F421" s="10">
        <v>1310</v>
      </c>
      <c r="Q421" s="11"/>
      <c r="R421" s="11"/>
    </row>
    <row r="422" spans="1:18" x14ac:dyDescent="0.2">
      <c r="A422" s="10" t="s">
        <v>100</v>
      </c>
      <c r="B422" s="10" t="s">
        <v>127</v>
      </c>
      <c r="C422" s="10" t="s">
        <v>47</v>
      </c>
      <c r="D422" s="10">
        <v>93536</v>
      </c>
      <c r="E422" s="10" t="s">
        <v>5</v>
      </c>
      <c r="F422" s="10">
        <v>2614</v>
      </c>
      <c r="Q422" s="11"/>
      <c r="R422" s="11"/>
    </row>
    <row r="423" spans="1:18" x14ac:dyDescent="0.2">
      <c r="A423" s="10" t="s">
        <v>100</v>
      </c>
      <c r="B423" s="10" t="s">
        <v>127</v>
      </c>
      <c r="C423" s="10" t="s">
        <v>47</v>
      </c>
      <c r="D423" s="10">
        <v>90807</v>
      </c>
      <c r="E423" s="10" t="s">
        <v>5</v>
      </c>
      <c r="F423" s="10">
        <v>1225</v>
      </c>
      <c r="Q423" s="11"/>
      <c r="R423" s="11"/>
    </row>
    <row r="424" spans="1:18" x14ac:dyDescent="0.2">
      <c r="A424" s="10" t="s">
        <v>100</v>
      </c>
      <c r="B424" s="10" t="s">
        <v>127</v>
      </c>
      <c r="C424" s="10" t="s">
        <v>47</v>
      </c>
      <c r="D424" s="10">
        <v>90804</v>
      </c>
      <c r="E424" s="10" t="s">
        <v>5</v>
      </c>
      <c r="F424" s="10">
        <v>1245</v>
      </c>
      <c r="Q424" s="11"/>
      <c r="R424" s="11"/>
    </row>
    <row r="425" spans="1:18" x14ac:dyDescent="0.2">
      <c r="A425" s="10" t="s">
        <v>100</v>
      </c>
      <c r="B425" s="10" t="s">
        <v>127</v>
      </c>
      <c r="C425" s="10" t="s">
        <v>47</v>
      </c>
      <c r="D425" s="10">
        <v>90803</v>
      </c>
      <c r="E425" s="10" t="s">
        <v>9</v>
      </c>
      <c r="F425" s="10">
        <v>178</v>
      </c>
      <c r="Q425" s="11"/>
      <c r="R425" s="11"/>
    </row>
    <row r="426" spans="1:18" x14ac:dyDescent="0.2">
      <c r="A426" s="10" t="s">
        <v>100</v>
      </c>
      <c r="B426" s="10" t="s">
        <v>127</v>
      </c>
      <c r="C426" s="10" t="s">
        <v>47</v>
      </c>
      <c r="D426" s="10">
        <v>90501</v>
      </c>
      <c r="E426" s="10" t="s">
        <v>6</v>
      </c>
      <c r="F426" s="10">
        <v>3242</v>
      </c>
      <c r="Q426" s="11"/>
      <c r="R426" s="11"/>
    </row>
    <row r="427" spans="1:18" x14ac:dyDescent="0.2">
      <c r="A427" s="10" t="s">
        <v>100</v>
      </c>
      <c r="B427" s="10" t="s">
        <v>127</v>
      </c>
      <c r="C427" s="10" t="s">
        <v>47</v>
      </c>
      <c r="D427" s="10">
        <v>90266</v>
      </c>
      <c r="E427" s="10" t="s">
        <v>9</v>
      </c>
      <c r="F427" s="10">
        <v>990</v>
      </c>
      <c r="Q427" s="11"/>
      <c r="R427" s="11"/>
    </row>
    <row r="428" spans="1:18" x14ac:dyDescent="0.2">
      <c r="A428" s="10" t="s">
        <v>100</v>
      </c>
      <c r="B428" s="10" t="s">
        <v>127</v>
      </c>
      <c r="C428" s="10" t="s">
        <v>47</v>
      </c>
      <c r="D428" s="10">
        <v>90064</v>
      </c>
      <c r="E428" s="10" t="s">
        <v>5</v>
      </c>
      <c r="F428" s="10">
        <v>145</v>
      </c>
      <c r="Q428" s="11"/>
      <c r="R428" s="11"/>
    </row>
    <row r="429" spans="1:18" x14ac:dyDescent="0.2">
      <c r="A429" s="10" t="s">
        <v>100</v>
      </c>
      <c r="B429" s="10" t="s">
        <v>127</v>
      </c>
      <c r="C429" s="10" t="s">
        <v>47</v>
      </c>
      <c r="D429" s="10">
        <v>93551</v>
      </c>
      <c r="E429" s="10" t="s">
        <v>5</v>
      </c>
      <c r="F429" s="10">
        <v>3096</v>
      </c>
      <c r="Q429" s="11"/>
      <c r="R429" s="11"/>
    </row>
    <row r="430" spans="1:18" x14ac:dyDescent="0.2">
      <c r="A430" s="10" t="s">
        <v>100</v>
      </c>
      <c r="B430" s="10" t="s">
        <v>129</v>
      </c>
      <c r="C430" s="10" t="s">
        <v>47</v>
      </c>
      <c r="D430" s="10">
        <v>94501</v>
      </c>
      <c r="E430" s="10" t="s">
        <v>7</v>
      </c>
      <c r="F430" s="10">
        <v>1585</v>
      </c>
      <c r="Q430" s="11"/>
      <c r="R430" s="11"/>
    </row>
    <row r="431" spans="1:18" x14ac:dyDescent="0.2">
      <c r="A431" s="10" t="s">
        <v>100</v>
      </c>
      <c r="B431" s="10" t="s">
        <v>129</v>
      </c>
      <c r="C431" s="10" t="s">
        <v>47</v>
      </c>
      <c r="D431" s="10">
        <v>94538</v>
      </c>
      <c r="E431" s="10" t="s">
        <v>5</v>
      </c>
      <c r="F431" s="10">
        <v>1321</v>
      </c>
      <c r="Q431" s="11"/>
      <c r="R431" s="11"/>
    </row>
    <row r="432" spans="1:18" x14ac:dyDescent="0.2">
      <c r="A432" s="10" t="s">
        <v>100</v>
      </c>
      <c r="B432" s="10" t="s">
        <v>129</v>
      </c>
      <c r="C432" s="10" t="s">
        <v>47</v>
      </c>
      <c r="D432" s="10">
        <v>94541</v>
      </c>
      <c r="E432" s="10" t="s">
        <v>6</v>
      </c>
      <c r="F432" s="10">
        <v>1681</v>
      </c>
      <c r="Q432" s="11"/>
      <c r="R432" s="11"/>
    </row>
    <row r="433" spans="1:18" x14ac:dyDescent="0.2">
      <c r="A433" s="10" t="s">
        <v>100</v>
      </c>
      <c r="B433" s="10" t="s">
        <v>138</v>
      </c>
      <c r="C433" s="10" t="s">
        <v>47</v>
      </c>
      <c r="D433" s="10">
        <v>94558</v>
      </c>
      <c r="E433" s="10" t="s">
        <v>5</v>
      </c>
      <c r="F433" s="10">
        <v>1094</v>
      </c>
      <c r="Q433" s="11"/>
      <c r="R433" s="11"/>
    </row>
    <row r="434" spans="1:18" x14ac:dyDescent="0.2">
      <c r="A434" s="10" t="s">
        <v>100</v>
      </c>
      <c r="B434" s="10" t="s">
        <v>129</v>
      </c>
      <c r="C434" s="10" t="s">
        <v>47</v>
      </c>
      <c r="D434" s="10">
        <v>94588</v>
      </c>
      <c r="E434" s="10" t="s">
        <v>7</v>
      </c>
      <c r="F434" s="10">
        <v>1205</v>
      </c>
      <c r="Q434" s="11"/>
      <c r="R434" s="11"/>
    </row>
    <row r="435" spans="1:18" x14ac:dyDescent="0.2">
      <c r="A435" s="10" t="s">
        <v>100</v>
      </c>
      <c r="B435" s="10" t="s">
        <v>129</v>
      </c>
      <c r="C435" s="10" t="s">
        <v>47</v>
      </c>
      <c r="D435" s="10">
        <v>94608</v>
      </c>
      <c r="E435" s="10" t="s">
        <v>6</v>
      </c>
      <c r="F435" s="10">
        <v>492</v>
      </c>
      <c r="Q435" s="11"/>
      <c r="R435" s="11"/>
    </row>
    <row r="436" spans="1:18" x14ac:dyDescent="0.2">
      <c r="A436" s="10" t="s">
        <v>100</v>
      </c>
      <c r="B436" s="10" t="s">
        <v>129</v>
      </c>
      <c r="C436" s="10" t="s">
        <v>47</v>
      </c>
      <c r="D436" s="10">
        <v>94710</v>
      </c>
      <c r="E436" s="10" t="s">
        <v>9</v>
      </c>
      <c r="F436" s="10">
        <v>220</v>
      </c>
      <c r="Q436" s="11"/>
      <c r="R436" s="11"/>
    </row>
    <row r="437" spans="1:18" x14ac:dyDescent="0.2">
      <c r="A437" s="10" t="s">
        <v>100</v>
      </c>
      <c r="B437" s="10" t="s">
        <v>127</v>
      </c>
      <c r="C437" s="10" t="s">
        <v>47</v>
      </c>
      <c r="D437" s="10">
        <v>90045</v>
      </c>
      <c r="E437" s="10" t="s">
        <v>5</v>
      </c>
      <c r="F437" s="10">
        <v>613</v>
      </c>
      <c r="Q437" s="11"/>
      <c r="R437" s="11"/>
    </row>
    <row r="438" spans="1:18" x14ac:dyDescent="0.2">
      <c r="A438" s="10" t="s">
        <v>100</v>
      </c>
      <c r="B438" s="10" t="s">
        <v>127</v>
      </c>
      <c r="C438" s="10" t="s">
        <v>47</v>
      </c>
      <c r="D438" s="10">
        <v>90045</v>
      </c>
      <c r="E438" s="10" t="s">
        <v>6</v>
      </c>
      <c r="F438" s="10">
        <v>1774</v>
      </c>
      <c r="Q438" s="11"/>
      <c r="R438" s="11"/>
    </row>
    <row r="439" spans="1:18" x14ac:dyDescent="0.2">
      <c r="A439" s="10" t="s">
        <v>100</v>
      </c>
      <c r="B439" s="10" t="s">
        <v>133</v>
      </c>
      <c r="C439" s="10" t="s">
        <v>47</v>
      </c>
      <c r="D439" s="10">
        <v>94303</v>
      </c>
      <c r="E439" s="10" t="s">
        <v>6</v>
      </c>
      <c r="F439" s="10">
        <v>782</v>
      </c>
      <c r="Q439" s="11"/>
      <c r="R439" s="11"/>
    </row>
    <row r="440" spans="1:18" x14ac:dyDescent="0.2">
      <c r="A440" s="10" t="s">
        <v>100</v>
      </c>
      <c r="B440" s="10" t="s">
        <v>133</v>
      </c>
      <c r="C440" s="10" t="s">
        <v>47</v>
      </c>
      <c r="D440" s="10">
        <v>94070</v>
      </c>
      <c r="E440" s="10" t="s">
        <v>6</v>
      </c>
      <c r="F440" s="10">
        <v>1187</v>
      </c>
      <c r="Q440" s="11"/>
      <c r="R440" s="11"/>
    </row>
    <row r="441" spans="1:18" x14ac:dyDescent="0.2">
      <c r="A441" s="10" t="s">
        <v>100</v>
      </c>
      <c r="B441" s="10" t="s">
        <v>133</v>
      </c>
      <c r="C441" s="10" t="s">
        <v>47</v>
      </c>
      <c r="D441" s="10">
        <v>94030</v>
      </c>
      <c r="E441" s="10" t="s">
        <v>6</v>
      </c>
      <c r="F441" s="10">
        <v>1400</v>
      </c>
      <c r="Q441" s="11"/>
      <c r="R441" s="11"/>
    </row>
    <row r="442" spans="1:18" x14ac:dyDescent="0.2">
      <c r="A442" s="10" t="s">
        <v>100</v>
      </c>
      <c r="B442" s="10" t="s">
        <v>127</v>
      </c>
      <c r="C442" s="10" t="s">
        <v>47</v>
      </c>
      <c r="D442" s="10">
        <v>90015</v>
      </c>
      <c r="E442" s="10" t="s">
        <v>5</v>
      </c>
      <c r="F442" s="10">
        <v>1598</v>
      </c>
      <c r="Q442" s="11"/>
      <c r="R442" s="11"/>
    </row>
    <row r="443" spans="1:18" x14ac:dyDescent="0.2">
      <c r="A443" s="10" t="s">
        <v>100</v>
      </c>
      <c r="B443" s="10" t="s">
        <v>126</v>
      </c>
      <c r="C443" s="10" t="s">
        <v>47</v>
      </c>
      <c r="D443" s="10">
        <v>91942</v>
      </c>
      <c r="E443" s="10" t="s">
        <v>6</v>
      </c>
      <c r="F443" s="10">
        <v>505</v>
      </c>
      <c r="Q443" s="11"/>
      <c r="R443" s="11"/>
    </row>
    <row r="444" spans="1:18" x14ac:dyDescent="0.2">
      <c r="A444" s="10" t="s">
        <v>100</v>
      </c>
      <c r="B444" s="10" t="s">
        <v>127</v>
      </c>
      <c r="C444" s="10" t="s">
        <v>47</v>
      </c>
      <c r="D444" s="10">
        <v>91604</v>
      </c>
      <c r="E444" s="10" t="s">
        <v>5</v>
      </c>
      <c r="F444" s="10">
        <v>1157</v>
      </c>
      <c r="Q444" s="11"/>
      <c r="R444" s="11"/>
    </row>
    <row r="445" spans="1:18" x14ac:dyDescent="0.2">
      <c r="A445" s="10" t="s">
        <v>100</v>
      </c>
      <c r="B445" s="10" t="s">
        <v>127</v>
      </c>
      <c r="C445" s="10" t="s">
        <v>47</v>
      </c>
      <c r="D445" s="10">
        <v>91504</v>
      </c>
      <c r="E445" s="10" t="s">
        <v>5</v>
      </c>
      <c r="F445" s="10">
        <v>2120</v>
      </c>
      <c r="Q445" s="11"/>
      <c r="R445" s="11"/>
    </row>
    <row r="446" spans="1:18" x14ac:dyDescent="0.2">
      <c r="A446" s="10" t="s">
        <v>100</v>
      </c>
      <c r="B446" s="10" t="s">
        <v>127</v>
      </c>
      <c r="C446" s="10" t="s">
        <v>47</v>
      </c>
      <c r="D446" s="10">
        <v>91344</v>
      </c>
      <c r="E446" s="10" t="s">
        <v>5</v>
      </c>
      <c r="F446" s="10">
        <v>2493</v>
      </c>
      <c r="Q446" s="11"/>
      <c r="R446" s="11"/>
    </row>
    <row r="447" spans="1:18" x14ac:dyDescent="0.2">
      <c r="A447" s="10" t="s">
        <v>100</v>
      </c>
      <c r="B447" s="10" t="s">
        <v>127</v>
      </c>
      <c r="C447" s="10" t="s">
        <v>47</v>
      </c>
      <c r="D447" s="10">
        <v>91302</v>
      </c>
      <c r="E447" s="10" t="s">
        <v>10</v>
      </c>
      <c r="F447" s="10">
        <v>1809</v>
      </c>
      <c r="Q447" s="11"/>
      <c r="R447" s="11"/>
    </row>
    <row r="448" spans="1:18" x14ac:dyDescent="0.2">
      <c r="A448" s="10" t="s">
        <v>100</v>
      </c>
      <c r="B448" s="10" t="s">
        <v>127</v>
      </c>
      <c r="C448" s="10" t="s">
        <v>47</v>
      </c>
      <c r="D448" s="10">
        <v>91214</v>
      </c>
      <c r="E448" s="10" t="s">
        <v>6</v>
      </c>
      <c r="F448" s="10">
        <v>1984</v>
      </c>
      <c r="Q448" s="11"/>
      <c r="R448" s="11"/>
    </row>
    <row r="449" spans="1:18" x14ac:dyDescent="0.2">
      <c r="A449" s="10" t="s">
        <v>100</v>
      </c>
      <c r="B449" s="10" t="s">
        <v>127</v>
      </c>
      <c r="C449" s="10" t="s">
        <v>47</v>
      </c>
      <c r="D449" s="10">
        <v>91206</v>
      </c>
      <c r="E449" s="10" t="s">
        <v>5</v>
      </c>
      <c r="F449" s="10">
        <v>4407</v>
      </c>
      <c r="Q449" s="11"/>
      <c r="R449" s="11"/>
    </row>
    <row r="450" spans="1:18" x14ac:dyDescent="0.2">
      <c r="A450" s="10" t="s">
        <v>100</v>
      </c>
      <c r="B450" s="10" t="s">
        <v>127</v>
      </c>
      <c r="C450" s="10" t="s">
        <v>47</v>
      </c>
      <c r="D450" s="10">
        <v>91107</v>
      </c>
      <c r="E450" s="10" t="s">
        <v>5</v>
      </c>
      <c r="F450" s="10">
        <v>2121</v>
      </c>
      <c r="Q450" s="11"/>
      <c r="R450" s="11"/>
    </row>
    <row r="451" spans="1:18" x14ac:dyDescent="0.2">
      <c r="A451" s="10" t="s">
        <v>100</v>
      </c>
      <c r="B451" s="10" t="s">
        <v>127</v>
      </c>
      <c r="C451" s="10" t="s">
        <v>47</v>
      </c>
      <c r="D451" s="10">
        <v>90012</v>
      </c>
      <c r="E451" s="10" t="s">
        <v>6</v>
      </c>
      <c r="F451" s="10">
        <v>1476</v>
      </c>
      <c r="Q451" s="11"/>
      <c r="R451" s="11"/>
    </row>
    <row r="452" spans="1:18" x14ac:dyDescent="0.2">
      <c r="A452" s="10" t="s">
        <v>100</v>
      </c>
      <c r="B452" s="10" t="s">
        <v>127</v>
      </c>
      <c r="C452" s="10" t="s">
        <v>47</v>
      </c>
      <c r="D452" s="10">
        <v>90007</v>
      </c>
      <c r="E452" s="10" t="s">
        <v>6</v>
      </c>
      <c r="F452" s="10">
        <v>2061</v>
      </c>
      <c r="Q452" s="11"/>
      <c r="R452" s="11"/>
    </row>
    <row r="453" spans="1:18" x14ac:dyDescent="0.2">
      <c r="A453" s="10" t="s">
        <v>100</v>
      </c>
      <c r="B453" s="10" t="s">
        <v>127</v>
      </c>
      <c r="C453" s="10" t="s">
        <v>47</v>
      </c>
      <c r="D453" s="10">
        <v>90755</v>
      </c>
      <c r="E453" s="10" t="s">
        <v>6</v>
      </c>
      <c r="F453" s="10">
        <v>1258</v>
      </c>
      <c r="Q453" s="11"/>
      <c r="R453" s="11"/>
    </row>
    <row r="454" spans="1:18" x14ac:dyDescent="0.2">
      <c r="A454" s="10" t="s">
        <v>100</v>
      </c>
      <c r="B454" s="10" t="s">
        <v>128</v>
      </c>
      <c r="C454" s="10" t="s">
        <v>47</v>
      </c>
      <c r="D454" s="10">
        <v>92562</v>
      </c>
      <c r="E454" s="10" t="s">
        <v>5</v>
      </c>
      <c r="F454" s="10">
        <v>3595</v>
      </c>
      <c r="Q454" s="11"/>
      <c r="R454" s="11"/>
    </row>
    <row r="455" spans="1:18" x14ac:dyDescent="0.2">
      <c r="A455" s="10" t="s">
        <v>100</v>
      </c>
      <c r="B455" s="10" t="s">
        <v>128</v>
      </c>
      <c r="C455" s="10" t="s">
        <v>47</v>
      </c>
      <c r="D455" s="10">
        <v>92553</v>
      </c>
      <c r="E455" s="10" t="s">
        <v>6</v>
      </c>
      <c r="F455" s="10">
        <v>3314</v>
      </c>
      <c r="Q455" s="11"/>
      <c r="R455" s="11"/>
    </row>
    <row r="456" spans="1:18" x14ac:dyDescent="0.2">
      <c r="A456" s="10" t="s">
        <v>100</v>
      </c>
      <c r="B456" s="10" t="s">
        <v>128</v>
      </c>
      <c r="C456" s="10" t="s">
        <v>47</v>
      </c>
      <c r="D456" s="10">
        <v>92545</v>
      </c>
      <c r="E456" s="10" t="s">
        <v>5</v>
      </c>
      <c r="F456" s="10">
        <v>2584</v>
      </c>
      <c r="Q456" s="11"/>
      <c r="R456" s="11"/>
    </row>
    <row r="457" spans="1:18" x14ac:dyDescent="0.2">
      <c r="A457" s="10" t="s">
        <v>100</v>
      </c>
      <c r="B457" s="10" t="s">
        <v>128</v>
      </c>
      <c r="C457" s="10" t="s">
        <v>47</v>
      </c>
      <c r="D457" s="10">
        <v>92507</v>
      </c>
      <c r="E457" s="10" t="s">
        <v>7</v>
      </c>
      <c r="F457" s="10">
        <v>1231</v>
      </c>
      <c r="Q457" s="11"/>
      <c r="R457" s="11"/>
    </row>
    <row r="458" spans="1:18" x14ac:dyDescent="0.2">
      <c r="A458" s="10" t="s">
        <v>100</v>
      </c>
      <c r="B458" s="10" t="s">
        <v>127</v>
      </c>
      <c r="C458" s="10" t="s">
        <v>47</v>
      </c>
      <c r="D458" s="10">
        <v>90703</v>
      </c>
      <c r="E458" s="10" t="s">
        <v>5</v>
      </c>
      <c r="F458" s="10">
        <v>3637</v>
      </c>
      <c r="Q458" s="11"/>
      <c r="R458" s="11"/>
    </row>
    <row r="459" spans="1:18" x14ac:dyDescent="0.2">
      <c r="A459" s="10" t="s">
        <v>100</v>
      </c>
      <c r="B459" s="10" t="s">
        <v>127</v>
      </c>
      <c r="C459" s="10" t="s">
        <v>47</v>
      </c>
      <c r="D459" s="10">
        <v>90640</v>
      </c>
      <c r="E459" s="10" t="s">
        <v>6</v>
      </c>
      <c r="F459" s="10">
        <v>1228</v>
      </c>
      <c r="Q459" s="11"/>
      <c r="R459" s="11"/>
    </row>
    <row r="460" spans="1:18" x14ac:dyDescent="0.2">
      <c r="A460" s="10" t="s">
        <v>100</v>
      </c>
      <c r="B460" s="10" t="s">
        <v>127</v>
      </c>
      <c r="C460" s="10" t="s">
        <v>47</v>
      </c>
      <c r="D460" s="10">
        <v>90605</v>
      </c>
      <c r="E460" s="10" t="s">
        <v>5</v>
      </c>
      <c r="F460" s="10">
        <v>1647</v>
      </c>
      <c r="Q460" s="11"/>
      <c r="R460" s="11"/>
    </row>
    <row r="461" spans="1:18" x14ac:dyDescent="0.2">
      <c r="A461" s="10" t="s">
        <v>100</v>
      </c>
      <c r="B461" s="10" t="s">
        <v>127</v>
      </c>
      <c r="C461" s="10" t="s">
        <v>47</v>
      </c>
      <c r="D461" s="10">
        <v>90505</v>
      </c>
      <c r="E461" s="10" t="s">
        <v>5</v>
      </c>
      <c r="F461" s="10">
        <v>907</v>
      </c>
      <c r="Q461" s="11"/>
      <c r="R461" s="11"/>
    </row>
    <row r="462" spans="1:18" x14ac:dyDescent="0.2">
      <c r="A462" s="10" t="s">
        <v>100</v>
      </c>
      <c r="B462" s="10" t="s">
        <v>127</v>
      </c>
      <c r="C462" s="10" t="s">
        <v>47</v>
      </c>
      <c r="D462" s="10">
        <v>90505</v>
      </c>
      <c r="E462" s="10" t="s">
        <v>6</v>
      </c>
      <c r="F462" s="10">
        <v>1116</v>
      </c>
      <c r="Q462" s="11"/>
      <c r="R462" s="11"/>
    </row>
    <row r="463" spans="1:18" x14ac:dyDescent="0.2">
      <c r="A463" s="10" t="s">
        <v>100</v>
      </c>
      <c r="B463" s="10" t="s">
        <v>134</v>
      </c>
      <c r="C463" s="10" t="s">
        <v>47</v>
      </c>
      <c r="D463" s="10">
        <v>93101</v>
      </c>
      <c r="E463" s="10" t="s">
        <v>10</v>
      </c>
      <c r="F463" s="10">
        <v>273</v>
      </c>
      <c r="Q463" s="11"/>
      <c r="R463" s="11"/>
    </row>
    <row r="464" spans="1:18" x14ac:dyDescent="0.2">
      <c r="A464" s="10" t="s">
        <v>100</v>
      </c>
      <c r="B464" s="10" t="s">
        <v>127</v>
      </c>
      <c r="C464" s="10" t="s">
        <v>47</v>
      </c>
      <c r="D464" s="10">
        <v>90401</v>
      </c>
      <c r="E464" s="10" t="s">
        <v>9</v>
      </c>
      <c r="F464" s="10">
        <v>1253</v>
      </c>
      <c r="Q464" s="11"/>
      <c r="R464" s="11"/>
    </row>
    <row r="465" spans="1:18" x14ac:dyDescent="0.2">
      <c r="A465" s="10" t="s">
        <v>100</v>
      </c>
      <c r="B465" s="10" t="s">
        <v>127</v>
      </c>
      <c r="C465" s="10" t="s">
        <v>47</v>
      </c>
      <c r="D465" s="10">
        <v>90266</v>
      </c>
      <c r="E465" s="10" t="s">
        <v>6</v>
      </c>
      <c r="F465" s="10">
        <v>1447</v>
      </c>
      <c r="Q465" s="11"/>
      <c r="R465" s="11"/>
    </row>
    <row r="466" spans="1:18" x14ac:dyDescent="0.2">
      <c r="A466" s="10" t="s">
        <v>100</v>
      </c>
      <c r="B466" s="10" t="s">
        <v>127</v>
      </c>
      <c r="C466" s="10" t="s">
        <v>47</v>
      </c>
      <c r="D466" s="10">
        <v>90038</v>
      </c>
      <c r="E466" s="10" t="s">
        <v>6</v>
      </c>
      <c r="F466" s="10">
        <v>605</v>
      </c>
      <c r="Q466" s="11"/>
      <c r="R466" s="11"/>
    </row>
    <row r="467" spans="1:18" x14ac:dyDescent="0.2">
      <c r="A467" s="10" t="s">
        <v>100</v>
      </c>
      <c r="B467" s="10" t="s">
        <v>128</v>
      </c>
      <c r="C467" s="10" t="s">
        <v>47</v>
      </c>
      <c r="D467" s="10">
        <v>92860</v>
      </c>
      <c r="E467" s="10" t="s">
        <v>5</v>
      </c>
      <c r="F467" s="10">
        <v>2453</v>
      </c>
      <c r="Q467" s="11"/>
      <c r="R467" s="11"/>
    </row>
    <row r="468" spans="1:18" x14ac:dyDescent="0.2">
      <c r="A468" s="10" t="s">
        <v>100</v>
      </c>
      <c r="B468" s="10" t="s">
        <v>127</v>
      </c>
      <c r="C468" s="10" t="s">
        <v>47</v>
      </c>
      <c r="D468" s="10">
        <v>90017</v>
      </c>
      <c r="E468" s="10" t="s">
        <v>10</v>
      </c>
      <c r="F468" s="10">
        <v>2262</v>
      </c>
      <c r="Q468" s="11"/>
      <c r="R468" s="11"/>
    </row>
    <row r="469" spans="1:18" x14ac:dyDescent="0.2">
      <c r="A469" s="10" t="s">
        <v>140</v>
      </c>
      <c r="B469" s="10" t="s">
        <v>141</v>
      </c>
      <c r="C469" s="10" t="s">
        <v>45</v>
      </c>
      <c r="D469" s="10">
        <v>81212</v>
      </c>
      <c r="E469" s="10" t="s">
        <v>6</v>
      </c>
      <c r="F469" s="10">
        <v>829</v>
      </c>
      <c r="Q469" s="11"/>
      <c r="R469" s="11"/>
    </row>
    <row r="470" spans="1:18" x14ac:dyDescent="0.2">
      <c r="A470" s="10" t="s">
        <v>140</v>
      </c>
      <c r="B470" s="10" t="s">
        <v>142</v>
      </c>
      <c r="C470" s="10" t="s">
        <v>45</v>
      </c>
      <c r="D470" s="10">
        <v>80634</v>
      </c>
      <c r="E470" s="10" t="s">
        <v>6</v>
      </c>
      <c r="F470" s="10">
        <v>2837</v>
      </c>
      <c r="Q470" s="11"/>
      <c r="R470" s="11"/>
    </row>
    <row r="471" spans="1:18" x14ac:dyDescent="0.2">
      <c r="A471" s="10" t="s">
        <v>140</v>
      </c>
      <c r="B471" s="10" t="s">
        <v>143</v>
      </c>
      <c r="C471" s="10" t="s">
        <v>45</v>
      </c>
      <c r="D471" s="10">
        <v>80538</v>
      </c>
      <c r="E471" s="10" t="s">
        <v>6</v>
      </c>
      <c r="F471" s="10">
        <v>1608</v>
      </c>
      <c r="Q471" s="11"/>
      <c r="R471" s="11"/>
    </row>
    <row r="472" spans="1:18" x14ac:dyDescent="0.2">
      <c r="A472" s="10" t="s">
        <v>140</v>
      </c>
      <c r="B472" s="10" t="s">
        <v>143</v>
      </c>
      <c r="C472" s="10" t="s">
        <v>45</v>
      </c>
      <c r="D472" s="10">
        <v>80528</v>
      </c>
      <c r="E472" s="10" t="s">
        <v>6</v>
      </c>
      <c r="F472" s="10">
        <v>491</v>
      </c>
      <c r="Q472" s="11"/>
      <c r="R472" s="11"/>
    </row>
    <row r="473" spans="1:18" x14ac:dyDescent="0.2">
      <c r="A473" s="10" t="s">
        <v>140</v>
      </c>
      <c r="B473" s="10" t="s">
        <v>143</v>
      </c>
      <c r="C473" s="10" t="s">
        <v>45</v>
      </c>
      <c r="D473" s="10">
        <v>80525</v>
      </c>
      <c r="E473" s="10" t="s">
        <v>5</v>
      </c>
      <c r="F473" s="10">
        <v>1174</v>
      </c>
      <c r="Q473" s="11"/>
      <c r="R473" s="11"/>
    </row>
    <row r="474" spans="1:18" x14ac:dyDescent="0.2">
      <c r="A474" s="10" t="s">
        <v>140</v>
      </c>
      <c r="B474" s="10" t="s">
        <v>144</v>
      </c>
      <c r="C474" s="10" t="s">
        <v>45</v>
      </c>
      <c r="D474" s="10">
        <v>80126</v>
      </c>
      <c r="E474" s="10" t="s">
        <v>7</v>
      </c>
      <c r="F474" s="10">
        <v>1171</v>
      </c>
      <c r="Q474" s="11"/>
      <c r="R474" s="11"/>
    </row>
    <row r="475" spans="1:18" x14ac:dyDescent="0.2">
      <c r="A475" s="10" t="s">
        <v>140</v>
      </c>
      <c r="B475" s="10" t="s">
        <v>143</v>
      </c>
      <c r="C475" s="10" t="s">
        <v>45</v>
      </c>
      <c r="D475" s="10">
        <v>80525</v>
      </c>
      <c r="E475" s="10" t="s">
        <v>7</v>
      </c>
      <c r="F475" s="10">
        <v>1702</v>
      </c>
      <c r="Q475" s="11"/>
      <c r="R475" s="11"/>
    </row>
    <row r="476" spans="1:18" x14ac:dyDescent="0.2">
      <c r="A476" s="10" t="s">
        <v>140</v>
      </c>
      <c r="B476" s="10" t="s">
        <v>144</v>
      </c>
      <c r="C476" s="10" t="s">
        <v>45</v>
      </c>
      <c r="D476" s="10">
        <v>80104</v>
      </c>
      <c r="E476" s="10" t="s">
        <v>6</v>
      </c>
      <c r="F476" s="10">
        <v>1001</v>
      </c>
      <c r="Q476" s="11"/>
      <c r="R476" s="11"/>
    </row>
    <row r="477" spans="1:18" x14ac:dyDescent="0.2">
      <c r="A477" s="10" t="s">
        <v>140</v>
      </c>
      <c r="B477" s="10" t="s">
        <v>144</v>
      </c>
      <c r="C477" s="10" t="s">
        <v>45</v>
      </c>
      <c r="D477" s="10">
        <v>80129</v>
      </c>
      <c r="E477" s="10" t="s">
        <v>7</v>
      </c>
      <c r="F477" s="10">
        <v>813</v>
      </c>
      <c r="Q477" s="11"/>
      <c r="R477" s="11"/>
    </row>
    <row r="478" spans="1:18" x14ac:dyDescent="0.2">
      <c r="A478" s="10" t="s">
        <v>140</v>
      </c>
      <c r="B478" s="10" t="s">
        <v>144</v>
      </c>
      <c r="C478" s="10" t="s">
        <v>45</v>
      </c>
      <c r="D478" s="10">
        <v>80134</v>
      </c>
      <c r="E478" s="10" t="s">
        <v>6</v>
      </c>
      <c r="F478" s="10">
        <v>1715</v>
      </c>
      <c r="Q478" s="11"/>
      <c r="R478" s="11"/>
    </row>
    <row r="479" spans="1:18" x14ac:dyDescent="0.2">
      <c r="A479" s="10" t="s">
        <v>140</v>
      </c>
      <c r="B479" s="10" t="s">
        <v>145</v>
      </c>
      <c r="C479" s="10" t="s">
        <v>46</v>
      </c>
      <c r="D479" s="10">
        <v>80202</v>
      </c>
      <c r="E479" s="10" t="s">
        <v>6</v>
      </c>
      <c r="F479" s="10">
        <v>953</v>
      </c>
      <c r="Q479" s="11"/>
      <c r="R479" s="11"/>
    </row>
    <row r="480" spans="1:18" x14ac:dyDescent="0.2">
      <c r="A480" s="10" t="s">
        <v>140</v>
      </c>
      <c r="B480" s="10" t="s">
        <v>146</v>
      </c>
      <c r="C480" s="10" t="s">
        <v>46</v>
      </c>
      <c r="D480" s="10">
        <v>80922</v>
      </c>
      <c r="E480" s="10" t="s">
        <v>5</v>
      </c>
      <c r="F480" s="10">
        <v>2808</v>
      </c>
      <c r="Q480" s="11"/>
      <c r="R480" s="11"/>
    </row>
    <row r="481" spans="1:18" x14ac:dyDescent="0.2">
      <c r="A481" s="10" t="s">
        <v>140</v>
      </c>
      <c r="B481" s="10" t="s">
        <v>146</v>
      </c>
      <c r="C481" s="10" t="s">
        <v>46</v>
      </c>
      <c r="D481" s="10">
        <v>80905</v>
      </c>
      <c r="E481" s="10" t="s">
        <v>6</v>
      </c>
      <c r="F481" s="10">
        <v>873</v>
      </c>
      <c r="Q481" s="11"/>
      <c r="R481" s="11"/>
    </row>
    <row r="482" spans="1:18" x14ac:dyDescent="0.2">
      <c r="A482" s="10" t="s">
        <v>140</v>
      </c>
      <c r="B482" s="10" t="s">
        <v>146</v>
      </c>
      <c r="C482" s="10" t="s">
        <v>46</v>
      </c>
      <c r="D482" s="10">
        <v>80920</v>
      </c>
      <c r="E482" s="10" t="s">
        <v>8</v>
      </c>
      <c r="F482" s="10">
        <v>36</v>
      </c>
      <c r="Q482" s="11"/>
      <c r="R482" s="11"/>
    </row>
    <row r="483" spans="1:18" x14ac:dyDescent="0.2">
      <c r="A483" s="10" t="s">
        <v>140</v>
      </c>
      <c r="B483" s="10" t="s">
        <v>75</v>
      </c>
      <c r="C483" s="10" t="s">
        <v>46</v>
      </c>
      <c r="D483" s="10">
        <v>80031</v>
      </c>
      <c r="E483" s="10" t="s">
        <v>6</v>
      </c>
      <c r="F483" s="10">
        <v>1322</v>
      </c>
      <c r="Q483" s="11"/>
      <c r="R483" s="11"/>
    </row>
    <row r="484" spans="1:18" x14ac:dyDescent="0.2">
      <c r="A484" s="10" t="s">
        <v>140</v>
      </c>
      <c r="B484" s="10" t="s">
        <v>147</v>
      </c>
      <c r="C484" s="10" t="s">
        <v>46</v>
      </c>
      <c r="D484" s="10">
        <v>80122</v>
      </c>
      <c r="E484" s="10" t="s">
        <v>10</v>
      </c>
      <c r="F484" s="10">
        <v>504</v>
      </c>
      <c r="Q484" s="11"/>
      <c r="R484" s="11"/>
    </row>
    <row r="485" spans="1:18" x14ac:dyDescent="0.2">
      <c r="A485" s="10" t="s">
        <v>140</v>
      </c>
      <c r="B485" s="10" t="s">
        <v>75</v>
      </c>
      <c r="C485" s="10" t="s">
        <v>46</v>
      </c>
      <c r="D485" s="10">
        <v>80123</v>
      </c>
      <c r="E485" s="10" t="s">
        <v>6</v>
      </c>
      <c r="F485" s="10">
        <v>271</v>
      </c>
      <c r="Q485" s="11"/>
      <c r="R485" s="11"/>
    </row>
    <row r="486" spans="1:18" x14ac:dyDescent="0.2">
      <c r="A486" s="10" t="s">
        <v>140</v>
      </c>
      <c r="B486" s="10" t="s">
        <v>146</v>
      </c>
      <c r="C486" s="10" t="s">
        <v>46</v>
      </c>
      <c r="D486" s="10">
        <v>80132</v>
      </c>
      <c r="E486" s="10" t="s">
        <v>5</v>
      </c>
      <c r="F486" s="10">
        <v>940</v>
      </c>
      <c r="Q486" s="11"/>
      <c r="R486" s="11"/>
    </row>
    <row r="487" spans="1:18" x14ac:dyDescent="0.2">
      <c r="A487" s="10" t="s">
        <v>140</v>
      </c>
      <c r="B487" s="10" t="s">
        <v>148</v>
      </c>
      <c r="C487" s="10" t="s">
        <v>46</v>
      </c>
      <c r="D487" s="10">
        <v>81401</v>
      </c>
      <c r="E487" s="10" t="s">
        <v>6</v>
      </c>
      <c r="F487" s="10">
        <v>1666</v>
      </c>
      <c r="Q487" s="11"/>
      <c r="R487" s="11"/>
    </row>
    <row r="488" spans="1:18" x14ac:dyDescent="0.2">
      <c r="A488" s="10" t="s">
        <v>140</v>
      </c>
      <c r="B488" s="10" t="s">
        <v>149</v>
      </c>
      <c r="C488" s="10" t="s">
        <v>46</v>
      </c>
      <c r="D488" s="10">
        <v>80501</v>
      </c>
      <c r="E488" s="10" t="s">
        <v>5</v>
      </c>
      <c r="F488" s="10">
        <v>1121</v>
      </c>
      <c r="Q488" s="11"/>
      <c r="R488" s="11"/>
    </row>
    <row r="489" spans="1:18" x14ac:dyDescent="0.2">
      <c r="A489" s="10" t="s">
        <v>140</v>
      </c>
      <c r="B489" s="10" t="s">
        <v>75</v>
      </c>
      <c r="C489" s="10" t="s">
        <v>46</v>
      </c>
      <c r="D489" s="10">
        <v>80401</v>
      </c>
      <c r="E489" s="10" t="s">
        <v>7</v>
      </c>
      <c r="F489" s="10">
        <v>1294</v>
      </c>
      <c r="Q489" s="11"/>
      <c r="R489" s="11"/>
    </row>
    <row r="490" spans="1:18" x14ac:dyDescent="0.2">
      <c r="A490" s="10" t="s">
        <v>140</v>
      </c>
      <c r="B490" s="10" t="s">
        <v>147</v>
      </c>
      <c r="C490" s="10" t="s">
        <v>46</v>
      </c>
      <c r="D490" s="10">
        <v>80246</v>
      </c>
      <c r="E490" s="10" t="s">
        <v>6</v>
      </c>
      <c r="F490" s="10">
        <v>949</v>
      </c>
      <c r="Q490" s="11"/>
      <c r="R490" s="11"/>
    </row>
    <row r="491" spans="1:18" x14ac:dyDescent="0.2">
      <c r="A491" s="10" t="s">
        <v>140</v>
      </c>
      <c r="B491" s="10" t="s">
        <v>147</v>
      </c>
      <c r="C491" s="10" t="s">
        <v>46</v>
      </c>
      <c r="D491" s="10">
        <v>80246</v>
      </c>
      <c r="E491" s="10" t="s">
        <v>5</v>
      </c>
      <c r="F491" s="10">
        <v>1099</v>
      </c>
      <c r="Q491" s="11"/>
      <c r="R491" s="11"/>
    </row>
    <row r="492" spans="1:18" x14ac:dyDescent="0.2">
      <c r="A492" s="10" t="s">
        <v>140</v>
      </c>
      <c r="B492" s="10" t="s">
        <v>149</v>
      </c>
      <c r="C492" s="10" t="s">
        <v>46</v>
      </c>
      <c r="D492" s="10">
        <v>80501</v>
      </c>
      <c r="E492" s="10" t="s">
        <v>7</v>
      </c>
      <c r="F492" s="10">
        <v>1370</v>
      </c>
      <c r="Q492" s="11"/>
      <c r="R492" s="11"/>
    </row>
    <row r="493" spans="1:18" x14ac:dyDescent="0.2">
      <c r="A493" s="10" t="s">
        <v>140</v>
      </c>
      <c r="B493" s="10" t="s">
        <v>145</v>
      </c>
      <c r="C493" s="10" t="s">
        <v>46</v>
      </c>
      <c r="D493" s="10">
        <v>80246</v>
      </c>
      <c r="E493" s="10" t="s">
        <v>5</v>
      </c>
      <c r="F493" s="10">
        <v>1099</v>
      </c>
      <c r="Q493" s="11"/>
      <c r="R493" s="11"/>
    </row>
    <row r="494" spans="1:18" x14ac:dyDescent="0.2">
      <c r="A494" s="10" t="s">
        <v>140</v>
      </c>
      <c r="B494" s="10" t="s">
        <v>145</v>
      </c>
      <c r="C494" s="10" t="s">
        <v>46</v>
      </c>
      <c r="D494" s="10">
        <v>80246</v>
      </c>
      <c r="E494" s="10" t="s">
        <v>6</v>
      </c>
      <c r="F494" s="10">
        <v>949</v>
      </c>
      <c r="Q494" s="11"/>
      <c r="R494" s="11"/>
    </row>
    <row r="495" spans="1:18" x14ac:dyDescent="0.2">
      <c r="A495" s="10" t="s">
        <v>140</v>
      </c>
      <c r="B495" s="10" t="s">
        <v>145</v>
      </c>
      <c r="C495" s="10" t="s">
        <v>46</v>
      </c>
      <c r="D495" s="10">
        <v>80222</v>
      </c>
      <c r="E495" s="10" t="s">
        <v>6</v>
      </c>
      <c r="F495" s="10">
        <v>1537</v>
      </c>
      <c r="Q495" s="11"/>
      <c r="R495" s="11"/>
    </row>
    <row r="496" spans="1:18" x14ac:dyDescent="0.2">
      <c r="A496" s="10" t="s">
        <v>140</v>
      </c>
      <c r="B496" s="10" t="s">
        <v>145</v>
      </c>
      <c r="C496" s="10" t="s">
        <v>46</v>
      </c>
      <c r="D496" s="10">
        <v>80202</v>
      </c>
      <c r="E496" s="10" t="s">
        <v>9</v>
      </c>
      <c r="F496" s="10">
        <v>915</v>
      </c>
      <c r="Q496" s="11"/>
      <c r="R496" s="11"/>
    </row>
    <row r="497" spans="1:18" x14ac:dyDescent="0.2">
      <c r="A497" s="10" t="s">
        <v>140</v>
      </c>
      <c r="B497" s="10" t="s">
        <v>145</v>
      </c>
      <c r="C497" s="10" t="s">
        <v>46</v>
      </c>
      <c r="D497" s="10">
        <v>80123</v>
      </c>
      <c r="E497" s="10" t="s">
        <v>6</v>
      </c>
      <c r="F497" s="10">
        <v>271</v>
      </c>
      <c r="Q497" s="11"/>
      <c r="R497" s="11"/>
    </row>
    <row r="498" spans="1:18" x14ac:dyDescent="0.2">
      <c r="A498" s="10" t="s">
        <v>140</v>
      </c>
      <c r="B498" s="10" t="s">
        <v>149</v>
      </c>
      <c r="C498" s="10" t="s">
        <v>46</v>
      </c>
      <c r="D498" s="10">
        <v>80027</v>
      </c>
      <c r="E498" s="10" t="s">
        <v>7</v>
      </c>
      <c r="F498" s="10">
        <v>442</v>
      </c>
      <c r="Q498" s="11"/>
      <c r="R498" s="11"/>
    </row>
    <row r="499" spans="1:18" x14ac:dyDescent="0.2">
      <c r="A499" s="10" t="s">
        <v>140</v>
      </c>
      <c r="B499" s="10" t="s">
        <v>75</v>
      </c>
      <c r="C499" s="10" t="s">
        <v>46</v>
      </c>
      <c r="D499" s="10">
        <v>80002</v>
      </c>
      <c r="E499" s="10" t="s">
        <v>6</v>
      </c>
      <c r="F499" s="10">
        <v>1323</v>
      </c>
      <c r="Q499" s="11"/>
      <c r="R499" s="11"/>
    </row>
    <row r="500" spans="1:18" x14ac:dyDescent="0.2">
      <c r="A500" s="10" t="s">
        <v>140</v>
      </c>
      <c r="B500" s="10" t="s">
        <v>145</v>
      </c>
      <c r="C500" s="10" t="s">
        <v>46</v>
      </c>
      <c r="D500" s="10">
        <v>80203</v>
      </c>
      <c r="E500" s="10" t="s">
        <v>6</v>
      </c>
      <c r="F500" s="10">
        <v>476</v>
      </c>
      <c r="Q500" s="11"/>
      <c r="R500" s="11"/>
    </row>
    <row r="501" spans="1:18" x14ac:dyDescent="0.2">
      <c r="A501" s="10" t="s">
        <v>140</v>
      </c>
      <c r="B501" s="10" t="s">
        <v>147</v>
      </c>
      <c r="C501" s="10" t="s">
        <v>46</v>
      </c>
      <c r="D501" s="10">
        <v>80110</v>
      </c>
      <c r="E501" s="10" t="s">
        <v>6</v>
      </c>
      <c r="F501" s="10">
        <v>632</v>
      </c>
      <c r="Q501" s="11"/>
      <c r="R501" s="11"/>
    </row>
    <row r="502" spans="1:18" x14ac:dyDescent="0.2">
      <c r="A502" s="10" t="s">
        <v>140</v>
      </c>
      <c r="B502" s="10" t="s">
        <v>146</v>
      </c>
      <c r="C502" s="10" t="s">
        <v>46</v>
      </c>
      <c r="D502" s="10">
        <v>80919</v>
      </c>
      <c r="E502" s="10" t="s">
        <v>5</v>
      </c>
      <c r="F502" s="10">
        <v>927</v>
      </c>
      <c r="Q502" s="11"/>
      <c r="R502" s="11"/>
    </row>
    <row r="503" spans="1:18" x14ac:dyDescent="0.2">
      <c r="A503" s="10" t="s">
        <v>140</v>
      </c>
      <c r="B503" s="10" t="s">
        <v>146</v>
      </c>
      <c r="C503" s="10" t="s">
        <v>46</v>
      </c>
      <c r="D503" s="10">
        <v>80920</v>
      </c>
      <c r="E503" s="10" t="s">
        <v>6</v>
      </c>
      <c r="F503" s="10">
        <v>1762</v>
      </c>
      <c r="Q503" s="11"/>
      <c r="R503" s="11"/>
    </row>
    <row r="504" spans="1:18" x14ac:dyDescent="0.2">
      <c r="A504" s="10" t="s">
        <v>140</v>
      </c>
      <c r="B504" s="10" t="s">
        <v>75</v>
      </c>
      <c r="C504" s="10" t="s">
        <v>46</v>
      </c>
      <c r="D504" s="10">
        <v>80002</v>
      </c>
      <c r="E504" s="10" t="s">
        <v>7</v>
      </c>
      <c r="F504" s="10">
        <v>1328</v>
      </c>
      <c r="Q504" s="11"/>
      <c r="R504" s="11"/>
    </row>
    <row r="505" spans="1:18" x14ac:dyDescent="0.2">
      <c r="A505" s="10" t="s">
        <v>140</v>
      </c>
      <c r="B505" s="10" t="s">
        <v>149</v>
      </c>
      <c r="C505" s="10" t="s">
        <v>46</v>
      </c>
      <c r="D505" s="10">
        <v>80301</v>
      </c>
      <c r="E505" s="10" t="s">
        <v>5</v>
      </c>
      <c r="F505" s="10">
        <v>833</v>
      </c>
      <c r="Q505" s="11"/>
      <c r="R505" s="11"/>
    </row>
    <row r="506" spans="1:18" x14ac:dyDescent="0.2">
      <c r="A506" s="10" t="s">
        <v>140</v>
      </c>
      <c r="B506" s="10" t="s">
        <v>149</v>
      </c>
      <c r="C506" s="10" t="s">
        <v>46</v>
      </c>
      <c r="D506" s="10">
        <v>80301</v>
      </c>
      <c r="E506" s="10" t="s">
        <v>6</v>
      </c>
      <c r="F506" s="10">
        <v>591</v>
      </c>
      <c r="Q506" s="11"/>
      <c r="R506" s="11"/>
    </row>
    <row r="507" spans="1:18" x14ac:dyDescent="0.2">
      <c r="A507" s="10" t="s">
        <v>140</v>
      </c>
      <c r="B507" s="10" t="s">
        <v>145</v>
      </c>
      <c r="C507" s="10" t="s">
        <v>46</v>
      </c>
      <c r="D507" s="10">
        <v>80238</v>
      </c>
      <c r="E507" s="10" t="s">
        <v>6</v>
      </c>
      <c r="F507" s="10">
        <v>1148</v>
      </c>
      <c r="Q507" s="11"/>
      <c r="R507" s="11"/>
    </row>
    <row r="508" spans="1:18" x14ac:dyDescent="0.2">
      <c r="A508" s="10" t="s">
        <v>140</v>
      </c>
      <c r="B508" s="10" t="s">
        <v>145</v>
      </c>
      <c r="C508" s="10" t="s">
        <v>46</v>
      </c>
      <c r="D508" s="10">
        <v>80206</v>
      </c>
      <c r="E508" s="10" t="s">
        <v>10</v>
      </c>
      <c r="F508" s="10">
        <v>562</v>
      </c>
      <c r="Q508" s="11"/>
      <c r="R508" s="11"/>
    </row>
    <row r="509" spans="1:18" x14ac:dyDescent="0.2">
      <c r="A509" s="10" t="s">
        <v>140</v>
      </c>
      <c r="B509" s="10" t="s">
        <v>147</v>
      </c>
      <c r="C509" s="10" t="s">
        <v>46</v>
      </c>
      <c r="D509" s="10">
        <v>80016</v>
      </c>
      <c r="E509" s="10" t="s">
        <v>6</v>
      </c>
      <c r="F509" s="10">
        <v>1963</v>
      </c>
      <c r="Q509" s="11"/>
      <c r="R509" s="11"/>
    </row>
    <row r="510" spans="1:18" x14ac:dyDescent="0.2">
      <c r="A510" s="10" t="s">
        <v>140</v>
      </c>
      <c r="B510" s="10" t="s">
        <v>145</v>
      </c>
      <c r="C510" s="10" t="s">
        <v>46</v>
      </c>
      <c r="D510" s="10">
        <v>80123</v>
      </c>
      <c r="E510" s="10" t="s">
        <v>7</v>
      </c>
      <c r="F510" s="10">
        <v>627</v>
      </c>
      <c r="Q510" s="11"/>
      <c r="R510" s="11"/>
    </row>
    <row r="511" spans="1:18" x14ac:dyDescent="0.2">
      <c r="A511" s="10" t="s">
        <v>140</v>
      </c>
      <c r="B511" s="10" t="s">
        <v>150</v>
      </c>
      <c r="C511" s="10" t="s">
        <v>46</v>
      </c>
      <c r="D511" s="10">
        <v>81303</v>
      </c>
      <c r="E511" s="10" t="s">
        <v>6</v>
      </c>
      <c r="F511" s="10">
        <v>437</v>
      </c>
      <c r="Q511" s="11"/>
      <c r="R511" s="11"/>
    </row>
    <row r="512" spans="1:18" x14ac:dyDescent="0.2">
      <c r="A512" s="10" t="s">
        <v>140</v>
      </c>
      <c r="B512" s="10" t="s">
        <v>145</v>
      </c>
      <c r="C512" s="10" t="s">
        <v>46</v>
      </c>
      <c r="D512" s="10">
        <v>80209</v>
      </c>
      <c r="E512" s="10" t="s">
        <v>6</v>
      </c>
      <c r="F512" s="10">
        <v>3004</v>
      </c>
      <c r="Q512" s="11"/>
      <c r="R512" s="11"/>
    </row>
    <row r="513" spans="1:18" x14ac:dyDescent="0.2">
      <c r="A513" s="10" t="s">
        <v>140</v>
      </c>
      <c r="B513" s="10" t="s">
        <v>151</v>
      </c>
      <c r="C513" s="10" t="s">
        <v>46</v>
      </c>
      <c r="D513" s="10">
        <v>81505</v>
      </c>
      <c r="E513" s="10" t="s">
        <v>6</v>
      </c>
      <c r="F513" s="10">
        <v>1069</v>
      </c>
      <c r="Q513" s="11"/>
      <c r="R513" s="11"/>
    </row>
    <row r="514" spans="1:18" x14ac:dyDescent="0.2">
      <c r="A514" s="10" t="s">
        <v>140</v>
      </c>
      <c r="B514" s="10" t="s">
        <v>147</v>
      </c>
      <c r="C514" s="10" t="s">
        <v>46</v>
      </c>
      <c r="D514" s="10">
        <v>80012</v>
      </c>
      <c r="E514" s="10" t="s">
        <v>6</v>
      </c>
      <c r="F514" s="10">
        <v>5378</v>
      </c>
      <c r="Q514" s="11"/>
      <c r="R514" s="11"/>
    </row>
    <row r="515" spans="1:18" x14ac:dyDescent="0.2">
      <c r="A515" s="10" t="s">
        <v>140</v>
      </c>
      <c r="B515" s="10" t="s">
        <v>147</v>
      </c>
      <c r="C515" s="10" t="s">
        <v>46</v>
      </c>
      <c r="D515" s="10">
        <v>80112</v>
      </c>
      <c r="E515" s="10" t="s">
        <v>6</v>
      </c>
      <c r="F515" s="10">
        <v>536</v>
      </c>
      <c r="Q515" s="11"/>
      <c r="R515" s="11"/>
    </row>
    <row r="516" spans="1:18" x14ac:dyDescent="0.2">
      <c r="A516" s="10" t="s">
        <v>140</v>
      </c>
      <c r="B516" s="10" t="s">
        <v>147</v>
      </c>
      <c r="C516" s="10" t="s">
        <v>46</v>
      </c>
      <c r="D516" s="10">
        <v>80122</v>
      </c>
      <c r="E516" s="10" t="s">
        <v>6</v>
      </c>
      <c r="F516" s="10">
        <v>224</v>
      </c>
      <c r="Q516" s="11"/>
      <c r="R516" s="11"/>
    </row>
    <row r="517" spans="1:18" x14ac:dyDescent="0.2">
      <c r="A517" s="10" t="s">
        <v>140</v>
      </c>
      <c r="B517" s="10" t="s">
        <v>147</v>
      </c>
      <c r="C517" s="10" t="s">
        <v>46</v>
      </c>
      <c r="D517" s="10">
        <v>80122</v>
      </c>
      <c r="E517" s="10" t="s">
        <v>5</v>
      </c>
      <c r="F517" s="10">
        <v>1133</v>
      </c>
      <c r="Q517" s="11"/>
      <c r="R517" s="11"/>
    </row>
    <row r="518" spans="1:18" x14ac:dyDescent="0.2">
      <c r="A518" s="10" t="s">
        <v>140</v>
      </c>
      <c r="B518" s="10" t="s">
        <v>75</v>
      </c>
      <c r="C518" s="10" t="s">
        <v>46</v>
      </c>
      <c r="D518" s="10">
        <v>80123</v>
      </c>
      <c r="E518" s="10" t="s">
        <v>7</v>
      </c>
      <c r="F518" s="10">
        <v>627</v>
      </c>
      <c r="Q518" s="11"/>
      <c r="R518" s="11"/>
    </row>
    <row r="519" spans="1:18" x14ac:dyDescent="0.2">
      <c r="A519" s="10" t="s">
        <v>140</v>
      </c>
      <c r="B519" s="10" t="s">
        <v>75</v>
      </c>
      <c r="C519" s="10" t="s">
        <v>46</v>
      </c>
      <c r="D519" s="10">
        <v>80226</v>
      </c>
      <c r="E519" s="10" t="s">
        <v>6</v>
      </c>
      <c r="F519" s="10">
        <v>995</v>
      </c>
      <c r="Q519" s="11"/>
      <c r="R519" s="11"/>
    </row>
    <row r="520" spans="1:18" x14ac:dyDescent="0.2">
      <c r="A520" s="10" t="s">
        <v>140</v>
      </c>
      <c r="B520" s="10" t="s">
        <v>75</v>
      </c>
      <c r="C520" s="10" t="s">
        <v>46</v>
      </c>
      <c r="D520" s="10">
        <v>80226</v>
      </c>
      <c r="E520" s="10" t="s">
        <v>5</v>
      </c>
      <c r="F520" s="10">
        <v>1034</v>
      </c>
      <c r="Q520" s="11"/>
      <c r="R520" s="11"/>
    </row>
    <row r="521" spans="1:18" x14ac:dyDescent="0.2">
      <c r="A521" s="10" t="s">
        <v>140</v>
      </c>
      <c r="B521" s="10" t="s">
        <v>146</v>
      </c>
      <c r="C521" s="10" t="s">
        <v>46</v>
      </c>
      <c r="D521" s="10">
        <v>80906</v>
      </c>
      <c r="E521" s="10" t="s">
        <v>7</v>
      </c>
      <c r="F521" s="10">
        <v>1097</v>
      </c>
      <c r="Q521" s="11"/>
      <c r="R521" s="11"/>
    </row>
    <row r="522" spans="1:18" x14ac:dyDescent="0.2">
      <c r="A522" s="10" t="s">
        <v>140</v>
      </c>
      <c r="B522" s="10" t="s">
        <v>146</v>
      </c>
      <c r="C522" s="10" t="s">
        <v>46</v>
      </c>
      <c r="D522" s="10">
        <v>80907</v>
      </c>
      <c r="E522" s="10" t="s">
        <v>8</v>
      </c>
      <c r="F522" s="10">
        <v>284</v>
      </c>
      <c r="Q522" s="11"/>
      <c r="R522" s="11"/>
    </row>
    <row r="523" spans="1:18" x14ac:dyDescent="0.2">
      <c r="A523" s="10" t="s">
        <v>140</v>
      </c>
      <c r="B523" s="10" t="s">
        <v>146</v>
      </c>
      <c r="C523" s="10" t="s">
        <v>46</v>
      </c>
      <c r="D523" s="10">
        <v>80909</v>
      </c>
      <c r="E523" s="10" t="s">
        <v>6</v>
      </c>
      <c r="F523" s="10">
        <v>388</v>
      </c>
      <c r="Q523" s="11"/>
      <c r="R523" s="11"/>
    </row>
    <row r="524" spans="1:18" x14ac:dyDescent="0.2">
      <c r="A524" s="10" t="s">
        <v>140</v>
      </c>
      <c r="B524" s="10" t="s">
        <v>146</v>
      </c>
      <c r="C524" s="10" t="s">
        <v>46</v>
      </c>
      <c r="D524" s="10">
        <v>80920</v>
      </c>
      <c r="E524" s="10" t="s">
        <v>10</v>
      </c>
      <c r="F524" s="10">
        <v>1751</v>
      </c>
      <c r="Q524" s="11"/>
      <c r="R524" s="11"/>
    </row>
    <row r="525" spans="1:18" x14ac:dyDescent="0.2">
      <c r="A525" s="10" t="s">
        <v>140</v>
      </c>
      <c r="B525" s="10" t="s">
        <v>75</v>
      </c>
      <c r="C525" s="10" t="s">
        <v>46</v>
      </c>
      <c r="D525" s="10">
        <v>80433</v>
      </c>
      <c r="E525" s="10" t="s">
        <v>5</v>
      </c>
      <c r="F525" s="10">
        <v>271</v>
      </c>
      <c r="Q525" s="11"/>
      <c r="R525" s="11"/>
    </row>
    <row r="526" spans="1:18" x14ac:dyDescent="0.2">
      <c r="A526" s="10" t="s">
        <v>140</v>
      </c>
      <c r="B526" s="10" t="s">
        <v>152</v>
      </c>
      <c r="C526" s="10" t="s">
        <v>47</v>
      </c>
      <c r="D526" s="10">
        <v>80601</v>
      </c>
      <c r="E526" s="10" t="s">
        <v>6</v>
      </c>
      <c r="F526" s="10">
        <v>1105</v>
      </c>
      <c r="Q526" s="11"/>
      <c r="R526" s="11"/>
    </row>
    <row r="527" spans="1:18" x14ac:dyDescent="0.2">
      <c r="A527" s="10" t="s">
        <v>140</v>
      </c>
      <c r="B527" s="10" t="s">
        <v>153</v>
      </c>
      <c r="C527" s="10" t="s">
        <v>47</v>
      </c>
      <c r="D527" s="10">
        <v>81601</v>
      </c>
      <c r="E527" s="10" t="s">
        <v>6</v>
      </c>
      <c r="F527" s="10">
        <v>205</v>
      </c>
      <c r="Q527" s="11"/>
      <c r="R527" s="11"/>
    </row>
    <row r="528" spans="1:18" x14ac:dyDescent="0.2">
      <c r="A528" s="10" t="s">
        <v>140</v>
      </c>
      <c r="B528" s="10" t="s">
        <v>152</v>
      </c>
      <c r="C528" s="10" t="s">
        <v>47</v>
      </c>
      <c r="D528" s="10">
        <v>80020</v>
      </c>
      <c r="E528" s="10" t="s">
        <v>5</v>
      </c>
      <c r="F528" s="10">
        <v>2362</v>
      </c>
      <c r="Q528" s="11"/>
      <c r="R528" s="11"/>
    </row>
    <row r="529" spans="1:18" x14ac:dyDescent="0.2">
      <c r="A529" s="10" t="s">
        <v>140</v>
      </c>
      <c r="B529" s="10" t="s">
        <v>152</v>
      </c>
      <c r="C529" s="10" t="s">
        <v>47</v>
      </c>
      <c r="D529" s="10">
        <v>80023</v>
      </c>
      <c r="E529" s="10" t="s">
        <v>5</v>
      </c>
      <c r="F529" s="10">
        <v>1435</v>
      </c>
      <c r="Q529" s="11"/>
      <c r="R529" s="11"/>
    </row>
    <row r="530" spans="1:18" x14ac:dyDescent="0.2">
      <c r="A530" s="10" t="s">
        <v>140</v>
      </c>
      <c r="B530" s="10" t="s">
        <v>154</v>
      </c>
      <c r="C530" s="10" t="s">
        <v>47</v>
      </c>
      <c r="D530" s="10">
        <v>81005</v>
      </c>
      <c r="E530" s="10" t="s">
        <v>6</v>
      </c>
      <c r="F530" s="10">
        <v>4653</v>
      </c>
      <c r="Q530" s="11"/>
      <c r="R530" s="11"/>
    </row>
    <row r="531" spans="1:18" x14ac:dyDescent="0.2">
      <c r="A531" s="10" t="s">
        <v>140</v>
      </c>
      <c r="B531" s="10" t="s">
        <v>155</v>
      </c>
      <c r="C531" s="10" t="s">
        <v>47</v>
      </c>
      <c r="D531" s="10">
        <v>80498</v>
      </c>
      <c r="E531" s="10" t="s">
        <v>7</v>
      </c>
      <c r="F531" s="10">
        <v>1572</v>
      </c>
      <c r="Q531" s="11"/>
      <c r="R531" s="11"/>
    </row>
    <row r="532" spans="1:18" x14ac:dyDescent="0.2">
      <c r="A532" s="10" t="s">
        <v>140</v>
      </c>
      <c r="B532" s="10" t="s">
        <v>152</v>
      </c>
      <c r="C532" s="10" t="s">
        <v>47</v>
      </c>
      <c r="D532" s="10">
        <v>80233</v>
      </c>
      <c r="E532" s="10" t="s">
        <v>7</v>
      </c>
      <c r="F532" s="10">
        <v>1930</v>
      </c>
      <c r="Q532" s="11"/>
      <c r="R532" s="11"/>
    </row>
    <row r="533" spans="1:18" x14ac:dyDescent="0.2">
      <c r="A533" s="10" t="s">
        <v>140</v>
      </c>
      <c r="B533" s="10" t="s">
        <v>154</v>
      </c>
      <c r="C533" s="10" t="s">
        <v>47</v>
      </c>
      <c r="D533" s="10">
        <v>81008</v>
      </c>
      <c r="E533" s="10" t="s">
        <v>5</v>
      </c>
      <c r="F533" s="10">
        <v>1636</v>
      </c>
      <c r="Q533" s="11"/>
      <c r="R533" s="11"/>
    </row>
    <row r="534" spans="1:18" x14ac:dyDescent="0.2">
      <c r="A534" s="10" t="s">
        <v>140</v>
      </c>
      <c r="B534" s="10" t="s">
        <v>152</v>
      </c>
      <c r="C534" s="10" t="s">
        <v>47</v>
      </c>
      <c r="D534" s="10">
        <v>80234</v>
      </c>
      <c r="E534" s="10" t="s">
        <v>6</v>
      </c>
      <c r="F534" s="10">
        <v>1053</v>
      </c>
      <c r="Q534" s="11"/>
      <c r="R534" s="11"/>
    </row>
    <row r="535" spans="1:18" x14ac:dyDescent="0.2">
      <c r="A535" s="10" t="s">
        <v>156</v>
      </c>
      <c r="B535" s="10" t="s">
        <v>157</v>
      </c>
      <c r="C535" s="10" t="s">
        <v>45</v>
      </c>
      <c r="D535" s="10">
        <v>6475</v>
      </c>
      <c r="E535" s="10" t="s">
        <v>5</v>
      </c>
      <c r="F535" s="10">
        <v>906</v>
      </c>
      <c r="Q535" s="11"/>
      <c r="R535" s="11"/>
    </row>
    <row r="536" spans="1:18" x14ac:dyDescent="0.2">
      <c r="A536" s="10" t="s">
        <v>156</v>
      </c>
      <c r="B536" s="10" t="s">
        <v>158</v>
      </c>
      <c r="C536" s="10" t="s">
        <v>45</v>
      </c>
      <c r="D536" s="10">
        <v>6241</v>
      </c>
      <c r="E536" s="10" t="s">
        <v>5</v>
      </c>
      <c r="F536" s="10">
        <v>897</v>
      </c>
      <c r="Q536" s="11"/>
      <c r="R536" s="11"/>
    </row>
    <row r="537" spans="1:18" x14ac:dyDescent="0.2">
      <c r="A537" s="10" t="s">
        <v>156</v>
      </c>
      <c r="B537" s="10" t="s">
        <v>157</v>
      </c>
      <c r="C537" s="10" t="s">
        <v>45</v>
      </c>
      <c r="D537" s="10">
        <v>6416</v>
      </c>
      <c r="E537" s="10" t="s">
        <v>8</v>
      </c>
      <c r="F537" s="10">
        <v>557</v>
      </c>
      <c r="Q537" s="11"/>
      <c r="R537" s="11"/>
    </row>
    <row r="538" spans="1:18" x14ac:dyDescent="0.2">
      <c r="A538" s="10" t="s">
        <v>156</v>
      </c>
      <c r="B538" s="10" t="s">
        <v>157</v>
      </c>
      <c r="C538" s="10" t="s">
        <v>45</v>
      </c>
      <c r="D538" s="10">
        <v>6457</v>
      </c>
      <c r="E538" s="10" t="s">
        <v>5</v>
      </c>
      <c r="F538" s="10">
        <v>2390</v>
      </c>
      <c r="Q538" s="11"/>
      <c r="R538" s="11"/>
    </row>
    <row r="539" spans="1:18" x14ac:dyDescent="0.2">
      <c r="A539" s="10" t="s">
        <v>156</v>
      </c>
      <c r="B539" s="10" t="s">
        <v>159</v>
      </c>
      <c r="C539" s="10" t="s">
        <v>46</v>
      </c>
      <c r="D539" s="10">
        <v>6066</v>
      </c>
      <c r="E539" s="10" t="s">
        <v>5</v>
      </c>
      <c r="F539" s="10">
        <v>1493</v>
      </c>
      <c r="Q539" s="11"/>
      <c r="R539" s="11"/>
    </row>
    <row r="540" spans="1:18" x14ac:dyDescent="0.2">
      <c r="A540" s="10" t="s">
        <v>156</v>
      </c>
      <c r="B540" s="10" t="s">
        <v>159</v>
      </c>
      <c r="C540" s="10" t="s">
        <v>46</v>
      </c>
      <c r="D540" s="10">
        <v>6226</v>
      </c>
      <c r="E540" s="10" t="s">
        <v>5</v>
      </c>
      <c r="F540" s="10">
        <v>879</v>
      </c>
      <c r="Q540" s="11"/>
      <c r="R540" s="11"/>
    </row>
    <row r="541" spans="1:18" x14ac:dyDescent="0.2">
      <c r="A541" s="10" t="s">
        <v>156</v>
      </c>
      <c r="B541" s="10" t="s">
        <v>160</v>
      </c>
      <c r="C541" s="10" t="s">
        <v>46</v>
      </c>
      <c r="D541" s="10">
        <v>6489</v>
      </c>
      <c r="E541" s="10" t="s">
        <v>5</v>
      </c>
      <c r="F541" s="10">
        <v>1463</v>
      </c>
      <c r="Q541" s="11"/>
      <c r="R541" s="11"/>
    </row>
    <row r="542" spans="1:18" x14ac:dyDescent="0.2">
      <c r="A542" s="10" t="s">
        <v>156</v>
      </c>
      <c r="B542" s="10" t="s">
        <v>161</v>
      </c>
      <c r="C542" s="10" t="s">
        <v>46</v>
      </c>
      <c r="D542" s="10">
        <v>6795</v>
      </c>
      <c r="E542" s="10" t="s">
        <v>5</v>
      </c>
      <c r="F542" s="10">
        <v>1212</v>
      </c>
      <c r="Q542" s="11"/>
      <c r="R542" s="11"/>
    </row>
    <row r="543" spans="1:18" x14ac:dyDescent="0.2">
      <c r="A543" s="10" t="s">
        <v>156</v>
      </c>
      <c r="B543" s="10" t="s">
        <v>160</v>
      </c>
      <c r="C543" s="10" t="s">
        <v>46</v>
      </c>
      <c r="D543" s="10">
        <v>6092</v>
      </c>
      <c r="E543" s="10" t="s">
        <v>5</v>
      </c>
      <c r="F543" s="10">
        <v>924</v>
      </c>
      <c r="Q543" s="11"/>
      <c r="R543" s="11"/>
    </row>
    <row r="544" spans="1:18" x14ac:dyDescent="0.2">
      <c r="A544" s="10" t="s">
        <v>156</v>
      </c>
      <c r="B544" s="10" t="s">
        <v>160</v>
      </c>
      <c r="C544" s="10" t="s">
        <v>46</v>
      </c>
      <c r="D544" s="10">
        <v>6117</v>
      </c>
      <c r="E544" s="10" t="s">
        <v>5</v>
      </c>
      <c r="F544" s="10">
        <v>1542</v>
      </c>
      <c r="Q544" s="11"/>
      <c r="R544" s="11"/>
    </row>
    <row r="545" spans="1:18" x14ac:dyDescent="0.2">
      <c r="A545" s="10" t="s">
        <v>156</v>
      </c>
      <c r="B545" s="10" t="s">
        <v>160</v>
      </c>
      <c r="C545" s="10" t="s">
        <v>46</v>
      </c>
      <c r="D545" s="10">
        <v>6111</v>
      </c>
      <c r="E545" s="10" t="s">
        <v>5</v>
      </c>
      <c r="F545" s="10">
        <v>1387</v>
      </c>
      <c r="Q545" s="11"/>
      <c r="R545" s="11"/>
    </row>
    <row r="546" spans="1:18" x14ac:dyDescent="0.2">
      <c r="A546" s="10" t="s">
        <v>156</v>
      </c>
      <c r="B546" s="10" t="s">
        <v>160</v>
      </c>
      <c r="C546" s="10" t="s">
        <v>46</v>
      </c>
      <c r="D546" s="10">
        <v>6033</v>
      </c>
      <c r="E546" s="10" t="s">
        <v>5</v>
      </c>
      <c r="F546" s="10">
        <v>1311</v>
      </c>
      <c r="Q546" s="11"/>
      <c r="R546" s="11"/>
    </row>
    <row r="547" spans="1:18" x14ac:dyDescent="0.2">
      <c r="A547" s="10" t="s">
        <v>156</v>
      </c>
      <c r="B547" s="10" t="s">
        <v>161</v>
      </c>
      <c r="C547" s="10" t="s">
        <v>46</v>
      </c>
      <c r="D547" s="10">
        <v>6776</v>
      </c>
      <c r="E547" s="10" t="s">
        <v>5</v>
      </c>
      <c r="F547" s="10">
        <v>837</v>
      </c>
      <c r="Q547" s="11"/>
      <c r="R547" s="11"/>
    </row>
    <row r="548" spans="1:18" x14ac:dyDescent="0.2">
      <c r="A548" s="10" t="s">
        <v>156</v>
      </c>
      <c r="B548" s="10" t="s">
        <v>160</v>
      </c>
      <c r="C548" s="10" t="s">
        <v>46</v>
      </c>
      <c r="D548" s="10">
        <v>6082</v>
      </c>
      <c r="E548" s="10" t="s">
        <v>5</v>
      </c>
      <c r="F548" s="10">
        <v>1087</v>
      </c>
      <c r="Q548" s="11"/>
      <c r="R548" s="11"/>
    </row>
    <row r="549" spans="1:18" x14ac:dyDescent="0.2">
      <c r="A549" s="10" t="s">
        <v>156</v>
      </c>
      <c r="B549" s="10" t="s">
        <v>161</v>
      </c>
      <c r="C549" s="10" t="s">
        <v>46</v>
      </c>
      <c r="D549" s="10">
        <v>6790</v>
      </c>
      <c r="E549" s="10" t="s">
        <v>5</v>
      </c>
      <c r="F549" s="10">
        <v>2005</v>
      </c>
      <c r="Q549" s="11"/>
      <c r="R549" s="11"/>
    </row>
    <row r="550" spans="1:18" x14ac:dyDescent="0.2">
      <c r="A550" s="10" t="s">
        <v>156</v>
      </c>
      <c r="B550" s="10" t="s">
        <v>162</v>
      </c>
      <c r="C550" s="10" t="s">
        <v>47</v>
      </c>
      <c r="D550" s="10">
        <v>6854</v>
      </c>
      <c r="E550" s="10" t="s">
        <v>8</v>
      </c>
      <c r="F550" s="10">
        <v>1062</v>
      </c>
      <c r="Q550" s="11"/>
      <c r="R550" s="11"/>
    </row>
    <row r="551" spans="1:18" x14ac:dyDescent="0.2">
      <c r="A551" s="10" t="s">
        <v>156</v>
      </c>
      <c r="B551" s="10" t="s">
        <v>162</v>
      </c>
      <c r="C551" s="10" t="s">
        <v>47</v>
      </c>
      <c r="D551" s="10">
        <v>6878</v>
      </c>
      <c r="E551" s="10" t="s">
        <v>5</v>
      </c>
      <c r="F551" s="10">
        <v>1213</v>
      </c>
      <c r="Q551" s="11"/>
      <c r="R551" s="11"/>
    </row>
    <row r="552" spans="1:18" x14ac:dyDescent="0.2">
      <c r="A552" s="10" t="s">
        <v>156</v>
      </c>
      <c r="B552" s="10" t="s">
        <v>162</v>
      </c>
      <c r="C552" s="10" t="s">
        <v>47</v>
      </c>
      <c r="D552" s="10">
        <v>6880</v>
      </c>
      <c r="E552" s="10" t="s">
        <v>10</v>
      </c>
      <c r="F552" s="10">
        <v>178</v>
      </c>
      <c r="Q552" s="11"/>
      <c r="R552" s="11"/>
    </row>
    <row r="553" spans="1:18" x14ac:dyDescent="0.2">
      <c r="A553" s="10" t="s">
        <v>156</v>
      </c>
      <c r="B553" s="10" t="s">
        <v>163</v>
      </c>
      <c r="C553" s="10" t="s">
        <v>47</v>
      </c>
      <c r="D553" s="10">
        <v>6492</v>
      </c>
      <c r="E553" s="10" t="s">
        <v>5</v>
      </c>
      <c r="F553" s="10">
        <v>1151</v>
      </c>
      <c r="Q553" s="11"/>
      <c r="R553" s="11"/>
    </row>
    <row r="554" spans="1:18" x14ac:dyDescent="0.2">
      <c r="A554" s="10" t="s">
        <v>156</v>
      </c>
      <c r="B554" s="10" t="s">
        <v>164</v>
      </c>
      <c r="C554" s="10" t="s">
        <v>47</v>
      </c>
      <c r="D554" s="10">
        <v>6320</v>
      </c>
      <c r="E554" s="10" t="s">
        <v>5</v>
      </c>
      <c r="F554" s="10">
        <v>1233</v>
      </c>
      <c r="Q554" s="11"/>
      <c r="R554" s="11"/>
    </row>
    <row r="555" spans="1:18" x14ac:dyDescent="0.2">
      <c r="A555" s="10" t="s">
        <v>156</v>
      </c>
      <c r="B555" s="10" t="s">
        <v>163</v>
      </c>
      <c r="C555" s="10" t="s">
        <v>47</v>
      </c>
      <c r="D555" s="10">
        <v>6460</v>
      </c>
      <c r="E555" s="10" t="s">
        <v>5</v>
      </c>
      <c r="F555" s="10">
        <v>2114</v>
      </c>
      <c r="Q555" s="11"/>
      <c r="R555" s="11"/>
    </row>
    <row r="556" spans="1:18" x14ac:dyDescent="0.2">
      <c r="A556" s="10" t="s">
        <v>156</v>
      </c>
      <c r="B556" s="10" t="s">
        <v>164</v>
      </c>
      <c r="C556" s="10" t="s">
        <v>47</v>
      </c>
      <c r="D556" s="10">
        <v>6360</v>
      </c>
      <c r="E556" s="10" t="s">
        <v>5</v>
      </c>
      <c r="F556" s="10">
        <v>746</v>
      </c>
      <c r="Q556" s="11"/>
      <c r="R556" s="11"/>
    </row>
    <row r="557" spans="1:18" x14ac:dyDescent="0.2">
      <c r="A557" s="10" t="s">
        <v>156</v>
      </c>
      <c r="B557" s="10" t="s">
        <v>163</v>
      </c>
      <c r="C557" s="10" t="s">
        <v>47</v>
      </c>
      <c r="D557" s="10">
        <v>6405</v>
      </c>
      <c r="E557" s="10" t="s">
        <v>5</v>
      </c>
      <c r="F557" s="10">
        <v>3046</v>
      </c>
      <c r="Q557" s="11"/>
      <c r="R557" s="11"/>
    </row>
    <row r="558" spans="1:18" x14ac:dyDescent="0.2">
      <c r="A558" s="10" t="s">
        <v>156</v>
      </c>
      <c r="B558" s="10" t="s">
        <v>162</v>
      </c>
      <c r="C558" s="10" t="s">
        <v>47</v>
      </c>
      <c r="D558" s="10">
        <v>6840</v>
      </c>
      <c r="E558" s="10" t="s">
        <v>9</v>
      </c>
      <c r="F558" s="10">
        <v>568</v>
      </c>
      <c r="Q558" s="11"/>
      <c r="R558" s="11"/>
    </row>
    <row r="559" spans="1:18" x14ac:dyDescent="0.2">
      <c r="A559" s="10" t="s">
        <v>156</v>
      </c>
      <c r="B559" s="10" t="s">
        <v>162</v>
      </c>
      <c r="C559" s="10" t="s">
        <v>47</v>
      </c>
      <c r="D559" s="10">
        <v>6830</v>
      </c>
      <c r="E559" s="10" t="s">
        <v>9</v>
      </c>
      <c r="F559" s="10">
        <v>328</v>
      </c>
      <c r="Q559" s="11"/>
      <c r="R559" s="11"/>
    </row>
    <row r="560" spans="1:18" x14ac:dyDescent="0.2">
      <c r="A560" s="10" t="s">
        <v>156</v>
      </c>
      <c r="B560" s="10" t="s">
        <v>162</v>
      </c>
      <c r="C560" s="10" t="s">
        <v>47</v>
      </c>
      <c r="D560" s="10">
        <v>6484</v>
      </c>
      <c r="E560" s="10" t="s">
        <v>5</v>
      </c>
      <c r="F560" s="10">
        <v>2702</v>
      </c>
      <c r="Q560" s="11"/>
      <c r="R560" s="11"/>
    </row>
    <row r="561" spans="1:18" x14ac:dyDescent="0.2">
      <c r="A561" s="10" t="s">
        <v>156</v>
      </c>
      <c r="B561" s="10" t="s">
        <v>162</v>
      </c>
      <c r="C561" s="10" t="s">
        <v>47</v>
      </c>
      <c r="D561" s="10">
        <v>6901</v>
      </c>
      <c r="E561" s="10" t="s">
        <v>9</v>
      </c>
      <c r="F561" s="10">
        <v>1833</v>
      </c>
      <c r="Q561" s="11"/>
      <c r="R561" s="11"/>
    </row>
    <row r="562" spans="1:18" x14ac:dyDescent="0.2">
      <c r="A562" s="10" t="s">
        <v>156</v>
      </c>
      <c r="B562" s="10" t="s">
        <v>162</v>
      </c>
      <c r="C562" s="10" t="s">
        <v>47</v>
      </c>
      <c r="D562" s="10">
        <v>6810</v>
      </c>
      <c r="E562" s="10" t="s">
        <v>5</v>
      </c>
      <c r="F562" s="10">
        <v>4318</v>
      </c>
      <c r="Q562" s="11"/>
      <c r="R562" s="11"/>
    </row>
    <row r="563" spans="1:18" x14ac:dyDescent="0.2">
      <c r="A563" s="10" t="s">
        <v>156</v>
      </c>
      <c r="B563" s="10" t="s">
        <v>162</v>
      </c>
      <c r="C563" s="10" t="s">
        <v>47</v>
      </c>
      <c r="D563" s="10">
        <v>6811</v>
      </c>
      <c r="E563" s="10" t="s">
        <v>5</v>
      </c>
      <c r="F563" s="10">
        <v>2903</v>
      </c>
      <c r="Q563" s="11"/>
      <c r="R563" s="11"/>
    </row>
    <row r="564" spans="1:18" x14ac:dyDescent="0.2">
      <c r="A564" s="10" t="s">
        <v>156</v>
      </c>
      <c r="B564" s="10" t="s">
        <v>162</v>
      </c>
      <c r="C564" s="10" t="s">
        <v>47</v>
      </c>
      <c r="D564" s="10">
        <v>6824</v>
      </c>
      <c r="E564" s="10" t="s">
        <v>5</v>
      </c>
      <c r="F564" s="10">
        <v>3717</v>
      </c>
      <c r="Q564" s="11"/>
      <c r="R564" s="11"/>
    </row>
    <row r="565" spans="1:18" x14ac:dyDescent="0.2">
      <c r="A565" s="10" t="s">
        <v>156</v>
      </c>
      <c r="B565" s="10" t="s">
        <v>162</v>
      </c>
      <c r="C565" s="10" t="s">
        <v>47</v>
      </c>
      <c r="D565" s="10">
        <v>6851</v>
      </c>
      <c r="E565" s="10" t="s">
        <v>5</v>
      </c>
      <c r="F565" s="10">
        <v>1537</v>
      </c>
      <c r="Q565" s="11"/>
      <c r="R565" s="11"/>
    </row>
    <row r="566" spans="1:18" x14ac:dyDescent="0.2">
      <c r="A566" s="10" t="s">
        <v>156</v>
      </c>
      <c r="B566" s="10" t="s">
        <v>163</v>
      </c>
      <c r="C566" s="10" t="s">
        <v>47</v>
      </c>
      <c r="D566" s="10">
        <v>6514</v>
      </c>
      <c r="E566" s="10" t="s">
        <v>5</v>
      </c>
      <c r="F566" s="10">
        <v>1052</v>
      </c>
      <c r="Q566" s="11"/>
      <c r="R566" s="11"/>
    </row>
    <row r="567" spans="1:18" x14ac:dyDescent="0.2">
      <c r="A567" s="10" t="s">
        <v>156</v>
      </c>
      <c r="B567" s="10" t="s">
        <v>162</v>
      </c>
      <c r="C567" s="10" t="s">
        <v>47</v>
      </c>
      <c r="D567" s="10">
        <v>6880</v>
      </c>
      <c r="E567" s="10" t="s">
        <v>9</v>
      </c>
      <c r="F567" s="10">
        <v>72</v>
      </c>
      <c r="Q567" s="11"/>
      <c r="R567" s="11"/>
    </row>
    <row r="568" spans="1:18" x14ac:dyDescent="0.2">
      <c r="A568" s="10" t="s">
        <v>156</v>
      </c>
      <c r="B568" s="10" t="s">
        <v>162</v>
      </c>
      <c r="C568" s="10" t="s">
        <v>47</v>
      </c>
      <c r="D568" s="10">
        <v>6905</v>
      </c>
      <c r="E568" s="10" t="s">
        <v>5</v>
      </c>
      <c r="F568" s="10">
        <v>2498</v>
      </c>
      <c r="Q568" s="11"/>
      <c r="R568" s="11"/>
    </row>
    <row r="569" spans="1:18" x14ac:dyDescent="0.2">
      <c r="A569" s="10" t="s">
        <v>156</v>
      </c>
      <c r="B569" s="10" t="s">
        <v>163</v>
      </c>
      <c r="C569" s="10" t="s">
        <v>47</v>
      </c>
      <c r="D569" s="10">
        <v>6716</v>
      </c>
      <c r="E569" s="10" t="s">
        <v>5</v>
      </c>
      <c r="F569" s="10">
        <v>5484</v>
      </c>
      <c r="Q569" s="11"/>
      <c r="R569" s="11"/>
    </row>
    <row r="570" spans="1:18" x14ac:dyDescent="0.2">
      <c r="A570" s="10" t="s">
        <v>165</v>
      </c>
      <c r="B570" s="10" t="s">
        <v>166</v>
      </c>
      <c r="C570" s="10" t="s">
        <v>47</v>
      </c>
      <c r="D570" s="10">
        <v>20004</v>
      </c>
      <c r="E570" s="10" t="s">
        <v>9</v>
      </c>
      <c r="F570" s="10">
        <v>1020</v>
      </c>
      <c r="Q570" s="11"/>
      <c r="R570" s="11"/>
    </row>
    <row r="571" spans="1:18" x14ac:dyDescent="0.2">
      <c r="A571" s="10" t="s">
        <v>165</v>
      </c>
      <c r="B571" s="10" t="s">
        <v>166</v>
      </c>
      <c r="C571" s="10" t="s">
        <v>47</v>
      </c>
      <c r="D571" s="10">
        <v>20007</v>
      </c>
      <c r="E571" s="10" t="s">
        <v>10</v>
      </c>
      <c r="F571" s="10">
        <v>326</v>
      </c>
      <c r="Q571" s="11"/>
      <c r="R571" s="11"/>
    </row>
    <row r="572" spans="1:18" x14ac:dyDescent="0.2">
      <c r="A572" s="10" t="s">
        <v>165</v>
      </c>
      <c r="B572" s="10" t="s">
        <v>166</v>
      </c>
      <c r="C572" s="10" t="s">
        <v>47</v>
      </c>
      <c r="D572" s="10">
        <v>20009</v>
      </c>
      <c r="E572" s="10" t="s">
        <v>6</v>
      </c>
      <c r="F572" s="10">
        <v>1869</v>
      </c>
      <c r="Q572" s="11"/>
      <c r="R572" s="11"/>
    </row>
    <row r="573" spans="1:18" x14ac:dyDescent="0.2">
      <c r="A573" s="10" t="s">
        <v>165</v>
      </c>
      <c r="B573" s="10" t="s">
        <v>166</v>
      </c>
      <c r="C573" s="10" t="s">
        <v>47</v>
      </c>
      <c r="D573" s="10">
        <v>20007</v>
      </c>
      <c r="E573" s="10" t="s">
        <v>9</v>
      </c>
      <c r="F573" s="10">
        <v>418</v>
      </c>
      <c r="Q573" s="11"/>
      <c r="R573" s="11"/>
    </row>
    <row r="574" spans="1:18" x14ac:dyDescent="0.2">
      <c r="A574" s="10" t="s">
        <v>165</v>
      </c>
      <c r="B574" s="10" t="s">
        <v>166</v>
      </c>
      <c r="C574" s="10" t="s">
        <v>47</v>
      </c>
      <c r="D574" s="10">
        <v>20002</v>
      </c>
      <c r="E574" s="10" t="s">
        <v>9</v>
      </c>
      <c r="F574" s="10">
        <v>1922</v>
      </c>
      <c r="Q574" s="11"/>
      <c r="R574" s="11"/>
    </row>
    <row r="575" spans="1:18" x14ac:dyDescent="0.2">
      <c r="A575" s="10" t="s">
        <v>167</v>
      </c>
      <c r="B575" s="10" t="s">
        <v>168</v>
      </c>
      <c r="C575" s="10" t="s">
        <v>46</v>
      </c>
      <c r="D575" s="10">
        <v>19971</v>
      </c>
      <c r="E575" s="10" t="s">
        <v>5</v>
      </c>
      <c r="F575" s="10">
        <v>1113</v>
      </c>
      <c r="Q575" s="11"/>
      <c r="R575" s="11"/>
    </row>
    <row r="576" spans="1:18" x14ac:dyDescent="0.2">
      <c r="A576" s="10" t="s">
        <v>167</v>
      </c>
      <c r="B576" s="10" t="s">
        <v>169</v>
      </c>
      <c r="C576" s="10" t="s">
        <v>46</v>
      </c>
      <c r="D576" s="10">
        <v>19803</v>
      </c>
      <c r="E576" s="10" t="s">
        <v>5</v>
      </c>
      <c r="F576" s="10">
        <v>1418</v>
      </c>
      <c r="Q576" s="11"/>
      <c r="R576" s="11"/>
    </row>
    <row r="577" spans="1:18" x14ac:dyDescent="0.2">
      <c r="A577" s="10" t="s">
        <v>167</v>
      </c>
      <c r="B577" s="10" t="s">
        <v>169</v>
      </c>
      <c r="C577" s="10" t="s">
        <v>46</v>
      </c>
      <c r="D577" s="10">
        <v>19720</v>
      </c>
      <c r="E577" s="10" t="s">
        <v>5</v>
      </c>
      <c r="F577" s="10">
        <v>1367</v>
      </c>
      <c r="Q577" s="11"/>
      <c r="R577" s="11"/>
    </row>
    <row r="578" spans="1:18" x14ac:dyDescent="0.2">
      <c r="A578" s="10" t="s">
        <v>167</v>
      </c>
      <c r="B578" s="10" t="s">
        <v>169</v>
      </c>
      <c r="C578" s="10" t="s">
        <v>46</v>
      </c>
      <c r="D578" s="10">
        <v>19702</v>
      </c>
      <c r="E578" s="10" t="s">
        <v>5</v>
      </c>
      <c r="F578" s="10">
        <v>2137</v>
      </c>
      <c r="Q578" s="11"/>
      <c r="R578" s="11"/>
    </row>
    <row r="579" spans="1:18" x14ac:dyDescent="0.2">
      <c r="A579" s="10" t="s">
        <v>167</v>
      </c>
      <c r="B579" s="10" t="s">
        <v>169</v>
      </c>
      <c r="C579" s="10" t="s">
        <v>46</v>
      </c>
      <c r="D579" s="10">
        <v>19808</v>
      </c>
      <c r="E579" s="10" t="s">
        <v>5</v>
      </c>
      <c r="F579" s="10">
        <v>1520</v>
      </c>
      <c r="Q579" s="11"/>
      <c r="R579" s="11"/>
    </row>
    <row r="580" spans="1:18" x14ac:dyDescent="0.2">
      <c r="A580" s="10" t="s">
        <v>167</v>
      </c>
      <c r="B580" s="10" t="s">
        <v>169</v>
      </c>
      <c r="C580" s="10" t="s">
        <v>46</v>
      </c>
      <c r="D580" s="10">
        <v>19702</v>
      </c>
      <c r="E580" s="10" t="s">
        <v>8</v>
      </c>
      <c r="F580" s="10">
        <v>1065</v>
      </c>
      <c r="Q580" s="11"/>
      <c r="R580" s="11"/>
    </row>
    <row r="581" spans="1:18" x14ac:dyDescent="0.2">
      <c r="A581" s="10" t="s">
        <v>167</v>
      </c>
      <c r="B581" s="10" t="s">
        <v>169</v>
      </c>
      <c r="C581" s="10" t="s">
        <v>46</v>
      </c>
      <c r="D581" s="10">
        <v>19713</v>
      </c>
      <c r="E581" s="10" t="s">
        <v>5</v>
      </c>
      <c r="F581" s="10">
        <v>1689</v>
      </c>
      <c r="Q581" s="11"/>
      <c r="R581" s="11"/>
    </row>
    <row r="582" spans="1:18" x14ac:dyDescent="0.2">
      <c r="A582" s="10" t="s">
        <v>167</v>
      </c>
      <c r="B582" s="10" t="s">
        <v>170</v>
      </c>
      <c r="C582" s="10" t="s">
        <v>47</v>
      </c>
      <c r="D582" s="10">
        <v>19901</v>
      </c>
      <c r="E582" s="10" t="s">
        <v>5</v>
      </c>
      <c r="F582" s="10">
        <v>1016</v>
      </c>
      <c r="Q582" s="11"/>
      <c r="R582" s="11"/>
    </row>
    <row r="583" spans="1:18" x14ac:dyDescent="0.2">
      <c r="A583" s="10" t="s">
        <v>171</v>
      </c>
      <c r="B583" s="10" t="s">
        <v>172</v>
      </c>
      <c r="C583" s="10" t="s">
        <v>45</v>
      </c>
      <c r="D583" s="10">
        <v>34233</v>
      </c>
      <c r="E583" s="10" t="s">
        <v>7</v>
      </c>
      <c r="F583" s="10">
        <v>799</v>
      </c>
      <c r="Q583" s="11"/>
      <c r="R583" s="11"/>
    </row>
    <row r="584" spans="1:18" x14ac:dyDescent="0.2">
      <c r="A584" s="10" t="s">
        <v>171</v>
      </c>
      <c r="B584" s="10" t="s">
        <v>172</v>
      </c>
      <c r="C584" s="10" t="s">
        <v>45</v>
      </c>
      <c r="D584" s="10">
        <v>34293</v>
      </c>
      <c r="E584" s="10" t="s">
        <v>5</v>
      </c>
      <c r="F584" s="10">
        <v>3209</v>
      </c>
      <c r="Q584" s="11"/>
      <c r="R584" s="11"/>
    </row>
    <row r="585" spans="1:18" x14ac:dyDescent="0.2">
      <c r="A585" s="10" t="s">
        <v>171</v>
      </c>
      <c r="B585" s="10" t="s">
        <v>172</v>
      </c>
      <c r="C585" s="10" t="s">
        <v>45</v>
      </c>
      <c r="D585" s="10">
        <v>34293</v>
      </c>
      <c r="E585" s="10" t="s">
        <v>6</v>
      </c>
      <c r="F585" s="10">
        <v>1507</v>
      </c>
      <c r="Q585" s="11"/>
      <c r="R585" s="11"/>
    </row>
    <row r="586" spans="1:18" x14ac:dyDescent="0.2">
      <c r="A586" s="10" t="s">
        <v>171</v>
      </c>
      <c r="B586" s="10" t="s">
        <v>172</v>
      </c>
      <c r="C586" s="10" t="s">
        <v>45</v>
      </c>
      <c r="D586" s="10">
        <v>34239</v>
      </c>
      <c r="E586" s="10" t="s">
        <v>7</v>
      </c>
      <c r="F586" s="10">
        <v>1048</v>
      </c>
      <c r="Q586" s="11"/>
      <c r="R586" s="11"/>
    </row>
    <row r="587" spans="1:18" x14ac:dyDescent="0.2">
      <c r="A587" s="10" t="s">
        <v>171</v>
      </c>
      <c r="B587" s="10" t="s">
        <v>172</v>
      </c>
      <c r="C587" s="10" t="s">
        <v>45</v>
      </c>
      <c r="D587" s="10">
        <v>34232</v>
      </c>
      <c r="E587" s="10" t="s">
        <v>6</v>
      </c>
      <c r="F587" s="10">
        <v>1005</v>
      </c>
      <c r="Q587" s="11"/>
      <c r="R587" s="11"/>
    </row>
    <row r="588" spans="1:18" x14ac:dyDescent="0.2">
      <c r="A588" s="10" t="s">
        <v>171</v>
      </c>
      <c r="B588" s="10" t="s">
        <v>76</v>
      </c>
      <c r="C588" s="10" t="s">
        <v>45</v>
      </c>
      <c r="D588" s="10">
        <v>33991</v>
      </c>
      <c r="E588" s="10" t="s">
        <v>6</v>
      </c>
      <c r="F588" s="10">
        <v>1962</v>
      </c>
      <c r="Q588" s="11"/>
      <c r="R588" s="11"/>
    </row>
    <row r="589" spans="1:18" x14ac:dyDescent="0.2">
      <c r="A589" s="10" t="s">
        <v>171</v>
      </c>
      <c r="B589" s="10" t="s">
        <v>76</v>
      </c>
      <c r="C589" s="10" t="s">
        <v>45</v>
      </c>
      <c r="D589" s="10">
        <v>33928</v>
      </c>
      <c r="E589" s="10" t="s">
        <v>6</v>
      </c>
      <c r="F589" s="10">
        <v>1202</v>
      </c>
      <c r="Q589" s="11"/>
      <c r="R589" s="11"/>
    </row>
    <row r="590" spans="1:18" x14ac:dyDescent="0.2">
      <c r="A590" s="10" t="s">
        <v>171</v>
      </c>
      <c r="B590" s="10" t="s">
        <v>173</v>
      </c>
      <c r="C590" s="10" t="s">
        <v>45</v>
      </c>
      <c r="D590" s="10">
        <v>32960</v>
      </c>
      <c r="E590" s="10" t="s">
        <v>5</v>
      </c>
      <c r="F590" s="10">
        <v>3115</v>
      </c>
      <c r="Q590" s="11"/>
      <c r="R590" s="11"/>
    </row>
    <row r="591" spans="1:18" x14ac:dyDescent="0.2">
      <c r="A591" s="10" t="s">
        <v>171</v>
      </c>
      <c r="B591" s="10" t="s">
        <v>174</v>
      </c>
      <c r="C591" s="10" t="s">
        <v>45</v>
      </c>
      <c r="D591" s="10">
        <v>34711</v>
      </c>
      <c r="E591" s="10" t="s">
        <v>5</v>
      </c>
      <c r="F591" s="10">
        <v>432</v>
      </c>
      <c r="Q591" s="11"/>
      <c r="R591" s="11"/>
    </row>
    <row r="592" spans="1:18" x14ac:dyDescent="0.2">
      <c r="A592" s="10" t="s">
        <v>171</v>
      </c>
      <c r="B592" s="10" t="s">
        <v>174</v>
      </c>
      <c r="C592" s="10" t="s">
        <v>45</v>
      </c>
      <c r="D592" s="10">
        <v>34711</v>
      </c>
      <c r="E592" s="10" t="s">
        <v>6</v>
      </c>
      <c r="F592" s="10">
        <v>2158</v>
      </c>
      <c r="Q592" s="11"/>
      <c r="R592" s="11"/>
    </row>
    <row r="593" spans="1:18" x14ac:dyDescent="0.2">
      <c r="A593" s="10" t="s">
        <v>171</v>
      </c>
      <c r="B593" s="10" t="s">
        <v>175</v>
      </c>
      <c r="C593" s="10" t="s">
        <v>45</v>
      </c>
      <c r="D593" s="10">
        <v>33948</v>
      </c>
      <c r="E593" s="10" t="s">
        <v>5</v>
      </c>
      <c r="F593" s="10">
        <v>971</v>
      </c>
      <c r="Q593" s="11"/>
      <c r="R593" s="11"/>
    </row>
    <row r="594" spans="1:18" x14ac:dyDescent="0.2">
      <c r="A594" s="10" t="s">
        <v>171</v>
      </c>
      <c r="B594" s="10" t="s">
        <v>175</v>
      </c>
      <c r="C594" s="10" t="s">
        <v>45</v>
      </c>
      <c r="D594" s="10">
        <v>33948</v>
      </c>
      <c r="E594" s="10" t="s">
        <v>6</v>
      </c>
      <c r="F594" s="10">
        <v>1318</v>
      </c>
      <c r="Q594" s="11"/>
      <c r="R594" s="11"/>
    </row>
    <row r="595" spans="1:18" x14ac:dyDescent="0.2">
      <c r="A595" s="10" t="s">
        <v>171</v>
      </c>
      <c r="B595" s="10" t="s">
        <v>176</v>
      </c>
      <c r="C595" s="10" t="s">
        <v>45</v>
      </c>
      <c r="D595" s="10">
        <v>33809</v>
      </c>
      <c r="E595" s="10" t="s">
        <v>5</v>
      </c>
      <c r="F595" s="10">
        <v>4636</v>
      </c>
      <c r="Q595" s="11"/>
      <c r="R595" s="11"/>
    </row>
    <row r="596" spans="1:18" x14ac:dyDescent="0.2">
      <c r="A596" s="10" t="s">
        <v>171</v>
      </c>
      <c r="B596" s="10" t="s">
        <v>177</v>
      </c>
      <c r="C596" s="10" t="s">
        <v>45</v>
      </c>
      <c r="D596" s="10">
        <v>32505</v>
      </c>
      <c r="E596" s="10" t="s">
        <v>6</v>
      </c>
      <c r="F596" s="10">
        <v>2285</v>
      </c>
      <c r="Q596" s="11"/>
      <c r="R596" s="11"/>
    </row>
    <row r="597" spans="1:18" x14ac:dyDescent="0.2">
      <c r="A597" s="10" t="s">
        <v>171</v>
      </c>
      <c r="B597" s="10" t="s">
        <v>178</v>
      </c>
      <c r="C597" s="10" t="s">
        <v>45</v>
      </c>
      <c r="D597" s="10">
        <v>33037</v>
      </c>
      <c r="E597" s="10" t="s">
        <v>6</v>
      </c>
      <c r="F597" s="10">
        <v>622</v>
      </c>
      <c r="Q597" s="11"/>
      <c r="R597" s="11"/>
    </row>
    <row r="598" spans="1:18" x14ac:dyDescent="0.2">
      <c r="A598" s="10" t="s">
        <v>171</v>
      </c>
      <c r="B598" s="10" t="s">
        <v>176</v>
      </c>
      <c r="C598" s="10" t="s">
        <v>45</v>
      </c>
      <c r="D598" s="10">
        <v>33837</v>
      </c>
      <c r="E598" s="10" t="s">
        <v>5</v>
      </c>
      <c r="F598" s="10">
        <v>1335</v>
      </c>
      <c r="Q598" s="11"/>
      <c r="R598" s="11"/>
    </row>
    <row r="599" spans="1:18" x14ac:dyDescent="0.2">
      <c r="A599" s="10" t="s">
        <v>171</v>
      </c>
      <c r="B599" s="10" t="s">
        <v>175</v>
      </c>
      <c r="C599" s="10" t="s">
        <v>45</v>
      </c>
      <c r="D599" s="10">
        <v>34223</v>
      </c>
      <c r="E599" s="10" t="s">
        <v>6</v>
      </c>
      <c r="F599" s="10">
        <v>1049</v>
      </c>
      <c r="Q599" s="11"/>
      <c r="R599" s="11"/>
    </row>
    <row r="600" spans="1:18" x14ac:dyDescent="0.2">
      <c r="A600" s="10" t="s">
        <v>171</v>
      </c>
      <c r="B600" s="10" t="s">
        <v>174</v>
      </c>
      <c r="C600" s="10" t="s">
        <v>45</v>
      </c>
      <c r="D600" s="10">
        <v>34748</v>
      </c>
      <c r="E600" s="10" t="s">
        <v>6</v>
      </c>
      <c r="F600" s="10">
        <v>1915</v>
      </c>
      <c r="Q600" s="11"/>
      <c r="R600" s="11"/>
    </row>
    <row r="601" spans="1:18" x14ac:dyDescent="0.2">
      <c r="A601" s="10" t="s">
        <v>171</v>
      </c>
      <c r="B601" s="10" t="s">
        <v>174</v>
      </c>
      <c r="C601" s="10" t="s">
        <v>45</v>
      </c>
      <c r="D601" s="10">
        <v>32159</v>
      </c>
      <c r="E601" s="10" t="s">
        <v>5</v>
      </c>
      <c r="F601" s="10">
        <v>1273</v>
      </c>
      <c r="Q601" s="11"/>
      <c r="R601" s="11"/>
    </row>
    <row r="602" spans="1:18" x14ac:dyDescent="0.2">
      <c r="A602" s="10" t="s">
        <v>171</v>
      </c>
      <c r="B602" s="10" t="s">
        <v>172</v>
      </c>
      <c r="C602" s="10" t="s">
        <v>45</v>
      </c>
      <c r="D602" s="10">
        <v>34236</v>
      </c>
      <c r="E602" s="10" t="s">
        <v>5</v>
      </c>
      <c r="F602" s="10">
        <v>1766</v>
      </c>
      <c r="Q602" s="11"/>
      <c r="R602" s="11"/>
    </row>
    <row r="603" spans="1:18" x14ac:dyDescent="0.2">
      <c r="A603" s="10" t="s">
        <v>171</v>
      </c>
      <c r="B603" s="10" t="s">
        <v>172</v>
      </c>
      <c r="C603" s="10" t="s">
        <v>45</v>
      </c>
      <c r="D603" s="10">
        <v>34231</v>
      </c>
      <c r="E603" s="10" t="s">
        <v>5</v>
      </c>
      <c r="F603" s="10">
        <v>1346</v>
      </c>
      <c r="Q603" s="11"/>
      <c r="R603" s="11"/>
    </row>
    <row r="604" spans="1:18" x14ac:dyDescent="0.2">
      <c r="A604" s="10" t="s">
        <v>171</v>
      </c>
      <c r="B604" s="10" t="s">
        <v>179</v>
      </c>
      <c r="C604" s="10" t="s">
        <v>45</v>
      </c>
      <c r="D604" s="10">
        <v>34741</v>
      </c>
      <c r="E604" s="10" t="s">
        <v>6</v>
      </c>
      <c r="F604" s="10">
        <v>2865</v>
      </c>
      <c r="Q604" s="11"/>
      <c r="R604" s="11"/>
    </row>
    <row r="605" spans="1:18" x14ac:dyDescent="0.2">
      <c r="A605" s="10" t="s">
        <v>171</v>
      </c>
      <c r="B605" s="10" t="s">
        <v>176</v>
      </c>
      <c r="C605" s="10" t="s">
        <v>45</v>
      </c>
      <c r="D605" s="10">
        <v>33880</v>
      </c>
      <c r="E605" s="10" t="s">
        <v>5</v>
      </c>
      <c r="F605" s="10">
        <v>3841</v>
      </c>
      <c r="Q605" s="11"/>
      <c r="R605" s="11"/>
    </row>
    <row r="606" spans="1:18" x14ac:dyDescent="0.2">
      <c r="A606" s="10" t="s">
        <v>171</v>
      </c>
      <c r="B606" s="10" t="s">
        <v>176</v>
      </c>
      <c r="C606" s="10" t="s">
        <v>45</v>
      </c>
      <c r="D606" s="10">
        <v>33813</v>
      </c>
      <c r="E606" s="10" t="s">
        <v>5</v>
      </c>
      <c r="F606" s="10">
        <v>585</v>
      </c>
      <c r="Q606" s="11"/>
      <c r="R606" s="11"/>
    </row>
    <row r="607" spans="1:18" x14ac:dyDescent="0.2">
      <c r="A607" s="10" t="s">
        <v>171</v>
      </c>
      <c r="B607" s="10" t="s">
        <v>174</v>
      </c>
      <c r="C607" s="10" t="s">
        <v>45</v>
      </c>
      <c r="D607" s="10">
        <v>32757</v>
      </c>
      <c r="E607" s="10" t="s">
        <v>6</v>
      </c>
      <c r="F607" s="10">
        <v>2246</v>
      </c>
      <c r="Q607" s="11"/>
      <c r="R607" s="11"/>
    </row>
    <row r="608" spans="1:18" x14ac:dyDescent="0.2">
      <c r="A608" s="10" t="s">
        <v>171</v>
      </c>
      <c r="B608" s="10" t="s">
        <v>177</v>
      </c>
      <c r="C608" s="10" t="s">
        <v>45</v>
      </c>
      <c r="D608" s="10">
        <v>32534</v>
      </c>
      <c r="E608" s="10" t="s">
        <v>6</v>
      </c>
      <c r="F608" s="10">
        <v>1563</v>
      </c>
      <c r="Q608" s="11"/>
      <c r="R608" s="11"/>
    </row>
    <row r="609" spans="1:18" x14ac:dyDescent="0.2">
      <c r="A609" s="10" t="s">
        <v>171</v>
      </c>
      <c r="B609" s="10" t="s">
        <v>177</v>
      </c>
      <c r="C609" s="10" t="s">
        <v>45</v>
      </c>
      <c r="D609" s="10">
        <v>32503</v>
      </c>
      <c r="E609" s="10" t="s">
        <v>6</v>
      </c>
      <c r="F609" s="10">
        <v>3368</v>
      </c>
      <c r="Q609" s="11"/>
      <c r="R609" s="11"/>
    </row>
    <row r="610" spans="1:18" x14ac:dyDescent="0.2">
      <c r="A610" s="10" t="s">
        <v>171</v>
      </c>
      <c r="B610" s="10" t="s">
        <v>176</v>
      </c>
      <c r="C610" s="10" t="s">
        <v>45</v>
      </c>
      <c r="D610" s="10">
        <v>33803</v>
      </c>
      <c r="E610" s="10" t="s">
        <v>6</v>
      </c>
      <c r="F610" s="10">
        <v>8643</v>
      </c>
      <c r="Q610" s="11"/>
      <c r="R610" s="11"/>
    </row>
    <row r="611" spans="1:18" x14ac:dyDescent="0.2">
      <c r="A611" s="10" t="s">
        <v>171</v>
      </c>
      <c r="B611" s="10" t="s">
        <v>180</v>
      </c>
      <c r="C611" s="10" t="s">
        <v>45</v>
      </c>
      <c r="D611" s="10">
        <v>34428</v>
      </c>
      <c r="E611" s="10" t="s">
        <v>7</v>
      </c>
      <c r="F611" s="10">
        <v>1038</v>
      </c>
      <c r="Q611" s="11"/>
      <c r="R611" s="11"/>
    </row>
    <row r="612" spans="1:18" x14ac:dyDescent="0.2">
      <c r="A612" s="10" t="s">
        <v>171</v>
      </c>
      <c r="B612" s="10" t="s">
        <v>76</v>
      </c>
      <c r="C612" s="10" t="s">
        <v>45</v>
      </c>
      <c r="D612" s="10">
        <v>33905</v>
      </c>
      <c r="E612" s="10" t="s">
        <v>5</v>
      </c>
      <c r="F612" s="10">
        <v>1183</v>
      </c>
      <c r="Q612" s="11"/>
      <c r="R612" s="11"/>
    </row>
    <row r="613" spans="1:18" x14ac:dyDescent="0.2">
      <c r="A613" s="10" t="s">
        <v>171</v>
      </c>
      <c r="B613" s="10" t="s">
        <v>76</v>
      </c>
      <c r="C613" s="10" t="s">
        <v>45</v>
      </c>
      <c r="D613" s="10">
        <v>33913</v>
      </c>
      <c r="E613" s="10" t="s">
        <v>5</v>
      </c>
      <c r="F613" s="10">
        <v>843</v>
      </c>
      <c r="Q613" s="11"/>
      <c r="R613" s="11"/>
    </row>
    <row r="614" spans="1:18" x14ac:dyDescent="0.2">
      <c r="A614" s="10" t="s">
        <v>171</v>
      </c>
      <c r="B614" s="10" t="s">
        <v>76</v>
      </c>
      <c r="C614" s="10" t="s">
        <v>45</v>
      </c>
      <c r="D614" s="10">
        <v>33919</v>
      </c>
      <c r="E614" s="10" t="s">
        <v>8</v>
      </c>
      <c r="F614" s="10">
        <v>245</v>
      </c>
      <c r="Q614" s="11"/>
      <c r="R614" s="11"/>
    </row>
    <row r="615" spans="1:18" x14ac:dyDescent="0.2">
      <c r="A615" s="10" t="s">
        <v>171</v>
      </c>
      <c r="B615" s="10" t="s">
        <v>178</v>
      </c>
      <c r="C615" s="10" t="s">
        <v>45</v>
      </c>
      <c r="D615" s="10">
        <v>33040</v>
      </c>
      <c r="E615" s="10" t="s">
        <v>7</v>
      </c>
      <c r="F615" s="10">
        <v>1148</v>
      </c>
      <c r="Q615" s="11"/>
      <c r="R615" s="11"/>
    </row>
    <row r="616" spans="1:18" x14ac:dyDescent="0.2">
      <c r="A616" s="10" t="s">
        <v>171</v>
      </c>
      <c r="B616" s="10" t="s">
        <v>180</v>
      </c>
      <c r="C616" s="10" t="s">
        <v>45</v>
      </c>
      <c r="D616" s="10">
        <v>34453</v>
      </c>
      <c r="E616" s="10" t="s">
        <v>7</v>
      </c>
      <c r="F616" s="10">
        <v>784</v>
      </c>
      <c r="Q616" s="11"/>
      <c r="R616" s="11"/>
    </row>
    <row r="617" spans="1:18" x14ac:dyDescent="0.2">
      <c r="A617" s="10" t="s">
        <v>171</v>
      </c>
      <c r="B617" s="10" t="s">
        <v>179</v>
      </c>
      <c r="C617" s="10" t="s">
        <v>45</v>
      </c>
      <c r="D617" s="10">
        <v>34769</v>
      </c>
      <c r="E617" s="10" t="s">
        <v>5</v>
      </c>
      <c r="F617" s="10">
        <v>8450</v>
      </c>
      <c r="Q617" s="11"/>
      <c r="R617" s="11"/>
    </row>
    <row r="618" spans="1:18" x14ac:dyDescent="0.2">
      <c r="A618" s="10" t="s">
        <v>171</v>
      </c>
      <c r="B618" s="10" t="s">
        <v>173</v>
      </c>
      <c r="C618" s="10" t="s">
        <v>45</v>
      </c>
      <c r="D618" s="10">
        <v>32966</v>
      </c>
      <c r="E618" s="10" t="s">
        <v>6</v>
      </c>
      <c r="F618" s="10">
        <v>2464</v>
      </c>
      <c r="Q618" s="11"/>
      <c r="R618" s="11"/>
    </row>
    <row r="619" spans="1:18" x14ac:dyDescent="0.2">
      <c r="A619" s="10" t="s">
        <v>171</v>
      </c>
      <c r="B619" s="10" t="s">
        <v>181</v>
      </c>
      <c r="C619" s="10" t="s">
        <v>45</v>
      </c>
      <c r="D619" s="10">
        <v>32034</v>
      </c>
      <c r="E619" s="10" t="s">
        <v>5</v>
      </c>
      <c r="F619" s="10">
        <v>469</v>
      </c>
      <c r="Q619" s="11"/>
      <c r="R619" s="11"/>
    </row>
    <row r="620" spans="1:18" x14ac:dyDescent="0.2">
      <c r="A620" s="10" t="s">
        <v>171</v>
      </c>
      <c r="B620" s="10" t="s">
        <v>182</v>
      </c>
      <c r="C620" s="10" t="s">
        <v>45</v>
      </c>
      <c r="D620" s="10">
        <v>32137</v>
      </c>
      <c r="E620" s="10" t="s">
        <v>5</v>
      </c>
      <c r="F620" s="10">
        <v>1378</v>
      </c>
      <c r="Q620" s="11"/>
      <c r="R620" s="11"/>
    </row>
    <row r="621" spans="1:18" x14ac:dyDescent="0.2">
      <c r="A621" s="10" t="s">
        <v>171</v>
      </c>
      <c r="B621" s="10" t="s">
        <v>183</v>
      </c>
      <c r="C621" s="10" t="s">
        <v>45</v>
      </c>
      <c r="D621" s="10">
        <v>34606</v>
      </c>
      <c r="E621" s="10" t="s">
        <v>5</v>
      </c>
      <c r="F621" s="10">
        <v>970</v>
      </c>
      <c r="Q621" s="11"/>
      <c r="R621" s="11"/>
    </row>
    <row r="622" spans="1:18" x14ac:dyDescent="0.2">
      <c r="A622" s="10" t="s">
        <v>171</v>
      </c>
      <c r="B622" s="10" t="s">
        <v>183</v>
      </c>
      <c r="C622" s="10" t="s">
        <v>45</v>
      </c>
      <c r="D622" s="10">
        <v>34613</v>
      </c>
      <c r="E622" s="10" t="s">
        <v>6</v>
      </c>
      <c r="F622" s="10">
        <v>1222</v>
      </c>
      <c r="Q622" s="11"/>
      <c r="R622" s="11"/>
    </row>
    <row r="623" spans="1:18" x14ac:dyDescent="0.2">
      <c r="A623" s="10" t="s">
        <v>171</v>
      </c>
      <c r="B623" s="10" t="s">
        <v>184</v>
      </c>
      <c r="C623" s="10" t="s">
        <v>45</v>
      </c>
      <c r="D623" s="10">
        <v>32177</v>
      </c>
      <c r="E623" s="10" t="s">
        <v>5</v>
      </c>
      <c r="F623" s="10">
        <v>1468</v>
      </c>
      <c r="Q623" s="11"/>
      <c r="R623" s="11"/>
    </row>
    <row r="624" spans="1:18" x14ac:dyDescent="0.2">
      <c r="A624" s="10" t="s">
        <v>171</v>
      </c>
      <c r="B624" s="10" t="s">
        <v>76</v>
      </c>
      <c r="C624" s="10" t="s">
        <v>45</v>
      </c>
      <c r="D624" s="10">
        <v>33907</v>
      </c>
      <c r="E624" s="10" t="s">
        <v>6</v>
      </c>
      <c r="F624" s="10">
        <v>2710</v>
      </c>
      <c r="Q624" s="11"/>
      <c r="R624" s="11"/>
    </row>
    <row r="625" spans="1:18" x14ac:dyDescent="0.2">
      <c r="A625" s="10" t="s">
        <v>171</v>
      </c>
      <c r="B625" s="10" t="s">
        <v>76</v>
      </c>
      <c r="C625" s="10" t="s">
        <v>45</v>
      </c>
      <c r="D625" s="10">
        <v>33907</v>
      </c>
      <c r="E625" s="10" t="s">
        <v>5</v>
      </c>
      <c r="F625" s="10">
        <v>1269</v>
      </c>
      <c r="Q625" s="11"/>
      <c r="R625" s="11"/>
    </row>
    <row r="626" spans="1:18" x14ac:dyDescent="0.2">
      <c r="A626" s="10" t="s">
        <v>171</v>
      </c>
      <c r="B626" s="10" t="s">
        <v>76</v>
      </c>
      <c r="C626" s="10" t="s">
        <v>45</v>
      </c>
      <c r="D626" s="10">
        <v>33990</v>
      </c>
      <c r="E626" s="10" t="s">
        <v>5</v>
      </c>
      <c r="F626" s="10">
        <v>6486</v>
      </c>
      <c r="Q626" s="11"/>
      <c r="R626" s="11"/>
    </row>
    <row r="627" spans="1:18" x14ac:dyDescent="0.2">
      <c r="A627" s="10" t="s">
        <v>171</v>
      </c>
      <c r="B627" s="10" t="s">
        <v>185</v>
      </c>
      <c r="C627" s="10" t="s">
        <v>46</v>
      </c>
      <c r="D627" s="10">
        <v>33160</v>
      </c>
      <c r="E627" s="10" t="s">
        <v>6</v>
      </c>
      <c r="F627" s="10">
        <v>3158</v>
      </c>
      <c r="Q627" s="11"/>
      <c r="R627" s="11"/>
    </row>
    <row r="628" spans="1:18" x14ac:dyDescent="0.2">
      <c r="A628" s="10" t="s">
        <v>171</v>
      </c>
      <c r="B628" s="10" t="s">
        <v>186</v>
      </c>
      <c r="C628" s="10" t="s">
        <v>46</v>
      </c>
      <c r="D628" s="10">
        <v>33761</v>
      </c>
      <c r="E628" s="10" t="s">
        <v>5</v>
      </c>
      <c r="F628" s="10">
        <v>320</v>
      </c>
      <c r="Q628" s="11"/>
      <c r="R628" s="11"/>
    </row>
    <row r="629" spans="1:18" x14ac:dyDescent="0.2">
      <c r="A629" s="10" t="s">
        <v>171</v>
      </c>
      <c r="B629" s="10" t="s">
        <v>187</v>
      </c>
      <c r="C629" s="10" t="s">
        <v>46</v>
      </c>
      <c r="D629" s="10">
        <v>33511</v>
      </c>
      <c r="E629" s="10" t="s">
        <v>6</v>
      </c>
      <c r="F629" s="10">
        <v>1615</v>
      </c>
      <c r="Q629" s="11"/>
      <c r="R629" s="11"/>
    </row>
    <row r="630" spans="1:18" x14ac:dyDescent="0.2">
      <c r="A630" s="10" t="s">
        <v>171</v>
      </c>
      <c r="B630" s="10" t="s">
        <v>187</v>
      </c>
      <c r="C630" s="10" t="s">
        <v>46</v>
      </c>
      <c r="D630" s="10">
        <v>33511</v>
      </c>
      <c r="E630" s="10" t="s">
        <v>5</v>
      </c>
      <c r="F630" s="10">
        <v>1956</v>
      </c>
      <c r="Q630" s="11"/>
      <c r="R630" s="11"/>
    </row>
    <row r="631" spans="1:18" x14ac:dyDescent="0.2">
      <c r="A631" s="10" t="s">
        <v>171</v>
      </c>
      <c r="B631" s="10" t="s">
        <v>187</v>
      </c>
      <c r="C631" s="10" t="s">
        <v>46</v>
      </c>
      <c r="D631" s="10">
        <v>33606</v>
      </c>
      <c r="E631" s="10" t="s">
        <v>10</v>
      </c>
      <c r="F631" s="10">
        <v>644</v>
      </c>
      <c r="Q631" s="11"/>
      <c r="R631" s="11"/>
    </row>
    <row r="632" spans="1:18" x14ac:dyDescent="0.2">
      <c r="A632" s="10" t="s">
        <v>171</v>
      </c>
      <c r="B632" s="10" t="s">
        <v>188</v>
      </c>
      <c r="C632" s="10" t="s">
        <v>46</v>
      </c>
      <c r="D632" s="10">
        <v>34986</v>
      </c>
      <c r="E632" s="10" t="s">
        <v>5</v>
      </c>
      <c r="F632" s="10">
        <v>2847</v>
      </c>
      <c r="Q632" s="11"/>
      <c r="R632" s="11"/>
    </row>
    <row r="633" spans="1:18" x14ac:dyDescent="0.2">
      <c r="A633" s="10" t="s">
        <v>171</v>
      </c>
      <c r="B633" s="10" t="s">
        <v>185</v>
      </c>
      <c r="C633" s="10" t="s">
        <v>46</v>
      </c>
      <c r="D633" s="10">
        <v>33175</v>
      </c>
      <c r="E633" s="10" t="s">
        <v>8</v>
      </c>
      <c r="F633" s="10">
        <v>257</v>
      </c>
      <c r="Q633" s="11"/>
      <c r="R633" s="11"/>
    </row>
    <row r="634" spans="1:18" x14ac:dyDescent="0.2">
      <c r="A634" s="10" t="s">
        <v>171</v>
      </c>
      <c r="B634" s="10" t="s">
        <v>189</v>
      </c>
      <c r="C634" s="10" t="s">
        <v>46</v>
      </c>
      <c r="D634" s="10">
        <v>32571</v>
      </c>
      <c r="E634" s="10" t="s">
        <v>6</v>
      </c>
      <c r="F634" s="10">
        <v>2272</v>
      </c>
      <c r="Q634" s="11"/>
      <c r="R634" s="11"/>
    </row>
    <row r="635" spans="1:18" x14ac:dyDescent="0.2">
      <c r="A635" s="10" t="s">
        <v>171</v>
      </c>
      <c r="B635" s="10" t="s">
        <v>112</v>
      </c>
      <c r="C635" s="10" t="s">
        <v>46</v>
      </c>
      <c r="D635" s="10">
        <v>32818</v>
      </c>
      <c r="E635" s="10" t="s">
        <v>6</v>
      </c>
      <c r="F635" s="10">
        <v>3244</v>
      </c>
      <c r="Q635" s="11"/>
      <c r="R635" s="11"/>
    </row>
    <row r="636" spans="1:18" x14ac:dyDescent="0.2">
      <c r="A636" s="10" t="s">
        <v>171</v>
      </c>
      <c r="B636" s="10" t="s">
        <v>187</v>
      </c>
      <c r="C636" s="10" t="s">
        <v>46</v>
      </c>
      <c r="D636" s="10">
        <v>33612</v>
      </c>
      <c r="E636" s="10" t="s">
        <v>5</v>
      </c>
      <c r="F636" s="10">
        <v>1658</v>
      </c>
      <c r="Q636" s="11"/>
      <c r="R636" s="11"/>
    </row>
    <row r="637" spans="1:18" x14ac:dyDescent="0.2">
      <c r="A637" s="10" t="s">
        <v>171</v>
      </c>
      <c r="B637" s="10" t="s">
        <v>187</v>
      </c>
      <c r="C637" s="10" t="s">
        <v>46</v>
      </c>
      <c r="D637" s="10">
        <v>33609</v>
      </c>
      <c r="E637" s="10" t="s">
        <v>6</v>
      </c>
      <c r="F637" s="10">
        <v>2366</v>
      </c>
      <c r="Q637" s="11"/>
      <c r="R637" s="11"/>
    </row>
    <row r="638" spans="1:18" x14ac:dyDescent="0.2">
      <c r="A638" s="10" t="s">
        <v>171</v>
      </c>
      <c r="B638" s="10" t="s">
        <v>112</v>
      </c>
      <c r="C638" s="10" t="s">
        <v>46</v>
      </c>
      <c r="D638" s="10">
        <v>32828</v>
      </c>
      <c r="E638" s="10" t="s">
        <v>6</v>
      </c>
      <c r="F638" s="10">
        <v>1093</v>
      </c>
      <c r="Q638" s="11"/>
      <c r="R638" s="11"/>
    </row>
    <row r="639" spans="1:18" x14ac:dyDescent="0.2">
      <c r="A639" s="10" t="s">
        <v>171</v>
      </c>
      <c r="B639" s="10" t="s">
        <v>112</v>
      </c>
      <c r="C639" s="10" t="s">
        <v>46</v>
      </c>
      <c r="D639" s="10">
        <v>32837</v>
      </c>
      <c r="E639" s="10" t="s">
        <v>6</v>
      </c>
      <c r="F639" s="10">
        <v>4814</v>
      </c>
      <c r="Q639" s="11"/>
      <c r="R639" s="11"/>
    </row>
    <row r="640" spans="1:18" x14ac:dyDescent="0.2">
      <c r="A640" s="10" t="s">
        <v>171</v>
      </c>
      <c r="B640" s="10" t="s">
        <v>185</v>
      </c>
      <c r="C640" s="10" t="s">
        <v>46</v>
      </c>
      <c r="D640" s="10">
        <v>33012</v>
      </c>
      <c r="E640" s="10" t="s">
        <v>6</v>
      </c>
      <c r="F640" s="10">
        <v>8386</v>
      </c>
      <c r="Q640" s="11"/>
      <c r="R640" s="11"/>
    </row>
    <row r="641" spans="1:18" x14ac:dyDescent="0.2">
      <c r="A641" s="10" t="s">
        <v>171</v>
      </c>
      <c r="B641" s="10" t="s">
        <v>112</v>
      </c>
      <c r="C641" s="10" t="s">
        <v>46</v>
      </c>
      <c r="D641" s="10">
        <v>34787</v>
      </c>
      <c r="E641" s="10" t="s">
        <v>5</v>
      </c>
      <c r="F641" s="10">
        <v>2080</v>
      </c>
      <c r="Q641" s="11"/>
      <c r="R641" s="11"/>
    </row>
    <row r="642" spans="1:18" x14ac:dyDescent="0.2">
      <c r="A642" s="10" t="s">
        <v>171</v>
      </c>
      <c r="B642" s="10" t="s">
        <v>185</v>
      </c>
      <c r="C642" s="10" t="s">
        <v>46</v>
      </c>
      <c r="D642" s="10">
        <v>33181</v>
      </c>
      <c r="E642" s="10" t="s">
        <v>7</v>
      </c>
      <c r="F642" s="10">
        <v>2953</v>
      </c>
      <c r="Q642" s="11"/>
      <c r="R642" s="11"/>
    </row>
    <row r="643" spans="1:18" x14ac:dyDescent="0.2">
      <c r="A643" s="10" t="s">
        <v>171</v>
      </c>
      <c r="B643" s="10" t="s">
        <v>112</v>
      </c>
      <c r="C643" s="10" t="s">
        <v>46</v>
      </c>
      <c r="D643" s="10">
        <v>32789</v>
      </c>
      <c r="E643" s="10" t="s">
        <v>6</v>
      </c>
      <c r="F643" s="10">
        <v>2931</v>
      </c>
      <c r="Q643" s="11"/>
      <c r="R643" s="11"/>
    </row>
    <row r="644" spans="1:18" x14ac:dyDescent="0.2">
      <c r="A644" s="10" t="s">
        <v>171</v>
      </c>
      <c r="B644" s="10" t="s">
        <v>112</v>
      </c>
      <c r="C644" s="10" t="s">
        <v>46</v>
      </c>
      <c r="D644" s="10">
        <v>32806</v>
      </c>
      <c r="E644" s="10" t="s">
        <v>6</v>
      </c>
      <c r="F644" s="10">
        <v>793</v>
      </c>
      <c r="Q644" s="11"/>
      <c r="R644" s="11"/>
    </row>
    <row r="645" spans="1:18" x14ac:dyDescent="0.2">
      <c r="A645" s="10" t="s">
        <v>171</v>
      </c>
      <c r="B645" s="10" t="s">
        <v>185</v>
      </c>
      <c r="C645" s="10" t="s">
        <v>46</v>
      </c>
      <c r="D645" s="10">
        <v>33175</v>
      </c>
      <c r="E645" s="10" t="s">
        <v>7</v>
      </c>
      <c r="F645" s="10">
        <v>2866</v>
      </c>
      <c r="Q645" s="11"/>
      <c r="R645" s="11"/>
    </row>
    <row r="646" spans="1:18" x14ac:dyDescent="0.2">
      <c r="A646" s="10" t="s">
        <v>171</v>
      </c>
      <c r="B646" s="10" t="s">
        <v>185</v>
      </c>
      <c r="C646" s="10" t="s">
        <v>46</v>
      </c>
      <c r="D646" s="10">
        <v>33139</v>
      </c>
      <c r="E646" s="10" t="s">
        <v>6</v>
      </c>
      <c r="F646" s="10">
        <v>889</v>
      </c>
      <c r="Q646" s="11"/>
      <c r="R646" s="11"/>
    </row>
    <row r="647" spans="1:18" x14ac:dyDescent="0.2">
      <c r="A647" s="10" t="s">
        <v>171</v>
      </c>
      <c r="B647" s="10" t="s">
        <v>187</v>
      </c>
      <c r="C647" s="10" t="s">
        <v>46</v>
      </c>
      <c r="D647" s="10">
        <v>33607</v>
      </c>
      <c r="E647" s="10" t="s">
        <v>5</v>
      </c>
      <c r="F647" s="10">
        <v>1987</v>
      </c>
      <c r="Q647" s="11"/>
      <c r="R647" s="11"/>
    </row>
    <row r="648" spans="1:18" x14ac:dyDescent="0.2">
      <c r="A648" s="10" t="s">
        <v>171</v>
      </c>
      <c r="B648" s="10" t="s">
        <v>112</v>
      </c>
      <c r="C648" s="10" t="s">
        <v>46</v>
      </c>
      <c r="D648" s="10">
        <v>32819</v>
      </c>
      <c r="E648" s="10" t="s">
        <v>6</v>
      </c>
      <c r="F648" s="10">
        <v>4176</v>
      </c>
      <c r="Q648" s="11"/>
      <c r="R648" s="11"/>
    </row>
    <row r="649" spans="1:18" x14ac:dyDescent="0.2">
      <c r="A649" s="10" t="s">
        <v>171</v>
      </c>
      <c r="B649" s="10" t="s">
        <v>190</v>
      </c>
      <c r="C649" s="10" t="s">
        <v>46</v>
      </c>
      <c r="D649" s="10">
        <v>34108</v>
      </c>
      <c r="E649" s="10" t="s">
        <v>6</v>
      </c>
      <c r="F649" s="10">
        <v>1402</v>
      </c>
      <c r="Q649" s="11"/>
      <c r="R649" s="11"/>
    </row>
    <row r="650" spans="1:18" x14ac:dyDescent="0.2">
      <c r="A650" s="10" t="s">
        <v>171</v>
      </c>
      <c r="B650" s="10" t="s">
        <v>185</v>
      </c>
      <c r="C650" s="10" t="s">
        <v>46</v>
      </c>
      <c r="D650" s="10">
        <v>33180</v>
      </c>
      <c r="E650" s="10" t="s">
        <v>8</v>
      </c>
      <c r="F650" s="10">
        <v>1220</v>
      </c>
      <c r="Q650" s="11"/>
      <c r="R650" s="11"/>
    </row>
    <row r="651" spans="1:18" x14ac:dyDescent="0.2">
      <c r="A651" s="10" t="s">
        <v>171</v>
      </c>
      <c r="B651" s="10" t="s">
        <v>185</v>
      </c>
      <c r="C651" s="10" t="s">
        <v>46</v>
      </c>
      <c r="D651" s="10">
        <v>33157</v>
      </c>
      <c r="E651" s="10" t="s">
        <v>5</v>
      </c>
      <c r="F651" s="10">
        <v>2157</v>
      </c>
      <c r="Q651" s="11"/>
      <c r="R651" s="11"/>
    </row>
    <row r="652" spans="1:18" x14ac:dyDescent="0.2">
      <c r="A652" s="10" t="s">
        <v>171</v>
      </c>
      <c r="B652" s="10" t="s">
        <v>190</v>
      </c>
      <c r="C652" s="10" t="s">
        <v>46</v>
      </c>
      <c r="D652" s="10">
        <v>34108</v>
      </c>
      <c r="E652" s="10" t="s">
        <v>9</v>
      </c>
      <c r="F652" s="10">
        <v>4027</v>
      </c>
      <c r="Q652" s="11"/>
      <c r="R652" s="11"/>
    </row>
    <row r="653" spans="1:18" x14ac:dyDescent="0.2">
      <c r="A653" s="10" t="s">
        <v>171</v>
      </c>
      <c r="B653" s="10" t="s">
        <v>190</v>
      </c>
      <c r="C653" s="10" t="s">
        <v>46</v>
      </c>
      <c r="D653" s="10">
        <v>34113</v>
      </c>
      <c r="E653" s="10" t="s">
        <v>5</v>
      </c>
      <c r="F653" s="10">
        <v>3018</v>
      </c>
      <c r="Q653" s="11"/>
      <c r="R653" s="11"/>
    </row>
    <row r="654" spans="1:18" x14ac:dyDescent="0.2">
      <c r="A654" s="10" t="s">
        <v>171</v>
      </c>
      <c r="B654" s="10" t="s">
        <v>185</v>
      </c>
      <c r="C654" s="10" t="s">
        <v>46</v>
      </c>
      <c r="D654" s="10">
        <v>33030</v>
      </c>
      <c r="E654" s="10" t="s">
        <v>7</v>
      </c>
      <c r="F654" s="10">
        <v>2066</v>
      </c>
      <c r="Q654" s="11"/>
      <c r="R654" s="11"/>
    </row>
    <row r="655" spans="1:18" x14ac:dyDescent="0.2">
      <c r="A655" s="10" t="s">
        <v>171</v>
      </c>
      <c r="B655" s="10" t="s">
        <v>190</v>
      </c>
      <c r="C655" s="10" t="s">
        <v>46</v>
      </c>
      <c r="D655" s="10">
        <v>34105</v>
      </c>
      <c r="E655" s="10" t="s">
        <v>7</v>
      </c>
      <c r="F655" s="10">
        <v>3825</v>
      </c>
      <c r="Q655" s="11"/>
      <c r="R655" s="11"/>
    </row>
    <row r="656" spans="1:18" x14ac:dyDescent="0.2">
      <c r="A656" s="10" t="s">
        <v>171</v>
      </c>
      <c r="B656" s="10" t="s">
        <v>185</v>
      </c>
      <c r="C656" s="10" t="s">
        <v>46</v>
      </c>
      <c r="D656" s="10">
        <v>33012</v>
      </c>
      <c r="E656" s="10" t="s">
        <v>5</v>
      </c>
      <c r="F656" s="10">
        <v>1630</v>
      </c>
      <c r="Q656" s="11"/>
      <c r="R656" s="11"/>
    </row>
    <row r="657" spans="1:18" x14ac:dyDescent="0.2">
      <c r="A657" s="10" t="s">
        <v>171</v>
      </c>
      <c r="B657" s="10" t="s">
        <v>185</v>
      </c>
      <c r="C657" s="10" t="s">
        <v>46</v>
      </c>
      <c r="D657" s="10">
        <v>33155</v>
      </c>
      <c r="E657" s="10" t="s">
        <v>6</v>
      </c>
      <c r="F657" s="10">
        <v>8621</v>
      </c>
      <c r="Q657" s="11"/>
      <c r="R657" s="11"/>
    </row>
    <row r="658" spans="1:18" x14ac:dyDescent="0.2">
      <c r="A658" s="10" t="s">
        <v>171</v>
      </c>
      <c r="B658" s="10" t="s">
        <v>185</v>
      </c>
      <c r="C658" s="10" t="s">
        <v>46</v>
      </c>
      <c r="D658" s="10">
        <v>33156</v>
      </c>
      <c r="E658" s="10" t="s">
        <v>6</v>
      </c>
      <c r="F658" s="10">
        <v>3336</v>
      </c>
      <c r="Q658" s="11"/>
      <c r="R658" s="11"/>
    </row>
    <row r="659" spans="1:18" x14ac:dyDescent="0.2">
      <c r="A659" s="10" t="s">
        <v>171</v>
      </c>
      <c r="B659" s="10" t="s">
        <v>185</v>
      </c>
      <c r="C659" s="10" t="s">
        <v>46</v>
      </c>
      <c r="D659" s="10">
        <v>33172</v>
      </c>
      <c r="E659" s="10" t="s">
        <v>6</v>
      </c>
      <c r="F659" s="10">
        <v>2125</v>
      </c>
      <c r="Q659" s="11"/>
      <c r="R659" s="11"/>
    </row>
    <row r="660" spans="1:18" x14ac:dyDescent="0.2">
      <c r="A660" s="10" t="s">
        <v>171</v>
      </c>
      <c r="B660" s="10" t="s">
        <v>185</v>
      </c>
      <c r="C660" s="10" t="s">
        <v>46</v>
      </c>
      <c r="D660" s="10">
        <v>33156</v>
      </c>
      <c r="E660" s="10" t="s">
        <v>7</v>
      </c>
      <c r="F660" s="10">
        <v>4838</v>
      </c>
      <c r="Q660" s="11"/>
      <c r="R660" s="11"/>
    </row>
    <row r="661" spans="1:18" x14ac:dyDescent="0.2">
      <c r="A661" s="10" t="s">
        <v>171</v>
      </c>
      <c r="B661" s="10" t="s">
        <v>185</v>
      </c>
      <c r="C661" s="10" t="s">
        <v>46</v>
      </c>
      <c r="D661" s="10">
        <v>33145</v>
      </c>
      <c r="E661" s="10" t="s">
        <v>6</v>
      </c>
      <c r="F661" s="10">
        <v>2146</v>
      </c>
      <c r="Q661" s="11"/>
      <c r="R661" s="11"/>
    </row>
    <row r="662" spans="1:18" x14ac:dyDescent="0.2">
      <c r="A662" s="10" t="s">
        <v>171</v>
      </c>
      <c r="B662" s="10" t="s">
        <v>185</v>
      </c>
      <c r="C662" s="10" t="s">
        <v>46</v>
      </c>
      <c r="D662" s="10">
        <v>33137</v>
      </c>
      <c r="E662" s="10" t="s">
        <v>5</v>
      </c>
      <c r="F662" s="10">
        <v>2511</v>
      </c>
      <c r="Q662" s="11"/>
      <c r="R662" s="11"/>
    </row>
    <row r="663" spans="1:18" x14ac:dyDescent="0.2">
      <c r="A663" s="10" t="s">
        <v>171</v>
      </c>
      <c r="B663" s="10" t="s">
        <v>185</v>
      </c>
      <c r="C663" s="10" t="s">
        <v>46</v>
      </c>
      <c r="D663" s="10">
        <v>33126</v>
      </c>
      <c r="E663" s="10" t="s">
        <v>7</v>
      </c>
      <c r="F663" s="10">
        <v>1754</v>
      </c>
      <c r="Q663" s="11"/>
      <c r="R663" s="11"/>
    </row>
    <row r="664" spans="1:18" x14ac:dyDescent="0.2">
      <c r="A664" s="10" t="s">
        <v>171</v>
      </c>
      <c r="B664" s="10" t="s">
        <v>185</v>
      </c>
      <c r="C664" s="10" t="s">
        <v>46</v>
      </c>
      <c r="D664" s="10">
        <v>33012</v>
      </c>
      <c r="E664" s="10" t="s">
        <v>8</v>
      </c>
      <c r="F664" s="10">
        <v>1956</v>
      </c>
      <c r="Q664" s="11"/>
      <c r="R664" s="11"/>
    </row>
    <row r="665" spans="1:18" x14ac:dyDescent="0.2">
      <c r="A665" s="10" t="s">
        <v>171</v>
      </c>
      <c r="B665" s="10" t="s">
        <v>112</v>
      </c>
      <c r="C665" s="10" t="s">
        <v>46</v>
      </c>
      <c r="D665" s="10">
        <v>32809</v>
      </c>
      <c r="E665" s="10" t="s">
        <v>6</v>
      </c>
      <c r="F665" s="10">
        <v>2400</v>
      </c>
      <c r="Q665" s="11"/>
      <c r="R665" s="11"/>
    </row>
    <row r="666" spans="1:18" x14ac:dyDescent="0.2">
      <c r="A666" s="10" t="s">
        <v>171</v>
      </c>
      <c r="B666" s="10" t="s">
        <v>186</v>
      </c>
      <c r="C666" s="10" t="s">
        <v>46</v>
      </c>
      <c r="D666" s="10">
        <v>33781</v>
      </c>
      <c r="E666" s="10" t="s">
        <v>6</v>
      </c>
      <c r="F666" s="10">
        <v>2244</v>
      </c>
      <c r="Q666" s="11"/>
      <c r="R666" s="11"/>
    </row>
    <row r="667" spans="1:18" x14ac:dyDescent="0.2">
      <c r="A667" s="10" t="s">
        <v>171</v>
      </c>
      <c r="B667" s="10" t="s">
        <v>191</v>
      </c>
      <c r="C667" s="10" t="s">
        <v>46</v>
      </c>
      <c r="D667" s="10">
        <v>32224</v>
      </c>
      <c r="E667" s="10" t="s">
        <v>7</v>
      </c>
      <c r="F667" s="10">
        <v>1549</v>
      </c>
      <c r="Q667" s="11"/>
      <c r="R667" s="11"/>
    </row>
    <row r="668" spans="1:18" x14ac:dyDescent="0.2">
      <c r="A668" s="10" t="s">
        <v>171</v>
      </c>
      <c r="B668" s="10" t="s">
        <v>185</v>
      </c>
      <c r="C668" s="10" t="s">
        <v>46</v>
      </c>
      <c r="D668" s="10">
        <v>33166</v>
      </c>
      <c r="E668" s="10" t="s">
        <v>6</v>
      </c>
      <c r="F668" s="10">
        <v>3791</v>
      </c>
      <c r="Q668" s="11"/>
      <c r="R668" s="11"/>
    </row>
    <row r="669" spans="1:18" x14ac:dyDescent="0.2">
      <c r="A669" s="10" t="s">
        <v>171</v>
      </c>
      <c r="B669" s="10" t="s">
        <v>185</v>
      </c>
      <c r="C669" s="10" t="s">
        <v>46</v>
      </c>
      <c r="D669" s="10">
        <v>33186</v>
      </c>
      <c r="E669" s="10" t="s">
        <v>6</v>
      </c>
      <c r="F669" s="10">
        <v>3277</v>
      </c>
      <c r="Q669" s="11"/>
      <c r="R669" s="11"/>
    </row>
    <row r="670" spans="1:18" x14ac:dyDescent="0.2">
      <c r="A670" s="10" t="s">
        <v>171</v>
      </c>
      <c r="B670" s="10" t="s">
        <v>185</v>
      </c>
      <c r="C670" s="10" t="s">
        <v>46</v>
      </c>
      <c r="D670" s="10">
        <v>33186</v>
      </c>
      <c r="E670" s="10" t="s">
        <v>5</v>
      </c>
      <c r="F670" s="10">
        <v>2579</v>
      </c>
      <c r="Q670" s="11"/>
      <c r="R670" s="11"/>
    </row>
    <row r="671" spans="1:18" x14ac:dyDescent="0.2">
      <c r="A671" s="10" t="s">
        <v>171</v>
      </c>
      <c r="B671" s="10" t="s">
        <v>186</v>
      </c>
      <c r="C671" s="10" t="s">
        <v>46</v>
      </c>
      <c r="D671" s="10">
        <v>33778</v>
      </c>
      <c r="E671" s="10" t="s">
        <v>5</v>
      </c>
      <c r="F671" s="10">
        <v>1893</v>
      </c>
      <c r="Q671" s="11"/>
      <c r="R671" s="11"/>
    </row>
    <row r="672" spans="1:18" x14ac:dyDescent="0.2">
      <c r="A672" s="10" t="s">
        <v>171</v>
      </c>
      <c r="B672" s="10" t="s">
        <v>188</v>
      </c>
      <c r="C672" s="10" t="s">
        <v>46</v>
      </c>
      <c r="D672" s="10">
        <v>34982</v>
      </c>
      <c r="E672" s="10" t="s">
        <v>5</v>
      </c>
      <c r="F672" s="10">
        <v>3346</v>
      </c>
      <c r="Q672" s="11"/>
      <c r="R672" s="11"/>
    </row>
    <row r="673" spans="1:18" x14ac:dyDescent="0.2">
      <c r="A673" s="10" t="s">
        <v>171</v>
      </c>
      <c r="B673" s="10" t="s">
        <v>186</v>
      </c>
      <c r="C673" s="10" t="s">
        <v>46</v>
      </c>
      <c r="D673" s="10">
        <v>33756</v>
      </c>
      <c r="E673" s="10" t="s">
        <v>6</v>
      </c>
      <c r="F673" s="10">
        <v>96</v>
      </c>
      <c r="Q673" s="11"/>
      <c r="R673" s="11"/>
    </row>
    <row r="674" spans="1:18" x14ac:dyDescent="0.2">
      <c r="A674" s="10" t="s">
        <v>171</v>
      </c>
      <c r="B674" s="10" t="s">
        <v>112</v>
      </c>
      <c r="C674" s="10" t="s">
        <v>46</v>
      </c>
      <c r="D674" s="10">
        <v>32822</v>
      </c>
      <c r="E674" s="10" t="s">
        <v>5</v>
      </c>
      <c r="F674" s="10">
        <v>1518</v>
      </c>
      <c r="Q674" s="11"/>
      <c r="R674" s="11"/>
    </row>
    <row r="675" spans="1:18" x14ac:dyDescent="0.2">
      <c r="A675" s="10" t="s">
        <v>171</v>
      </c>
      <c r="B675" s="10" t="s">
        <v>186</v>
      </c>
      <c r="C675" s="10" t="s">
        <v>46</v>
      </c>
      <c r="D675" s="10">
        <v>33713</v>
      </c>
      <c r="E675" s="10" t="s">
        <v>6</v>
      </c>
      <c r="F675" s="10">
        <v>6306</v>
      </c>
      <c r="Q675" s="11"/>
      <c r="R675" s="11"/>
    </row>
    <row r="676" spans="1:18" x14ac:dyDescent="0.2">
      <c r="A676" s="10" t="s">
        <v>171</v>
      </c>
      <c r="B676" s="10" t="s">
        <v>191</v>
      </c>
      <c r="C676" s="10" t="s">
        <v>46</v>
      </c>
      <c r="D676" s="10">
        <v>32250</v>
      </c>
      <c r="E676" s="10" t="s">
        <v>5</v>
      </c>
      <c r="F676" s="10">
        <v>1191</v>
      </c>
      <c r="Q676" s="11"/>
      <c r="R676" s="11"/>
    </row>
    <row r="677" spans="1:18" x14ac:dyDescent="0.2">
      <c r="A677" s="10" t="s">
        <v>171</v>
      </c>
      <c r="B677" s="10" t="s">
        <v>191</v>
      </c>
      <c r="C677" s="10" t="s">
        <v>46</v>
      </c>
      <c r="D677" s="10">
        <v>32250</v>
      </c>
      <c r="E677" s="10" t="s">
        <v>6</v>
      </c>
      <c r="F677" s="10">
        <v>1911</v>
      </c>
      <c r="Q677" s="11"/>
      <c r="R677" s="11"/>
    </row>
    <row r="678" spans="1:18" x14ac:dyDescent="0.2">
      <c r="A678" s="10" t="s">
        <v>171</v>
      </c>
      <c r="B678" s="10" t="s">
        <v>185</v>
      </c>
      <c r="C678" s="10" t="s">
        <v>46</v>
      </c>
      <c r="D678" s="10">
        <v>33014</v>
      </c>
      <c r="E678" s="10" t="s">
        <v>6</v>
      </c>
      <c r="F678" s="10">
        <v>1995</v>
      </c>
      <c r="Q678" s="11"/>
      <c r="R678" s="11"/>
    </row>
    <row r="679" spans="1:18" x14ac:dyDescent="0.2">
      <c r="A679" s="10" t="s">
        <v>171</v>
      </c>
      <c r="B679" s="10" t="s">
        <v>191</v>
      </c>
      <c r="C679" s="10" t="s">
        <v>46</v>
      </c>
      <c r="D679" s="10">
        <v>32223</v>
      </c>
      <c r="E679" s="10" t="s">
        <v>5</v>
      </c>
      <c r="F679" s="10">
        <v>1183</v>
      </c>
      <c r="Q679" s="11"/>
      <c r="R679" s="11"/>
    </row>
    <row r="680" spans="1:18" x14ac:dyDescent="0.2">
      <c r="A680" s="10" t="s">
        <v>171</v>
      </c>
      <c r="B680" s="10" t="s">
        <v>112</v>
      </c>
      <c r="C680" s="10" t="s">
        <v>46</v>
      </c>
      <c r="D680" s="10">
        <v>32803</v>
      </c>
      <c r="E680" s="10" t="s">
        <v>5</v>
      </c>
      <c r="F680" s="10">
        <v>2610</v>
      </c>
      <c r="Q680" s="11"/>
      <c r="R680" s="11"/>
    </row>
    <row r="681" spans="1:18" x14ac:dyDescent="0.2">
      <c r="A681" s="10" t="s">
        <v>171</v>
      </c>
      <c r="B681" s="10" t="s">
        <v>191</v>
      </c>
      <c r="C681" s="10" t="s">
        <v>46</v>
      </c>
      <c r="D681" s="10">
        <v>32222</v>
      </c>
      <c r="E681" s="10" t="s">
        <v>7</v>
      </c>
      <c r="F681" s="10">
        <v>1373</v>
      </c>
      <c r="Q681" s="11"/>
      <c r="R681" s="11"/>
    </row>
    <row r="682" spans="1:18" x14ac:dyDescent="0.2">
      <c r="A682" s="10" t="s">
        <v>171</v>
      </c>
      <c r="B682" s="10" t="s">
        <v>191</v>
      </c>
      <c r="C682" s="10" t="s">
        <v>46</v>
      </c>
      <c r="D682" s="10">
        <v>32207</v>
      </c>
      <c r="E682" s="10" t="s">
        <v>5</v>
      </c>
      <c r="F682" s="10">
        <v>916</v>
      </c>
      <c r="Q682" s="11"/>
      <c r="R682" s="11"/>
    </row>
    <row r="683" spans="1:18" x14ac:dyDescent="0.2">
      <c r="A683" s="10" t="s">
        <v>171</v>
      </c>
      <c r="B683" s="10" t="s">
        <v>192</v>
      </c>
      <c r="C683" s="10" t="s">
        <v>46</v>
      </c>
      <c r="D683" s="10">
        <v>32405</v>
      </c>
      <c r="E683" s="10" t="s">
        <v>6</v>
      </c>
      <c r="F683" s="10">
        <v>2673</v>
      </c>
      <c r="Q683" s="11"/>
      <c r="R683" s="11"/>
    </row>
    <row r="684" spans="1:18" x14ac:dyDescent="0.2">
      <c r="A684" s="10" t="s">
        <v>171</v>
      </c>
      <c r="B684" s="10" t="s">
        <v>187</v>
      </c>
      <c r="C684" s="10" t="s">
        <v>46</v>
      </c>
      <c r="D684" s="10">
        <v>33563</v>
      </c>
      <c r="E684" s="10" t="s">
        <v>5</v>
      </c>
      <c r="F684" s="10">
        <v>3422</v>
      </c>
      <c r="Q684" s="11"/>
      <c r="R684" s="11"/>
    </row>
    <row r="685" spans="1:18" x14ac:dyDescent="0.2">
      <c r="A685" s="10" t="s">
        <v>171</v>
      </c>
      <c r="B685" s="10" t="s">
        <v>112</v>
      </c>
      <c r="C685" s="10" t="s">
        <v>46</v>
      </c>
      <c r="D685" s="10">
        <v>32803</v>
      </c>
      <c r="E685" s="10" t="s">
        <v>6</v>
      </c>
      <c r="F685" s="10">
        <v>899</v>
      </c>
    </row>
    <row r="686" spans="1:18" x14ac:dyDescent="0.2">
      <c r="A686" s="10" t="s">
        <v>171</v>
      </c>
      <c r="B686" s="10" t="s">
        <v>190</v>
      </c>
      <c r="C686" s="10" t="s">
        <v>46</v>
      </c>
      <c r="D686" s="10">
        <v>34110</v>
      </c>
      <c r="E686" s="10" t="s">
        <v>5</v>
      </c>
      <c r="F686" s="10">
        <v>3443</v>
      </c>
    </row>
    <row r="687" spans="1:18" x14ac:dyDescent="0.2">
      <c r="A687" s="10" t="s">
        <v>171</v>
      </c>
      <c r="B687" s="10" t="s">
        <v>190</v>
      </c>
      <c r="C687" s="10" t="s">
        <v>46</v>
      </c>
      <c r="D687" s="10">
        <v>34108</v>
      </c>
      <c r="E687" s="10" t="s">
        <v>10</v>
      </c>
      <c r="F687" s="10">
        <v>871</v>
      </c>
    </row>
    <row r="688" spans="1:18" x14ac:dyDescent="0.2">
      <c r="A688" s="10" t="s">
        <v>171</v>
      </c>
      <c r="B688" s="10" t="s">
        <v>190</v>
      </c>
      <c r="C688" s="10" t="s">
        <v>46</v>
      </c>
      <c r="D688" s="10">
        <v>34102</v>
      </c>
      <c r="E688" s="10" t="s">
        <v>6</v>
      </c>
      <c r="F688" s="10">
        <v>962</v>
      </c>
    </row>
    <row r="689" spans="1:6" x14ac:dyDescent="0.2">
      <c r="A689" s="10" t="s">
        <v>171</v>
      </c>
      <c r="B689" s="10" t="s">
        <v>187</v>
      </c>
      <c r="C689" s="10" t="s">
        <v>46</v>
      </c>
      <c r="D689" s="10">
        <v>33619</v>
      </c>
      <c r="E689" s="10" t="s">
        <v>6</v>
      </c>
      <c r="F689" s="10">
        <v>1808</v>
      </c>
    </row>
    <row r="690" spans="1:6" x14ac:dyDescent="0.2">
      <c r="A690" s="10" t="s">
        <v>171</v>
      </c>
      <c r="B690" s="10" t="s">
        <v>187</v>
      </c>
      <c r="C690" s="10" t="s">
        <v>46</v>
      </c>
      <c r="D690" s="10">
        <v>33618</v>
      </c>
      <c r="E690" s="10" t="s">
        <v>5</v>
      </c>
      <c r="F690" s="10">
        <v>2060</v>
      </c>
    </row>
    <row r="691" spans="1:6" x14ac:dyDescent="0.2">
      <c r="A691" s="10" t="s">
        <v>171</v>
      </c>
      <c r="B691" s="10" t="s">
        <v>187</v>
      </c>
      <c r="C691" s="10" t="s">
        <v>46</v>
      </c>
      <c r="D691" s="10">
        <v>33618</v>
      </c>
      <c r="E691" s="10" t="s">
        <v>6</v>
      </c>
      <c r="F691" s="10">
        <v>915</v>
      </c>
    </row>
    <row r="692" spans="1:6" x14ac:dyDescent="0.2">
      <c r="A692" s="10" t="s">
        <v>171</v>
      </c>
      <c r="B692" s="10" t="s">
        <v>185</v>
      </c>
      <c r="C692" s="10" t="s">
        <v>46</v>
      </c>
      <c r="D692" s="10">
        <v>33176</v>
      </c>
      <c r="E692" s="10" t="s">
        <v>9</v>
      </c>
      <c r="F692" s="10">
        <v>676</v>
      </c>
    </row>
    <row r="693" spans="1:6" x14ac:dyDescent="0.2">
      <c r="A693" s="10" t="s">
        <v>171</v>
      </c>
      <c r="B693" s="10" t="s">
        <v>187</v>
      </c>
      <c r="C693" s="10" t="s">
        <v>46</v>
      </c>
      <c r="D693" s="10">
        <v>33634</v>
      </c>
      <c r="E693" s="10" t="s">
        <v>6</v>
      </c>
      <c r="F693" s="10">
        <v>523</v>
      </c>
    </row>
    <row r="694" spans="1:6" x14ac:dyDescent="0.2">
      <c r="A694" s="10" t="s">
        <v>171</v>
      </c>
      <c r="B694" s="10" t="s">
        <v>191</v>
      </c>
      <c r="C694" s="10" t="s">
        <v>46</v>
      </c>
      <c r="D694" s="10">
        <v>32205</v>
      </c>
      <c r="E694" s="10" t="s">
        <v>6</v>
      </c>
      <c r="F694" s="10">
        <v>1818</v>
      </c>
    </row>
    <row r="695" spans="1:6" x14ac:dyDescent="0.2">
      <c r="A695" s="10" t="s">
        <v>171</v>
      </c>
      <c r="B695" s="10" t="s">
        <v>191</v>
      </c>
      <c r="C695" s="10" t="s">
        <v>46</v>
      </c>
      <c r="D695" s="10">
        <v>32218</v>
      </c>
      <c r="E695" s="10" t="s">
        <v>7</v>
      </c>
      <c r="F695" s="10">
        <v>2238</v>
      </c>
    </row>
    <row r="696" spans="1:6" x14ac:dyDescent="0.2">
      <c r="A696" s="10" t="s">
        <v>171</v>
      </c>
      <c r="B696" s="10" t="s">
        <v>191</v>
      </c>
      <c r="C696" s="10" t="s">
        <v>46</v>
      </c>
      <c r="D696" s="10">
        <v>32225</v>
      </c>
      <c r="E696" s="10" t="s">
        <v>7</v>
      </c>
      <c r="F696" s="10">
        <v>2247</v>
      </c>
    </row>
    <row r="697" spans="1:6" x14ac:dyDescent="0.2">
      <c r="A697" s="10" t="s">
        <v>171</v>
      </c>
      <c r="B697" s="10" t="s">
        <v>191</v>
      </c>
      <c r="C697" s="10" t="s">
        <v>46</v>
      </c>
      <c r="D697" s="10">
        <v>32244</v>
      </c>
      <c r="E697" s="10" t="s">
        <v>6</v>
      </c>
      <c r="F697" s="10">
        <v>4775</v>
      </c>
    </row>
    <row r="698" spans="1:6" x14ac:dyDescent="0.2">
      <c r="A698" s="10" t="s">
        <v>171</v>
      </c>
      <c r="B698" s="10" t="s">
        <v>191</v>
      </c>
      <c r="C698" s="10" t="s">
        <v>46</v>
      </c>
      <c r="D698" s="10">
        <v>32256</v>
      </c>
      <c r="E698" s="10" t="s">
        <v>6</v>
      </c>
      <c r="F698" s="10">
        <v>1277</v>
      </c>
    </row>
    <row r="699" spans="1:6" x14ac:dyDescent="0.2">
      <c r="A699" s="10" t="s">
        <v>171</v>
      </c>
      <c r="B699" s="10" t="s">
        <v>191</v>
      </c>
      <c r="C699" s="10" t="s">
        <v>46</v>
      </c>
      <c r="D699" s="10">
        <v>32246</v>
      </c>
      <c r="E699" s="10" t="s">
        <v>5</v>
      </c>
      <c r="F699" s="10">
        <v>851</v>
      </c>
    </row>
    <row r="700" spans="1:6" x14ac:dyDescent="0.2">
      <c r="A700" s="10" t="s">
        <v>171</v>
      </c>
      <c r="B700" s="10" t="s">
        <v>186</v>
      </c>
      <c r="C700" s="10" t="s">
        <v>46</v>
      </c>
      <c r="D700" s="10">
        <v>33704</v>
      </c>
      <c r="E700" s="10" t="s">
        <v>6</v>
      </c>
      <c r="F700" s="10">
        <v>1707</v>
      </c>
    </row>
    <row r="701" spans="1:6" x14ac:dyDescent="0.2">
      <c r="A701" s="10" t="s">
        <v>171</v>
      </c>
      <c r="B701" s="10" t="s">
        <v>191</v>
      </c>
      <c r="C701" s="10" t="s">
        <v>46</v>
      </c>
      <c r="D701" s="10">
        <v>32257</v>
      </c>
      <c r="E701" s="10" t="s">
        <v>6</v>
      </c>
      <c r="F701" s="10">
        <v>2517</v>
      </c>
    </row>
    <row r="702" spans="1:6" x14ac:dyDescent="0.2">
      <c r="A702" s="10" t="s">
        <v>171</v>
      </c>
      <c r="B702" s="10" t="s">
        <v>186</v>
      </c>
      <c r="C702" s="10" t="s">
        <v>46</v>
      </c>
      <c r="D702" s="10">
        <v>33710</v>
      </c>
      <c r="E702" s="10" t="s">
        <v>6</v>
      </c>
      <c r="F702" s="10">
        <v>1046</v>
      </c>
    </row>
    <row r="703" spans="1:6" x14ac:dyDescent="0.2">
      <c r="A703" s="10" t="s">
        <v>171</v>
      </c>
      <c r="B703" s="10" t="s">
        <v>186</v>
      </c>
      <c r="C703" s="10" t="s">
        <v>46</v>
      </c>
      <c r="D703" s="10">
        <v>34689</v>
      </c>
      <c r="E703" s="10" t="s">
        <v>5</v>
      </c>
      <c r="F703" s="10">
        <v>1922</v>
      </c>
    </row>
    <row r="704" spans="1:6" x14ac:dyDescent="0.2">
      <c r="A704" s="10" t="s">
        <v>171</v>
      </c>
      <c r="B704" s="10" t="s">
        <v>112</v>
      </c>
      <c r="C704" s="10" t="s">
        <v>46</v>
      </c>
      <c r="D704" s="10">
        <v>32712</v>
      </c>
      <c r="E704" s="10" t="s">
        <v>5</v>
      </c>
      <c r="F704" s="10">
        <v>1852</v>
      </c>
    </row>
    <row r="705" spans="1:6" x14ac:dyDescent="0.2">
      <c r="A705" s="10" t="s">
        <v>171</v>
      </c>
      <c r="B705" s="10" t="s">
        <v>193</v>
      </c>
      <c r="C705" s="10" t="s">
        <v>46</v>
      </c>
      <c r="D705" s="10">
        <v>34994</v>
      </c>
      <c r="E705" s="10" t="s">
        <v>5</v>
      </c>
      <c r="F705" s="10">
        <v>846</v>
      </c>
    </row>
    <row r="706" spans="1:6" x14ac:dyDescent="0.2">
      <c r="A706" s="10" t="s">
        <v>171</v>
      </c>
      <c r="B706" s="10" t="s">
        <v>193</v>
      </c>
      <c r="C706" s="10" t="s">
        <v>46</v>
      </c>
      <c r="D706" s="10">
        <v>34994</v>
      </c>
      <c r="E706" s="10" t="s">
        <v>6</v>
      </c>
      <c r="F706" s="10">
        <v>529</v>
      </c>
    </row>
    <row r="707" spans="1:6" x14ac:dyDescent="0.2">
      <c r="A707" s="10" t="s">
        <v>171</v>
      </c>
      <c r="B707" s="10" t="s">
        <v>186</v>
      </c>
      <c r="C707" s="10" t="s">
        <v>46</v>
      </c>
      <c r="D707" s="10">
        <v>34684</v>
      </c>
      <c r="E707" s="10" t="s">
        <v>6</v>
      </c>
      <c r="F707" s="10">
        <v>6641</v>
      </c>
    </row>
    <row r="708" spans="1:6" x14ac:dyDescent="0.2">
      <c r="A708" s="10" t="s">
        <v>171</v>
      </c>
      <c r="B708" s="10" t="s">
        <v>192</v>
      </c>
      <c r="C708" s="10" t="s">
        <v>46</v>
      </c>
      <c r="D708" s="10">
        <v>32407</v>
      </c>
      <c r="E708" s="10" t="s">
        <v>6</v>
      </c>
      <c r="F708" s="10">
        <v>3205</v>
      </c>
    </row>
    <row r="709" spans="1:6" x14ac:dyDescent="0.2">
      <c r="A709" s="10" t="s">
        <v>171</v>
      </c>
      <c r="B709" s="10" t="s">
        <v>192</v>
      </c>
      <c r="C709" s="10" t="s">
        <v>46</v>
      </c>
      <c r="D709" s="10">
        <v>32405</v>
      </c>
      <c r="E709" s="10" t="s">
        <v>8</v>
      </c>
      <c r="F709" s="10">
        <v>1306</v>
      </c>
    </row>
    <row r="710" spans="1:6" x14ac:dyDescent="0.2">
      <c r="A710" s="10" t="s">
        <v>171</v>
      </c>
      <c r="B710" s="10" t="s">
        <v>186</v>
      </c>
      <c r="C710" s="10" t="s">
        <v>46</v>
      </c>
      <c r="D710" s="10">
        <v>33764</v>
      </c>
      <c r="E710" s="10" t="s">
        <v>6</v>
      </c>
      <c r="F710" s="10">
        <v>4023</v>
      </c>
    </row>
    <row r="711" spans="1:6" x14ac:dyDescent="0.2">
      <c r="A711" s="10" t="s">
        <v>171</v>
      </c>
      <c r="B711" s="10" t="s">
        <v>189</v>
      </c>
      <c r="C711" s="10" t="s">
        <v>46</v>
      </c>
      <c r="D711" s="10">
        <v>32561</v>
      </c>
      <c r="E711" s="10" t="s">
        <v>6</v>
      </c>
      <c r="F711" s="10">
        <v>1477</v>
      </c>
    </row>
    <row r="712" spans="1:6" x14ac:dyDescent="0.2">
      <c r="A712" s="10" t="s">
        <v>171</v>
      </c>
      <c r="B712" s="10" t="s">
        <v>194</v>
      </c>
      <c r="C712" s="10" t="s">
        <v>46</v>
      </c>
      <c r="D712" s="10">
        <v>32055</v>
      </c>
      <c r="E712" s="10" t="s">
        <v>7</v>
      </c>
      <c r="F712" s="10">
        <v>1519</v>
      </c>
    </row>
    <row r="713" spans="1:6" x14ac:dyDescent="0.2">
      <c r="A713" s="10" t="s">
        <v>171</v>
      </c>
      <c r="B713" s="10" t="s">
        <v>190</v>
      </c>
      <c r="C713" s="10" t="s">
        <v>46</v>
      </c>
      <c r="D713" s="10">
        <v>34109</v>
      </c>
      <c r="E713" s="10" t="s">
        <v>5</v>
      </c>
      <c r="F713" s="10">
        <v>287</v>
      </c>
    </row>
    <row r="714" spans="1:6" x14ac:dyDescent="0.2">
      <c r="A714" s="10" t="s">
        <v>171</v>
      </c>
      <c r="B714" s="10" t="s">
        <v>187</v>
      </c>
      <c r="C714" s="10" t="s">
        <v>46</v>
      </c>
      <c r="D714" s="10">
        <v>33607</v>
      </c>
      <c r="E714" s="10" t="s">
        <v>8</v>
      </c>
      <c r="F714" s="10">
        <v>1276</v>
      </c>
    </row>
    <row r="715" spans="1:6" x14ac:dyDescent="0.2">
      <c r="A715" s="10" t="s">
        <v>171</v>
      </c>
      <c r="B715" s="10" t="s">
        <v>186</v>
      </c>
      <c r="C715" s="10" t="s">
        <v>46</v>
      </c>
      <c r="D715" s="10">
        <v>33761</v>
      </c>
      <c r="E715" s="10" t="s">
        <v>6</v>
      </c>
      <c r="F715" s="10">
        <v>1161</v>
      </c>
    </row>
    <row r="716" spans="1:6" x14ac:dyDescent="0.2">
      <c r="A716" s="10" t="s">
        <v>171</v>
      </c>
      <c r="B716" s="10" t="s">
        <v>195</v>
      </c>
      <c r="C716" s="10" t="s">
        <v>47</v>
      </c>
      <c r="D716" s="10">
        <v>34209</v>
      </c>
      <c r="E716" s="10" t="s">
        <v>5</v>
      </c>
      <c r="F716" s="10">
        <v>2449</v>
      </c>
    </row>
    <row r="717" spans="1:6" x14ac:dyDescent="0.2">
      <c r="A717" s="10" t="s">
        <v>171</v>
      </c>
      <c r="B717" s="10" t="s">
        <v>196</v>
      </c>
      <c r="C717" s="10" t="s">
        <v>47</v>
      </c>
      <c r="D717" s="10">
        <v>33463</v>
      </c>
      <c r="E717" s="10" t="s">
        <v>6</v>
      </c>
      <c r="F717" s="10">
        <v>7843</v>
      </c>
    </row>
    <row r="718" spans="1:6" x14ac:dyDescent="0.2">
      <c r="A718" s="10" t="s">
        <v>171</v>
      </c>
      <c r="B718" s="10" t="s">
        <v>197</v>
      </c>
      <c r="C718" s="10" t="s">
        <v>47</v>
      </c>
      <c r="D718" s="10">
        <v>32608</v>
      </c>
      <c r="E718" s="10" t="s">
        <v>7</v>
      </c>
      <c r="F718" s="10">
        <v>1522</v>
      </c>
    </row>
    <row r="719" spans="1:6" x14ac:dyDescent="0.2">
      <c r="A719" s="10" t="s">
        <v>171</v>
      </c>
      <c r="B719" s="10" t="s">
        <v>198</v>
      </c>
      <c r="C719" s="10" t="s">
        <v>47</v>
      </c>
      <c r="D719" s="10">
        <v>33021</v>
      </c>
      <c r="E719" s="10" t="s">
        <v>6</v>
      </c>
      <c r="F719" s="10">
        <v>1960</v>
      </c>
    </row>
    <row r="720" spans="1:6" x14ac:dyDescent="0.2">
      <c r="A720" s="10" t="s">
        <v>171</v>
      </c>
      <c r="B720" s="10" t="s">
        <v>196</v>
      </c>
      <c r="C720" s="10" t="s">
        <v>47</v>
      </c>
      <c r="D720" s="10">
        <v>33426</v>
      </c>
      <c r="E720" s="10" t="s">
        <v>6</v>
      </c>
      <c r="F720" s="10">
        <v>1696</v>
      </c>
    </row>
    <row r="721" spans="1:6" x14ac:dyDescent="0.2">
      <c r="A721" s="10" t="s">
        <v>171</v>
      </c>
      <c r="B721" s="10" t="s">
        <v>195</v>
      </c>
      <c r="C721" s="10" t="s">
        <v>47</v>
      </c>
      <c r="D721" s="10">
        <v>34208</v>
      </c>
      <c r="E721" s="10" t="s">
        <v>6</v>
      </c>
      <c r="F721" s="10">
        <v>1646</v>
      </c>
    </row>
    <row r="722" spans="1:6" x14ac:dyDescent="0.2">
      <c r="A722" s="10" t="s">
        <v>171</v>
      </c>
      <c r="B722" s="10" t="s">
        <v>198</v>
      </c>
      <c r="C722" s="10" t="s">
        <v>47</v>
      </c>
      <c r="D722" s="10">
        <v>33020</v>
      </c>
      <c r="E722" s="10" t="s">
        <v>7</v>
      </c>
      <c r="F722" s="10">
        <v>2576</v>
      </c>
    </row>
    <row r="723" spans="1:6" x14ac:dyDescent="0.2">
      <c r="A723" s="10" t="s">
        <v>171</v>
      </c>
      <c r="B723" s="10" t="s">
        <v>196</v>
      </c>
      <c r="C723" s="10" t="s">
        <v>47</v>
      </c>
      <c r="D723" s="10">
        <v>33484</v>
      </c>
      <c r="E723" s="10" t="s">
        <v>6</v>
      </c>
      <c r="F723" s="10">
        <v>1741</v>
      </c>
    </row>
    <row r="724" spans="1:6" x14ac:dyDescent="0.2">
      <c r="A724" s="10" t="s">
        <v>171</v>
      </c>
      <c r="B724" s="10" t="s">
        <v>196</v>
      </c>
      <c r="C724" s="10" t="s">
        <v>47</v>
      </c>
      <c r="D724" s="10">
        <v>33432</v>
      </c>
      <c r="E724" s="10" t="s">
        <v>6</v>
      </c>
      <c r="F724" s="10">
        <v>1559</v>
      </c>
    </row>
    <row r="725" spans="1:6" x14ac:dyDescent="0.2">
      <c r="A725" s="10" t="s">
        <v>171</v>
      </c>
      <c r="B725" s="10" t="s">
        <v>196</v>
      </c>
      <c r="C725" s="10" t="s">
        <v>47</v>
      </c>
      <c r="D725" s="10">
        <v>33431</v>
      </c>
      <c r="E725" s="10" t="s">
        <v>6</v>
      </c>
      <c r="F725" s="10">
        <v>1452</v>
      </c>
    </row>
    <row r="726" spans="1:6" x14ac:dyDescent="0.2">
      <c r="A726" s="10" t="s">
        <v>171</v>
      </c>
      <c r="B726" s="10" t="s">
        <v>199</v>
      </c>
      <c r="C726" s="10" t="s">
        <v>47</v>
      </c>
      <c r="D726" s="10">
        <v>33541</v>
      </c>
      <c r="E726" s="10" t="s">
        <v>5</v>
      </c>
      <c r="F726" s="10">
        <v>2265</v>
      </c>
    </row>
    <row r="727" spans="1:6" x14ac:dyDescent="0.2">
      <c r="A727" s="10" t="s">
        <v>171</v>
      </c>
      <c r="B727" s="10" t="s">
        <v>198</v>
      </c>
      <c r="C727" s="10" t="s">
        <v>47</v>
      </c>
      <c r="D727" s="10">
        <v>33331</v>
      </c>
      <c r="E727" s="10" t="s">
        <v>6</v>
      </c>
      <c r="F727" s="10">
        <v>3512</v>
      </c>
    </row>
    <row r="728" spans="1:6" x14ac:dyDescent="0.2">
      <c r="A728" s="10" t="s">
        <v>171</v>
      </c>
      <c r="B728" s="10" t="s">
        <v>198</v>
      </c>
      <c r="C728" s="10" t="s">
        <v>47</v>
      </c>
      <c r="D728" s="10">
        <v>33304</v>
      </c>
      <c r="E728" s="10" t="s">
        <v>6</v>
      </c>
      <c r="F728" s="10">
        <v>1332</v>
      </c>
    </row>
    <row r="729" spans="1:6" x14ac:dyDescent="0.2">
      <c r="A729" s="10" t="s">
        <v>171</v>
      </c>
      <c r="B729" s="10" t="s">
        <v>198</v>
      </c>
      <c r="C729" s="10" t="s">
        <v>47</v>
      </c>
      <c r="D729" s="10">
        <v>33076</v>
      </c>
      <c r="E729" s="10" t="s">
        <v>6</v>
      </c>
      <c r="F729" s="10">
        <v>234</v>
      </c>
    </row>
    <row r="730" spans="1:6" x14ac:dyDescent="0.2">
      <c r="A730" s="10" t="s">
        <v>171</v>
      </c>
      <c r="B730" s="10" t="s">
        <v>198</v>
      </c>
      <c r="C730" s="10" t="s">
        <v>47</v>
      </c>
      <c r="D730" s="10">
        <v>33071</v>
      </c>
      <c r="E730" s="10" t="s">
        <v>6</v>
      </c>
      <c r="F730" s="10">
        <v>1642</v>
      </c>
    </row>
    <row r="731" spans="1:6" x14ac:dyDescent="0.2">
      <c r="A731" s="10" t="s">
        <v>171</v>
      </c>
      <c r="B731" s="10" t="s">
        <v>196</v>
      </c>
      <c r="C731" s="10" t="s">
        <v>47</v>
      </c>
      <c r="D731" s="10">
        <v>33426</v>
      </c>
      <c r="E731" s="10" t="s">
        <v>8</v>
      </c>
      <c r="F731" s="10">
        <v>392</v>
      </c>
    </row>
    <row r="732" spans="1:6" x14ac:dyDescent="0.2">
      <c r="A732" s="10" t="s">
        <v>171</v>
      </c>
      <c r="B732" s="10" t="s">
        <v>196</v>
      </c>
      <c r="C732" s="10" t="s">
        <v>47</v>
      </c>
      <c r="D732" s="10">
        <v>33414</v>
      </c>
      <c r="E732" s="10" t="s">
        <v>6</v>
      </c>
      <c r="F732" s="10">
        <v>3515</v>
      </c>
    </row>
    <row r="733" spans="1:6" x14ac:dyDescent="0.2">
      <c r="A733" s="10" t="s">
        <v>171</v>
      </c>
      <c r="B733" s="10" t="s">
        <v>200</v>
      </c>
      <c r="C733" s="10" t="s">
        <v>47</v>
      </c>
      <c r="D733" s="10">
        <v>32765</v>
      </c>
      <c r="E733" s="10" t="s">
        <v>8</v>
      </c>
      <c r="F733" s="10">
        <v>571</v>
      </c>
    </row>
    <row r="734" spans="1:6" x14ac:dyDescent="0.2">
      <c r="A734" s="10" t="s">
        <v>171</v>
      </c>
      <c r="B734" s="10" t="s">
        <v>200</v>
      </c>
      <c r="C734" s="10" t="s">
        <v>47</v>
      </c>
      <c r="D734" s="10">
        <v>32714</v>
      </c>
      <c r="E734" s="10" t="s">
        <v>8</v>
      </c>
      <c r="F734" s="10">
        <v>1920</v>
      </c>
    </row>
    <row r="735" spans="1:6" x14ac:dyDescent="0.2">
      <c r="A735" s="10" t="s">
        <v>171</v>
      </c>
      <c r="B735" s="10" t="s">
        <v>196</v>
      </c>
      <c r="C735" s="10" t="s">
        <v>47</v>
      </c>
      <c r="D735" s="10">
        <v>33409</v>
      </c>
      <c r="E735" s="10" t="s">
        <v>6</v>
      </c>
      <c r="F735" s="10">
        <v>2953</v>
      </c>
    </row>
    <row r="736" spans="1:6" x14ac:dyDescent="0.2">
      <c r="A736" s="10" t="s">
        <v>171</v>
      </c>
      <c r="B736" s="10" t="s">
        <v>197</v>
      </c>
      <c r="C736" s="10" t="s">
        <v>47</v>
      </c>
      <c r="D736" s="10">
        <v>32605</v>
      </c>
      <c r="E736" s="10" t="s">
        <v>6</v>
      </c>
      <c r="F736" s="10">
        <v>2190</v>
      </c>
    </row>
    <row r="737" spans="1:6" x14ac:dyDescent="0.2">
      <c r="A737" s="10" t="s">
        <v>171</v>
      </c>
      <c r="B737" s="10" t="s">
        <v>196</v>
      </c>
      <c r="C737" s="10" t="s">
        <v>47</v>
      </c>
      <c r="D737" s="10">
        <v>33403</v>
      </c>
      <c r="E737" s="10" t="s">
        <v>5</v>
      </c>
      <c r="F737" s="10">
        <v>989</v>
      </c>
    </row>
    <row r="738" spans="1:6" x14ac:dyDescent="0.2">
      <c r="A738" s="10" t="s">
        <v>171</v>
      </c>
      <c r="B738" s="10" t="s">
        <v>198</v>
      </c>
      <c r="C738" s="10" t="s">
        <v>47</v>
      </c>
      <c r="D738" s="10">
        <v>33060</v>
      </c>
      <c r="E738" s="10" t="s">
        <v>6</v>
      </c>
      <c r="F738" s="10">
        <v>5267</v>
      </c>
    </row>
    <row r="739" spans="1:6" x14ac:dyDescent="0.2">
      <c r="A739" s="10" t="s">
        <v>171</v>
      </c>
      <c r="B739" s="10" t="s">
        <v>201</v>
      </c>
      <c r="C739" s="10" t="s">
        <v>47</v>
      </c>
      <c r="D739" s="10">
        <v>32952</v>
      </c>
      <c r="E739" s="10" t="s">
        <v>6</v>
      </c>
      <c r="F739" s="10">
        <v>1158</v>
      </c>
    </row>
    <row r="740" spans="1:6" x14ac:dyDescent="0.2">
      <c r="A740" s="10" t="s">
        <v>171</v>
      </c>
      <c r="B740" s="10" t="s">
        <v>202</v>
      </c>
      <c r="C740" s="10" t="s">
        <v>47</v>
      </c>
      <c r="D740" s="10">
        <v>32548</v>
      </c>
      <c r="E740" s="10" t="s">
        <v>6</v>
      </c>
      <c r="F740" s="10">
        <v>1758</v>
      </c>
    </row>
    <row r="741" spans="1:6" x14ac:dyDescent="0.2">
      <c r="A741" s="10" t="s">
        <v>171</v>
      </c>
      <c r="B741" s="10" t="s">
        <v>202</v>
      </c>
      <c r="C741" s="10" t="s">
        <v>47</v>
      </c>
      <c r="D741" s="10">
        <v>32541</v>
      </c>
      <c r="E741" s="10" t="s">
        <v>6</v>
      </c>
      <c r="F741" s="10">
        <v>1365</v>
      </c>
    </row>
    <row r="742" spans="1:6" x14ac:dyDescent="0.2">
      <c r="A742" s="10" t="s">
        <v>171</v>
      </c>
      <c r="B742" s="10" t="s">
        <v>203</v>
      </c>
      <c r="C742" s="10" t="s">
        <v>47</v>
      </c>
      <c r="D742" s="10">
        <v>33870</v>
      </c>
      <c r="E742" s="10" t="s">
        <v>6</v>
      </c>
      <c r="F742" s="10">
        <v>3500</v>
      </c>
    </row>
    <row r="743" spans="1:6" x14ac:dyDescent="0.2">
      <c r="A743" s="10" t="s">
        <v>171</v>
      </c>
      <c r="B743" s="10" t="s">
        <v>198</v>
      </c>
      <c r="C743" s="10" t="s">
        <v>47</v>
      </c>
      <c r="D743" s="10">
        <v>33319</v>
      </c>
      <c r="E743" s="10" t="s">
        <v>5</v>
      </c>
      <c r="F743" s="10">
        <v>986</v>
      </c>
    </row>
    <row r="744" spans="1:6" x14ac:dyDescent="0.2">
      <c r="A744" s="10" t="s">
        <v>171</v>
      </c>
      <c r="B744" s="10" t="s">
        <v>198</v>
      </c>
      <c r="C744" s="10" t="s">
        <v>47</v>
      </c>
      <c r="D744" s="10">
        <v>33322</v>
      </c>
      <c r="E744" s="10" t="s">
        <v>8</v>
      </c>
      <c r="F744" s="10">
        <v>240</v>
      </c>
    </row>
    <row r="745" spans="1:6" x14ac:dyDescent="0.2">
      <c r="A745" s="10" t="s">
        <v>171</v>
      </c>
      <c r="B745" s="10" t="s">
        <v>198</v>
      </c>
      <c r="C745" s="10" t="s">
        <v>47</v>
      </c>
      <c r="D745" s="10">
        <v>33441</v>
      </c>
      <c r="E745" s="10" t="s">
        <v>6</v>
      </c>
      <c r="F745" s="10">
        <v>2201</v>
      </c>
    </row>
    <row r="746" spans="1:6" x14ac:dyDescent="0.2">
      <c r="A746" s="10" t="s">
        <v>171</v>
      </c>
      <c r="B746" s="10" t="s">
        <v>199</v>
      </c>
      <c r="C746" s="10" t="s">
        <v>47</v>
      </c>
      <c r="D746" s="10">
        <v>33544</v>
      </c>
      <c r="E746" s="10" t="s">
        <v>6</v>
      </c>
      <c r="F746" s="10">
        <v>2217</v>
      </c>
    </row>
    <row r="747" spans="1:6" x14ac:dyDescent="0.2">
      <c r="A747" s="10" t="s">
        <v>171</v>
      </c>
      <c r="B747" s="10" t="s">
        <v>204</v>
      </c>
      <c r="C747" s="10" t="s">
        <v>47</v>
      </c>
      <c r="D747" s="10">
        <v>32308</v>
      </c>
      <c r="E747" s="10" t="s">
        <v>6</v>
      </c>
      <c r="F747" s="10">
        <v>1311</v>
      </c>
    </row>
    <row r="748" spans="1:6" x14ac:dyDescent="0.2">
      <c r="A748" s="10" t="s">
        <v>171</v>
      </c>
      <c r="B748" s="10" t="s">
        <v>205</v>
      </c>
      <c r="C748" s="10" t="s">
        <v>47</v>
      </c>
      <c r="D748" s="10">
        <v>34491</v>
      </c>
      <c r="E748" s="10" t="s">
        <v>6</v>
      </c>
      <c r="F748" s="10">
        <v>1568</v>
      </c>
    </row>
    <row r="749" spans="1:6" x14ac:dyDescent="0.2">
      <c r="A749" s="10" t="s">
        <v>171</v>
      </c>
      <c r="B749" s="10" t="s">
        <v>205</v>
      </c>
      <c r="C749" s="10" t="s">
        <v>47</v>
      </c>
      <c r="D749" s="10">
        <v>34474</v>
      </c>
      <c r="E749" s="10" t="s">
        <v>6</v>
      </c>
      <c r="F749" s="10">
        <v>2683</v>
      </c>
    </row>
    <row r="750" spans="1:6" x14ac:dyDescent="0.2">
      <c r="A750" s="10" t="s">
        <v>171</v>
      </c>
      <c r="B750" s="10" t="s">
        <v>198</v>
      </c>
      <c r="C750" s="10" t="s">
        <v>47</v>
      </c>
      <c r="D750" s="10">
        <v>33324</v>
      </c>
      <c r="E750" s="10" t="s">
        <v>6</v>
      </c>
      <c r="F750" s="10">
        <v>3586</v>
      </c>
    </row>
    <row r="751" spans="1:6" x14ac:dyDescent="0.2">
      <c r="A751" s="10" t="s">
        <v>171</v>
      </c>
      <c r="B751" s="10" t="s">
        <v>198</v>
      </c>
      <c r="C751" s="10" t="s">
        <v>47</v>
      </c>
      <c r="D751" s="10">
        <v>33323</v>
      </c>
      <c r="E751" s="10" t="s">
        <v>6</v>
      </c>
      <c r="F751" s="10">
        <v>1762</v>
      </c>
    </row>
    <row r="752" spans="1:6" x14ac:dyDescent="0.2">
      <c r="A752" s="10" t="s">
        <v>171</v>
      </c>
      <c r="B752" s="10" t="s">
        <v>198</v>
      </c>
      <c r="C752" s="10" t="s">
        <v>47</v>
      </c>
      <c r="D752" s="10">
        <v>33316</v>
      </c>
      <c r="E752" s="10" t="s">
        <v>6</v>
      </c>
      <c r="F752" s="10">
        <v>531</v>
      </c>
    </row>
    <row r="753" spans="1:6" x14ac:dyDescent="0.2">
      <c r="A753" s="10" t="s">
        <v>171</v>
      </c>
      <c r="B753" s="10" t="s">
        <v>198</v>
      </c>
      <c r="C753" s="10" t="s">
        <v>47</v>
      </c>
      <c r="D753" s="10">
        <v>33309</v>
      </c>
      <c r="E753" s="10" t="s">
        <v>6</v>
      </c>
      <c r="F753" s="10">
        <v>1847</v>
      </c>
    </row>
    <row r="754" spans="1:6" x14ac:dyDescent="0.2">
      <c r="A754" s="10" t="s">
        <v>171</v>
      </c>
      <c r="B754" s="10" t="s">
        <v>198</v>
      </c>
      <c r="C754" s="10" t="s">
        <v>47</v>
      </c>
      <c r="D754" s="10">
        <v>33304</v>
      </c>
      <c r="E754" s="10" t="s">
        <v>8</v>
      </c>
      <c r="F754" s="10">
        <v>108</v>
      </c>
    </row>
    <row r="755" spans="1:6" x14ac:dyDescent="0.2">
      <c r="A755" s="10" t="s">
        <v>171</v>
      </c>
      <c r="B755" s="10" t="s">
        <v>198</v>
      </c>
      <c r="C755" s="10" t="s">
        <v>47</v>
      </c>
      <c r="D755" s="10">
        <v>33073</v>
      </c>
      <c r="E755" s="10" t="s">
        <v>6</v>
      </c>
      <c r="F755" s="10">
        <v>2744</v>
      </c>
    </row>
    <row r="756" spans="1:6" x14ac:dyDescent="0.2">
      <c r="A756" s="10" t="s">
        <v>171</v>
      </c>
      <c r="B756" s="10" t="s">
        <v>196</v>
      </c>
      <c r="C756" s="10" t="s">
        <v>47</v>
      </c>
      <c r="D756" s="10">
        <v>33410</v>
      </c>
      <c r="E756" s="10" t="s">
        <v>7</v>
      </c>
      <c r="F756" s="10">
        <v>825</v>
      </c>
    </row>
    <row r="757" spans="1:6" x14ac:dyDescent="0.2">
      <c r="A757" s="10" t="s">
        <v>171</v>
      </c>
      <c r="B757" s="10" t="s">
        <v>196</v>
      </c>
      <c r="C757" s="10" t="s">
        <v>47</v>
      </c>
      <c r="D757" s="10">
        <v>33401</v>
      </c>
      <c r="E757" s="10" t="s">
        <v>10</v>
      </c>
      <c r="F757" s="10">
        <v>1784</v>
      </c>
    </row>
    <row r="758" spans="1:6" x14ac:dyDescent="0.2">
      <c r="A758" s="10" t="s">
        <v>171</v>
      </c>
      <c r="B758" s="10" t="s">
        <v>200</v>
      </c>
      <c r="C758" s="10" t="s">
        <v>47</v>
      </c>
      <c r="D758" s="10">
        <v>32765</v>
      </c>
      <c r="E758" s="10" t="s">
        <v>5</v>
      </c>
      <c r="F758" s="10">
        <v>2699</v>
      </c>
    </row>
    <row r="759" spans="1:6" x14ac:dyDescent="0.2">
      <c r="A759" s="10" t="s">
        <v>171</v>
      </c>
      <c r="B759" s="10" t="s">
        <v>198</v>
      </c>
      <c r="C759" s="10" t="s">
        <v>47</v>
      </c>
      <c r="D759" s="10">
        <v>33064</v>
      </c>
      <c r="E759" s="10" t="s">
        <v>5</v>
      </c>
      <c r="F759" s="10">
        <v>961</v>
      </c>
    </row>
    <row r="760" spans="1:6" x14ac:dyDescent="0.2">
      <c r="A760" s="10" t="s">
        <v>171</v>
      </c>
      <c r="B760" s="10" t="s">
        <v>198</v>
      </c>
      <c r="C760" s="10" t="s">
        <v>47</v>
      </c>
      <c r="D760" s="10">
        <v>33026</v>
      </c>
      <c r="E760" s="10" t="s">
        <v>6</v>
      </c>
      <c r="F760" s="10">
        <v>5866</v>
      </c>
    </row>
    <row r="761" spans="1:6" x14ac:dyDescent="0.2">
      <c r="A761" s="10" t="s">
        <v>171</v>
      </c>
      <c r="B761" s="10" t="s">
        <v>198</v>
      </c>
      <c r="C761" s="10" t="s">
        <v>47</v>
      </c>
      <c r="D761" s="10">
        <v>33009</v>
      </c>
      <c r="E761" s="10" t="s">
        <v>7</v>
      </c>
      <c r="F761" s="10">
        <v>486</v>
      </c>
    </row>
    <row r="762" spans="1:6" x14ac:dyDescent="0.2">
      <c r="A762" s="10" t="s">
        <v>171</v>
      </c>
      <c r="B762" s="10" t="s">
        <v>205</v>
      </c>
      <c r="C762" s="10" t="s">
        <v>47</v>
      </c>
      <c r="D762" s="10">
        <v>34470</v>
      </c>
      <c r="E762" s="10" t="s">
        <v>5</v>
      </c>
      <c r="F762" s="10">
        <v>1882</v>
      </c>
    </row>
    <row r="763" spans="1:6" x14ac:dyDescent="0.2">
      <c r="A763" s="10" t="s">
        <v>171</v>
      </c>
      <c r="B763" s="10" t="s">
        <v>205</v>
      </c>
      <c r="C763" s="10" t="s">
        <v>47</v>
      </c>
      <c r="D763" s="10">
        <v>34471</v>
      </c>
      <c r="E763" s="10" t="s">
        <v>5</v>
      </c>
      <c r="F763" s="10">
        <v>3398</v>
      </c>
    </row>
    <row r="764" spans="1:6" x14ac:dyDescent="0.2">
      <c r="A764" s="10" t="s">
        <v>171</v>
      </c>
      <c r="B764" s="10" t="s">
        <v>199</v>
      </c>
      <c r="C764" s="10" t="s">
        <v>47</v>
      </c>
      <c r="D764" s="10">
        <v>34668</v>
      </c>
      <c r="E764" s="10" t="s">
        <v>6</v>
      </c>
      <c r="F764" s="10">
        <v>1109</v>
      </c>
    </row>
    <row r="765" spans="1:6" x14ac:dyDescent="0.2">
      <c r="A765" s="10" t="s">
        <v>171</v>
      </c>
      <c r="B765" s="10" t="s">
        <v>200</v>
      </c>
      <c r="C765" s="10" t="s">
        <v>47</v>
      </c>
      <c r="D765" s="10">
        <v>32765</v>
      </c>
      <c r="E765" s="10" t="s">
        <v>6</v>
      </c>
      <c r="F765" s="10">
        <v>2190</v>
      </c>
    </row>
    <row r="766" spans="1:6" x14ac:dyDescent="0.2">
      <c r="A766" s="10" t="s">
        <v>171</v>
      </c>
      <c r="B766" s="10" t="s">
        <v>200</v>
      </c>
      <c r="C766" s="10" t="s">
        <v>47</v>
      </c>
      <c r="D766" s="10">
        <v>32714</v>
      </c>
      <c r="E766" s="10" t="s">
        <v>6</v>
      </c>
      <c r="F766" s="10">
        <v>7689</v>
      </c>
    </row>
    <row r="767" spans="1:6" x14ac:dyDescent="0.2">
      <c r="A767" s="10" t="s">
        <v>171</v>
      </c>
      <c r="B767" s="10" t="s">
        <v>200</v>
      </c>
      <c r="C767" s="10" t="s">
        <v>47</v>
      </c>
      <c r="D767" s="10">
        <v>32707</v>
      </c>
      <c r="E767" s="10" t="s">
        <v>5</v>
      </c>
      <c r="F767" s="10">
        <v>1894</v>
      </c>
    </row>
    <row r="768" spans="1:6" x14ac:dyDescent="0.2">
      <c r="A768" s="10" t="s">
        <v>171</v>
      </c>
      <c r="B768" s="10" t="s">
        <v>206</v>
      </c>
      <c r="C768" s="10" t="s">
        <v>47</v>
      </c>
      <c r="D768" s="10">
        <v>32174</v>
      </c>
      <c r="E768" s="10" t="s">
        <v>6</v>
      </c>
      <c r="F768" s="10">
        <v>1485</v>
      </c>
    </row>
    <row r="769" spans="1:6" x14ac:dyDescent="0.2">
      <c r="A769" s="10" t="s">
        <v>171</v>
      </c>
      <c r="B769" s="10" t="s">
        <v>200</v>
      </c>
      <c r="C769" s="10" t="s">
        <v>47</v>
      </c>
      <c r="D769" s="10">
        <v>32746</v>
      </c>
      <c r="E769" s="10" t="s">
        <v>6</v>
      </c>
      <c r="F769" s="10">
        <v>1093</v>
      </c>
    </row>
    <row r="770" spans="1:6" x14ac:dyDescent="0.2">
      <c r="A770" s="10" t="s">
        <v>171</v>
      </c>
      <c r="B770" s="10" t="s">
        <v>201</v>
      </c>
      <c r="C770" s="10" t="s">
        <v>47</v>
      </c>
      <c r="D770" s="10">
        <v>32904</v>
      </c>
      <c r="E770" s="10" t="s">
        <v>6</v>
      </c>
      <c r="F770" s="10">
        <v>2627</v>
      </c>
    </row>
    <row r="771" spans="1:6" x14ac:dyDescent="0.2">
      <c r="A771" s="10" t="s">
        <v>171</v>
      </c>
      <c r="B771" s="10" t="s">
        <v>200</v>
      </c>
      <c r="C771" s="10" t="s">
        <v>47</v>
      </c>
      <c r="D771" s="10">
        <v>32746</v>
      </c>
      <c r="E771" s="10" t="s">
        <v>5</v>
      </c>
      <c r="F771" s="10">
        <v>3034</v>
      </c>
    </row>
    <row r="772" spans="1:6" x14ac:dyDescent="0.2">
      <c r="A772" s="10" t="s">
        <v>171</v>
      </c>
      <c r="B772" s="10" t="s">
        <v>206</v>
      </c>
      <c r="C772" s="10" t="s">
        <v>47</v>
      </c>
      <c r="D772" s="10">
        <v>32114</v>
      </c>
      <c r="E772" s="10" t="s">
        <v>5</v>
      </c>
      <c r="F772" s="10">
        <v>2594</v>
      </c>
    </row>
    <row r="773" spans="1:6" x14ac:dyDescent="0.2">
      <c r="A773" s="10" t="s">
        <v>171</v>
      </c>
      <c r="B773" s="10" t="s">
        <v>206</v>
      </c>
      <c r="C773" s="10" t="s">
        <v>47</v>
      </c>
      <c r="D773" s="10">
        <v>32114</v>
      </c>
      <c r="E773" s="10" t="s">
        <v>6</v>
      </c>
      <c r="F773" s="10">
        <v>3063</v>
      </c>
    </row>
    <row r="774" spans="1:6" x14ac:dyDescent="0.2">
      <c r="A774" s="10" t="s">
        <v>171</v>
      </c>
      <c r="B774" s="10" t="s">
        <v>204</v>
      </c>
      <c r="C774" s="10" t="s">
        <v>47</v>
      </c>
      <c r="D774" s="10">
        <v>32303</v>
      </c>
      <c r="E774" s="10" t="s">
        <v>5</v>
      </c>
      <c r="F774" s="10">
        <v>1264</v>
      </c>
    </row>
    <row r="775" spans="1:6" x14ac:dyDescent="0.2">
      <c r="A775" s="10" t="s">
        <v>171</v>
      </c>
      <c r="B775" s="10" t="s">
        <v>202</v>
      </c>
      <c r="C775" s="10" t="s">
        <v>47</v>
      </c>
      <c r="D775" s="10">
        <v>32536</v>
      </c>
      <c r="E775" s="10" t="s">
        <v>5</v>
      </c>
      <c r="F775" s="10">
        <v>1952</v>
      </c>
    </row>
    <row r="776" spans="1:6" x14ac:dyDescent="0.2">
      <c r="A776" s="10" t="s">
        <v>171</v>
      </c>
      <c r="B776" s="10" t="s">
        <v>206</v>
      </c>
      <c r="C776" s="10" t="s">
        <v>47</v>
      </c>
      <c r="D776" s="10">
        <v>32720</v>
      </c>
      <c r="E776" s="10" t="s">
        <v>6</v>
      </c>
      <c r="F776" s="10">
        <v>1860</v>
      </c>
    </row>
    <row r="777" spans="1:6" x14ac:dyDescent="0.2">
      <c r="A777" s="10" t="s">
        <v>171</v>
      </c>
      <c r="B777" s="10" t="s">
        <v>207</v>
      </c>
      <c r="C777" s="10" t="s">
        <v>47</v>
      </c>
      <c r="D777" s="10">
        <v>32073</v>
      </c>
      <c r="E777" s="10" t="s">
        <v>5</v>
      </c>
      <c r="F777" s="10">
        <v>4218</v>
      </c>
    </row>
    <row r="778" spans="1:6" x14ac:dyDescent="0.2">
      <c r="A778" s="10" t="s">
        <v>171</v>
      </c>
      <c r="B778" s="10" t="s">
        <v>201</v>
      </c>
      <c r="C778" s="10" t="s">
        <v>47</v>
      </c>
      <c r="D778" s="10">
        <v>32780</v>
      </c>
      <c r="E778" s="10" t="s">
        <v>5</v>
      </c>
      <c r="F778" s="10">
        <v>1254</v>
      </c>
    </row>
    <row r="779" spans="1:6" x14ac:dyDescent="0.2">
      <c r="A779" s="10" t="s">
        <v>171</v>
      </c>
      <c r="B779" s="10" t="s">
        <v>201</v>
      </c>
      <c r="C779" s="10" t="s">
        <v>47</v>
      </c>
      <c r="D779" s="10">
        <v>32905</v>
      </c>
      <c r="E779" s="10" t="s">
        <v>6</v>
      </c>
      <c r="F779" s="10">
        <v>5994</v>
      </c>
    </row>
    <row r="780" spans="1:6" x14ac:dyDescent="0.2">
      <c r="A780" s="10" t="s">
        <v>171</v>
      </c>
      <c r="B780" s="10" t="s">
        <v>201</v>
      </c>
      <c r="C780" s="10" t="s">
        <v>47</v>
      </c>
      <c r="D780" s="10">
        <v>32905</v>
      </c>
      <c r="E780" s="10" t="s">
        <v>5</v>
      </c>
      <c r="F780" s="10">
        <v>1115</v>
      </c>
    </row>
    <row r="781" spans="1:6" x14ac:dyDescent="0.2">
      <c r="A781" s="10" t="s">
        <v>171</v>
      </c>
      <c r="B781" s="10" t="s">
        <v>196</v>
      </c>
      <c r="C781" s="10" t="s">
        <v>47</v>
      </c>
      <c r="D781" s="10">
        <v>33426</v>
      </c>
      <c r="E781" s="10" t="s">
        <v>5</v>
      </c>
      <c r="F781" s="10">
        <v>1867</v>
      </c>
    </row>
    <row r="782" spans="1:6" x14ac:dyDescent="0.2">
      <c r="A782" s="10" t="s">
        <v>171</v>
      </c>
      <c r="B782" s="10" t="s">
        <v>196</v>
      </c>
      <c r="C782" s="10" t="s">
        <v>47</v>
      </c>
      <c r="D782" s="10">
        <v>33434</v>
      </c>
      <c r="E782" s="10" t="s">
        <v>6</v>
      </c>
      <c r="F782" s="10">
        <v>2035</v>
      </c>
    </row>
    <row r="783" spans="1:6" x14ac:dyDescent="0.2">
      <c r="A783" s="10" t="s">
        <v>171</v>
      </c>
      <c r="B783" s="10" t="s">
        <v>201</v>
      </c>
      <c r="C783" s="10" t="s">
        <v>47</v>
      </c>
      <c r="D783" s="10">
        <v>32935</v>
      </c>
      <c r="E783" s="10" t="s">
        <v>5</v>
      </c>
      <c r="F783" s="10">
        <v>811</v>
      </c>
    </row>
    <row r="784" spans="1:6" x14ac:dyDescent="0.2">
      <c r="A784" s="10" t="s">
        <v>171</v>
      </c>
      <c r="B784" s="10" t="s">
        <v>196</v>
      </c>
      <c r="C784" s="10" t="s">
        <v>47</v>
      </c>
      <c r="D784" s="10">
        <v>33483</v>
      </c>
      <c r="E784" s="10" t="s">
        <v>6</v>
      </c>
      <c r="F784" s="10">
        <v>623</v>
      </c>
    </row>
    <row r="785" spans="1:6" x14ac:dyDescent="0.2">
      <c r="A785" s="10" t="s">
        <v>171</v>
      </c>
      <c r="B785" s="10" t="s">
        <v>196</v>
      </c>
      <c r="C785" s="10" t="s">
        <v>47</v>
      </c>
      <c r="D785" s="10">
        <v>33477</v>
      </c>
      <c r="E785" s="10" t="s">
        <v>6</v>
      </c>
      <c r="F785" s="10">
        <v>1478</v>
      </c>
    </row>
    <row r="786" spans="1:6" x14ac:dyDescent="0.2">
      <c r="A786" s="10" t="s">
        <v>171</v>
      </c>
      <c r="B786" s="10" t="s">
        <v>197</v>
      </c>
      <c r="C786" s="10" t="s">
        <v>47</v>
      </c>
      <c r="D786" s="10">
        <v>32607</v>
      </c>
      <c r="E786" s="10" t="s">
        <v>8</v>
      </c>
      <c r="F786" s="10">
        <v>25</v>
      </c>
    </row>
    <row r="787" spans="1:6" x14ac:dyDescent="0.2">
      <c r="A787" s="10" t="s">
        <v>171</v>
      </c>
      <c r="B787" s="10" t="s">
        <v>197</v>
      </c>
      <c r="C787" s="10" t="s">
        <v>47</v>
      </c>
      <c r="D787" s="10">
        <v>32601</v>
      </c>
      <c r="E787" s="10" t="s">
        <v>6</v>
      </c>
      <c r="F787" s="10">
        <v>975</v>
      </c>
    </row>
    <row r="788" spans="1:6" x14ac:dyDescent="0.2">
      <c r="A788" s="10" t="s">
        <v>171</v>
      </c>
      <c r="B788" s="10" t="s">
        <v>204</v>
      </c>
      <c r="C788" s="10" t="s">
        <v>47</v>
      </c>
      <c r="D788" s="10">
        <v>32301</v>
      </c>
      <c r="E788" s="10" t="s">
        <v>6</v>
      </c>
      <c r="F788" s="10">
        <v>3445</v>
      </c>
    </row>
    <row r="789" spans="1:6" x14ac:dyDescent="0.2">
      <c r="A789" s="10" t="s">
        <v>171</v>
      </c>
      <c r="B789" s="10" t="s">
        <v>201</v>
      </c>
      <c r="C789" s="10" t="s">
        <v>47</v>
      </c>
      <c r="D789" s="10">
        <v>32937</v>
      </c>
      <c r="E789" s="10" t="s">
        <v>6</v>
      </c>
      <c r="F789" s="10">
        <v>1652</v>
      </c>
    </row>
    <row r="790" spans="1:6" x14ac:dyDescent="0.2">
      <c r="A790" s="10" t="s">
        <v>171</v>
      </c>
      <c r="B790" s="10" t="s">
        <v>206</v>
      </c>
      <c r="C790" s="10" t="s">
        <v>47</v>
      </c>
      <c r="D790" s="10">
        <v>32174</v>
      </c>
      <c r="E790" s="10" t="s">
        <v>8</v>
      </c>
      <c r="F790" s="10">
        <v>2692</v>
      </c>
    </row>
    <row r="791" spans="1:6" x14ac:dyDescent="0.2">
      <c r="A791" s="10" t="s">
        <v>171</v>
      </c>
      <c r="B791" s="10" t="s">
        <v>208</v>
      </c>
      <c r="C791" s="10" t="s">
        <v>47</v>
      </c>
      <c r="D791" s="10">
        <v>32086</v>
      </c>
      <c r="E791" s="10" t="s">
        <v>7</v>
      </c>
      <c r="F791" s="10">
        <v>3606</v>
      </c>
    </row>
    <row r="792" spans="1:6" x14ac:dyDescent="0.2">
      <c r="A792" s="10" t="s">
        <v>171</v>
      </c>
      <c r="B792" s="10" t="s">
        <v>196</v>
      </c>
      <c r="C792" s="10" t="s">
        <v>47</v>
      </c>
      <c r="D792" s="10">
        <v>33410</v>
      </c>
      <c r="E792" s="10" t="s">
        <v>6</v>
      </c>
      <c r="F792" s="10">
        <v>972</v>
      </c>
    </row>
    <row r="793" spans="1:6" x14ac:dyDescent="0.2">
      <c r="A793" s="10" t="s">
        <v>171</v>
      </c>
      <c r="B793" s="10" t="s">
        <v>208</v>
      </c>
      <c r="C793" s="10" t="s">
        <v>47</v>
      </c>
      <c r="D793" s="10">
        <v>32084</v>
      </c>
      <c r="E793" s="10" t="s">
        <v>5</v>
      </c>
      <c r="F793" s="10">
        <v>4533</v>
      </c>
    </row>
    <row r="794" spans="1:6" x14ac:dyDescent="0.2">
      <c r="A794" s="10" t="s">
        <v>171</v>
      </c>
      <c r="B794" s="10" t="s">
        <v>195</v>
      </c>
      <c r="C794" s="10" t="s">
        <v>47</v>
      </c>
      <c r="D794" s="10">
        <v>34201</v>
      </c>
      <c r="E794" s="10" t="s">
        <v>5</v>
      </c>
      <c r="F794" s="10">
        <v>1013</v>
      </c>
    </row>
    <row r="795" spans="1:6" x14ac:dyDescent="0.2">
      <c r="A795" s="10" t="s">
        <v>171</v>
      </c>
      <c r="B795" s="10" t="s">
        <v>196</v>
      </c>
      <c r="C795" s="10" t="s">
        <v>47</v>
      </c>
      <c r="D795" s="10">
        <v>33477</v>
      </c>
      <c r="E795" s="10" t="s">
        <v>5</v>
      </c>
      <c r="F795" s="10">
        <v>646</v>
      </c>
    </row>
    <row r="796" spans="1:6" x14ac:dyDescent="0.2">
      <c r="A796" s="10" t="s">
        <v>171</v>
      </c>
      <c r="B796" s="10" t="s">
        <v>195</v>
      </c>
      <c r="C796" s="10" t="s">
        <v>47</v>
      </c>
      <c r="D796" s="10">
        <v>34202</v>
      </c>
      <c r="E796" s="10" t="s">
        <v>8</v>
      </c>
      <c r="F796" s="10">
        <v>791</v>
      </c>
    </row>
    <row r="797" spans="1:6" x14ac:dyDescent="0.2">
      <c r="A797" s="10" t="s">
        <v>171</v>
      </c>
      <c r="B797" s="10" t="s">
        <v>195</v>
      </c>
      <c r="C797" s="10" t="s">
        <v>47</v>
      </c>
      <c r="D797" s="10">
        <v>34205</v>
      </c>
      <c r="E797" s="10" t="s">
        <v>6</v>
      </c>
      <c r="F797" s="10">
        <v>231</v>
      </c>
    </row>
    <row r="798" spans="1:6" x14ac:dyDescent="0.2">
      <c r="A798" s="10" t="s">
        <v>171</v>
      </c>
      <c r="B798" s="10" t="s">
        <v>206</v>
      </c>
      <c r="C798" s="10" t="s">
        <v>47</v>
      </c>
      <c r="D798" s="10">
        <v>32763</v>
      </c>
      <c r="E798" s="10" t="s">
        <v>6</v>
      </c>
      <c r="F798" s="10">
        <v>4156</v>
      </c>
    </row>
    <row r="799" spans="1:6" x14ac:dyDescent="0.2">
      <c r="A799" s="10" t="s">
        <v>171</v>
      </c>
      <c r="B799" s="10" t="s">
        <v>201</v>
      </c>
      <c r="C799" s="10" t="s">
        <v>47</v>
      </c>
      <c r="D799" s="10">
        <v>32940</v>
      </c>
      <c r="E799" s="10" t="s">
        <v>6</v>
      </c>
      <c r="F799" s="10">
        <v>371</v>
      </c>
    </row>
    <row r="800" spans="1:6" x14ac:dyDescent="0.2">
      <c r="A800" s="10" t="s">
        <v>171</v>
      </c>
      <c r="B800" s="10" t="s">
        <v>196</v>
      </c>
      <c r="C800" s="10" t="s">
        <v>47</v>
      </c>
      <c r="D800" s="10">
        <v>33409</v>
      </c>
      <c r="E800" s="10" t="s">
        <v>5</v>
      </c>
      <c r="F800" s="10">
        <v>1005</v>
      </c>
    </row>
    <row r="801" spans="1:6" x14ac:dyDescent="0.2">
      <c r="A801" s="10" t="s">
        <v>209</v>
      </c>
      <c r="B801" s="10" t="s">
        <v>210</v>
      </c>
      <c r="C801" s="10" t="s">
        <v>45</v>
      </c>
      <c r="D801" s="10">
        <v>31794</v>
      </c>
      <c r="E801" s="10" t="s">
        <v>5</v>
      </c>
      <c r="F801" s="10">
        <v>1563</v>
      </c>
    </row>
    <row r="802" spans="1:6" x14ac:dyDescent="0.2">
      <c r="A802" s="10" t="s">
        <v>209</v>
      </c>
      <c r="B802" s="10" t="s">
        <v>211</v>
      </c>
      <c r="C802" s="10" t="s">
        <v>45</v>
      </c>
      <c r="D802" s="10">
        <v>31419</v>
      </c>
      <c r="E802" s="10" t="s">
        <v>5</v>
      </c>
      <c r="F802" s="10">
        <v>1951</v>
      </c>
    </row>
    <row r="803" spans="1:6" x14ac:dyDescent="0.2">
      <c r="A803" s="10" t="s">
        <v>209</v>
      </c>
      <c r="B803" s="10" t="s">
        <v>212</v>
      </c>
      <c r="C803" s="10" t="s">
        <v>45</v>
      </c>
      <c r="D803" s="10">
        <v>30038</v>
      </c>
      <c r="E803" s="10" t="s">
        <v>5</v>
      </c>
      <c r="F803" s="10">
        <v>1482</v>
      </c>
    </row>
    <row r="804" spans="1:6" x14ac:dyDescent="0.2">
      <c r="A804" s="10" t="s">
        <v>209</v>
      </c>
      <c r="B804" s="10" t="s">
        <v>212</v>
      </c>
      <c r="C804" s="10" t="s">
        <v>45</v>
      </c>
      <c r="D804" s="10">
        <v>30341</v>
      </c>
      <c r="E804" s="10" t="s">
        <v>6</v>
      </c>
      <c r="F804" s="10">
        <v>1467</v>
      </c>
    </row>
    <row r="805" spans="1:6" x14ac:dyDescent="0.2">
      <c r="A805" s="10" t="s">
        <v>209</v>
      </c>
      <c r="B805" s="10" t="s">
        <v>213</v>
      </c>
      <c r="C805" s="10" t="s">
        <v>45</v>
      </c>
      <c r="D805" s="10">
        <v>31909</v>
      </c>
      <c r="E805" s="10" t="s">
        <v>5</v>
      </c>
      <c r="F805" s="10">
        <v>3417</v>
      </c>
    </row>
    <row r="806" spans="1:6" x14ac:dyDescent="0.2">
      <c r="A806" s="10" t="s">
        <v>209</v>
      </c>
      <c r="B806" s="10" t="s">
        <v>212</v>
      </c>
      <c r="C806" s="10" t="s">
        <v>45</v>
      </c>
      <c r="D806" s="10">
        <v>30345</v>
      </c>
      <c r="E806" s="10" t="s">
        <v>6</v>
      </c>
      <c r="F806" s="10">
        <v>550</v>
      </c>
    </row>
    <row r="807" spans="1:6" x14ac:dyDescent="0.2">
      <c r="A807" s="10" t="s">
        <v>209</v>
      </c>
      <c r="B807" s="10" t="s">
        <v>212</v>
      </c>
      <c r="C807" s="10" t="s">
        <v>45</v>
      </c>
      <c r="D807" s="10">
        <v>30307</v>
      </c>
      <c r="E807" s="10" t="s">
        <v>6</v>
      </c>
      <c r="F807" s="10">
        <v>1642</v>
      </c>
    </row>
    <row r="808" spans="1:6" x14ac:dyDescent="0.2">
      <c r="A808" s="10" t="s">
        <v>209</v>
      </c>
      <c r="B808" s="10" t="s">
        <v>212</v>
      </c>
      <c r="C808" s="10" t="s">
        <v>45</v>
      </c>
      <c r="D808" s="10">
        <v>30033</v>
      </c>
      <c r="E808" s="10" t="s">
        <v>8</v>
      </c>
      <c r="F808" s="10">
        <v>105</v>
      </c>
    </row>
    <row r="809" spans="1:6" x14ac:dyDescent="0.2">
      <c r="A809" s="10" t="s">
        <v>209</v>
      </c>
      <c r="B809" s="10" t="s">
        <v>212</v>
      </c>
      <c r="C809" s="10" t="s">
        <v>45</v>
      </c>
      <c r="D809" s="10">
        <v>30084</v>
      </c>
      <c r="E809" s="10" t="s">
        <v>5</v>
      </c>
      <c r="F809" s="10">
        <v>862</v>
      </c>
    </row>
    <row r="810" spans="1:6" x14ac:dyDescent="0.2">
      <c r="A810" s="10" t="s">
        <v>209</v>
      </c>
      <c r="B810" s="10" t="s">
        <v>211</v>
      </c>
      <c r="C810" s="10" t="s">
        <v>45</v>
      </c>
      <c r="D810" s="10">
        <v>31404</v>
      </c>
      <c r="E810" s="10" t="s">
        <v>5</v>
      </c>
      <c r="F810" s="10">
        <v>913</v>
      </c>
    </row>
    <row r="811" spans="1:6" x14ac:dyDescent="0.2">
      <c r="A811" s="10" t="s">
        <v>209</v>
      </c>
      <c r="B811" s="10" t="s">
        <v>214</v>
      </c>
      <c r="C811" s="10" t="s">
        <v>45</v>
      </c>
      <c r="D811" s="10">
        <v>30253</v>
      </c>
      <c r="E811" s="10" t="s">
        <v>6</v>
      </c>
      <c r="F811" s="10">
        <v>1819</v>
      </c>
    </row>
    <row r="812" spans="1:6" x14ac:dyDescent="0.2">
      <c r="A812" s="10" t="s">
        <v>209</v>
      </c>
      <c r="B812" s="10" t="s">
        <v>213</v>
      </c>
      <c r="C812" s="10" t="s">
        <v>45</v>
      </c>
      <c r="D812" s="10">
        <v>31904</v>
      </c>
      <c r="E812" s="10" t="s">
        <v>6</v>
      </c>
      <c r="F812" s="10">
        <v>1719</v>
      </c>
    </row>
    <row r="813" spans="1:6" x14ac:dyDescent="0.2">
      <c r="A813" s="10" t="s">
        <v>209</v>
      </c>
      <c r="B813" s="10" t="s">
        <v>212</v>
      </c>
      <c r="C813" s="10" t="s">
        <v>45</v>
      </c>
      <c r="D813" s="10">
        <v>30038</v>
      </c>
      <c r="E813" s="10" t="s">
        <v>8</v>
      </c>
      <c r="F813" s="10">
        <v>572</v>
      </c>
    </row>
    <row r="814" spans="1:6" x14ac:dyDescent="0.2">
      <c r="A814" s="10" t="s">
        <v>209</v>
      </c>
      <c r="B814" s="10" t="s">
        <v>144</v>
      </c>
      <c r="C814" s="10" t="s">
        <v>45</v>
      </c>
      <c r="D814" s="10">
        <v>30122</v>
      </c>
      <c r="E814" s="10" t="s">
        <v>6</v>
      </c>
      <c r="F814" s="10">
        <v>803</v>
      </c>
    </row>
    <row r="815" spans="1:6" x14ac:dyDescent="0.2">
      <c r="A815" s="10" t="s">
        <v>209</v>
      </c>
      <c r="B815" s="10" t="s">
        <v>212</v>
      </c>
      <c r="C815" s="10" t="s">
        <v>45</v>
      </c>
      <c r="D815" s="10">
        <v>30083</v>
      </c>
      <c r="E815" s="10" t="s">
        <v>6</v>
      </c>
      <c r="F815" s="10">
        <v>1878</v>
      </c>
    </row>
    <row r="816" spans="1:6" x14ac:dyDescent="0.2">
      <c r="A816" s="10" t="s">
        <v>209</v>
      </c>
      <c r="B816" s="10" t="s">
        <v>212</v>
      </c>
      <c r="C816" s="10" t="s">
        <v>45</v>
      </c>
      <c r="D816" s="10">
        <v>30329</v>
      </c>
      <c r="E816" s="10" t="s">
        <v>6</v>
      </c>
      <c r="F816" s="10">
        <v>661</v>
      </c>
    </row>
    <row r="817" spans="1:6" x14ac:dyDescent="0.2">
      <c r="A817" s="10" t="s">
        <v>209</v>
      </c>
      <c r="B817" s="10" t="s">
        <v>215</v>
      </c>
      <c r="C817" s="10" t="s">
        <v>45</v>
      </c>
      <c r="D817" s="10">
        <v>30720</v>
      </c>
      <c r="E817" s="10" t="s">
        <v>6</v>
      </c>
      <c r="F817" s="10">
        <v>1465</v>
      </c>
    </row>
    <row r="818" spans="1:6" x14ac:dyDescent="0.2">
      <c r="A818" s="10" t="s">
        <v>209</v>
      </c>
      <c r="B818" s="10" t="s">
        <v>216</v>
      </c>
      <c r="C818" s="10" t="s">
        <v>45</v>
      </c>
      <c r="D818" s="10">
        <v>30165</v>
      </c>
      <c r="E818" s="10" t="s">
        <v>5</v>
      </c>
      <c r="F818" s="10">
        <v>3315</v>
      </c>
    </row>
    <row r="819" spans="1:6" x14ac:dyDescent="0.2">
      <c r="A819" s="10" t="s">
        <v>209</v>
      </c>
      <c r="B819" s="10" t="s">
        <v>217</v>
      </c>
      <c r="C819" s="10" t="s">
        <v>45</v>
      </c>
      <c r="D819" s="10">
        <v>30141</v>
      </c>
      <c r="E819" s="10" t="s">
        <v>7</v>
      </c>
      <c r="F819" s="10">
        <v>2363</v>
      </c>
    </row>
    <row r="820" spans="1:6" x14ac:dyDescent="0.2">
      <c r="A820" s="10" t="s">
        <v>209</v>
      </c>
      <c r="B820" s="10" t="s">
        <v>211</v>
      </c>
      <c r="C820" s="10" t="s">
        <v>45</v>
      </c>
      <c r="D820" s="10">
        <v>31406</v>
      </c>
      <c r="E820" s="10" t="s">
        <v>6</v>
      </c>
      <c r="F820" s="10">
        <v>1866</v>
      </c>
    </row>
    <row r="821" spans="1:6" x14ac:dyDescent="0.2">
      <c r="A821" s="10" t="s">
        <v>209</v>
      </c>
      <c r="B821" s="10" t="s">
        <v>217</v>
      </c>
      <c r="C821" s="10" t="s">
        <v>45</v>
      </c>
      <c r="D821" s="10">
        <v>30141</v>
      </c>
      <c r="E821" s="10" t="s">
        <v>8</v>
      </c>
      <c r="F821" s="10">
        <v>719</v>
      </c>
    </row>
    <row r="822" spans="1:6" x14ac:dyDescent="0.2">
      <c r="A822" s="10" t="s">
        <v>209</v>
      </c>
      <c r="B822" s="10" t="s">
        <v>218</v>
      </c>
      <c r="C822" s="10" t="s">
        <v>45</v>
      </c>
      <c r="D822" s="10">
        <v>30240</v>
      </c>
      <c r="E822" s="10" t="s">
        <v>5</v>
      </c>
      <c r="F822" s="10">
        <v>1473</v>
      </c>
    </row>
    <row r="823" spans="1:6" x14ac:dyDescent="0.2">
      <c r="A823" s="10" t="s">
        <v>209</v>
      </c>
      <c r="B823" s="10" t="s">
        <v>211</v>
      </c>
      <c r="C823" s="10" t="s">
        <v>45</v>
      </c>
      <c r="D823" s="10">
        <v>31405</v>
      </c>
      <c r="E823" s="10" t="s">
        <v>7</v>
      </c>
      <c r="F823" s="10">
        <v>1668</v>
      </c>
    </row>
    <row r="824" spans="1:6" x14ac:dyDescent="0.2">
      <c r="A824" s="10" t="s">
        <v>209</v>
      </c>
      <c r="B824" s="10" t="s">
        <v>219</v>
      </c>
      <c r="C824" s="10" t="s">
        <v>45</v>
      </c>
      <c r="D824" s="10">
        <v>30121</v>
      </c>
      <c r="E824" s="10" t="s">
        <v>5</v>
      </c>
      <c r="F824" s="10">
        <v>4957</v>
      </c>
    </row>
    <row r="825" spans="1:6" x14ac:dyDescent="0.2">
      <c r="A825" s="10" t="s">
        <v>209</v>
      </c>
      <c r="B825" s="10" t="s">
        <v>144</v>
      </c>
      <c r="C825" s="10" t="s">
        <v>45</v>
      </c>
      <c r="D825" s="10">
        <v>30135</v>
      </c>
      <c r="E825" s="10" t="s">
        <v>7</v>
      </c>
      <c r="F825" s="10">
        <v>3558</v>
      </c>
    </row>
    <row r="826" spans="1:6" x14ac:dyDescent="0.2">
      <c r="A826" s="10" t="s">
        <v>209</v>
      </c>
      <c r="B826" s="10" t="s">
        <v>220</v>
      </c>
      <c r="C826" s="10" t="s">
        <v>46</v>
      </c>
      <c r="D826" s="10">
        <v>30265</v>
      </c>
      <c r="E826" s="10" t="s">
        <v>6</v>
      </c>
      <c r="F826" s="10">
        <v>4110</v>
      </c>
    </row>
    <row r="827" spans="1:6" x14ac:dyDescent="0.2">
      <c r="A827" s="10" t="s">
        <v>209</v>
      </c>
      <c r="B827" s="10" t="s">
        <v>221</v>
      </c>
      <c r="C827" s="10" t="s">
        <v>46</v>
      </c>
      <c r="D827" s="10">
        <v>31707</v>
      </c>
      <c r="E827" s="10" t="s">
        <v>8</v>
      </c>
      <c r="F827" s="10">
        <v>379</v>
      </c>
    </row>
    <row r="828" spans="1:6" x14ac:dyDescent="0.2">
      <c r="A828" s="10" t="s">
        <v>209</v>
      </c>
      <c r="B828" s="10" t="s">
        <v>222</v>
      </c>
      <c r="C828" s="10" t="s">
        <v>46</v>
      </c>
      <c r="D828" s="10">
        <v>30606</v>
      </c>
      <c r="E828" s="10" t="s">
        <v>8</v>
      </c>
      <c r="F828" s="10">
        <v>417</v>
      </c>
    </row>
    <row r="829" spans="1:6" x14ac:dyDescent="0.2">
      <c r="A829" s="10" t="s">
        <v>209</v>
      </c>
      <c r="B829" s="10" t="s">
        <v>223</v>
      </c>
      <c r="C829" s="10" t="s">
        <v>46</v>
      </c>
      <c r="D829" s="10">
        <v>30114</v>
      </c>
      <c r="E829" s="10" t="s">
        <v>5</v>
      </c>
      <c r="F829" s="10">
        <v>3379</v>
      </c>
    </row>
    <row r="830" spans="1:6" x14ac:dyDescent="0.2">
      <c r="A830" s="10" t="s">
        <v>209</v>
      </c>
      <c r="B830" s="10" t="s">
        <v>223</v>
      </c>
      <c r="C830" s="10" t="s">
        <v>46</v>
      </c>
      <c r="D830" s="10">
        <v>30189</v>
      </c>
      <c r="E830" s="10" t="s">
        <v>7</v>
      </c>
      <c r="F830" s="10">
        <v>3065</v>
      </c>
    </row>
    <row r="831" spans="1:6" x14ac:dyDescent="0.2">
      <c r="A831" s="10" t="s">
        <v>209</v>
      </c>
      <c r="B831" s="10" t="s">
        <v>224</v>
      </c>
      <c r="C831" s="10" t="s">
        <v>46</v>
      </c>
      <c r="D831" s="10">
        <v>30680</v>
      </c>
      <c r="E831" s="10" t="s">
        <v>8</v>
      </c>
      <c r="F831" s="10">
        <v>1047</v>
      </c>
    </row>
    <row r="832" spans="1:6" x14ac:dyDescent="0.2">
      <c r="A832" s="10" t="s">
        <v>209</v>
      </c>
      <c r="B832" s="10" t="s">
        <v>225</v>
      </c>
      <c r="C832" s="10" t="s">
        <v>46</v>
      </c>
      <c r="D832" s="10">
        <v>30066</v>
      </c>
      <c r="E832" s="10" t="s">
        <v>6</v>
      </c>
      <c r="F832" s="10">
        <v>2529</v>
      </c>
    </row>
    <row r="833" spans="1:6" x14ac:dyDescent="0.2">
      <c r="A833" s="10" t="s">
        <v>209</v>
      </c>
      <c r="B833" s="10" t="s">
        <v>226</v>
      </c>
      <c r="C833" s="10" t="s">
        <v>46</v>
      </c>
      <c r="D833" s="10">
        <v>30701</v>
      </c>
      <c r="E833" s="10" t="s">
        <v>6</v>
      </c>
      <c r="F833" s="10">
        <v>1701</v>
      </c>
    </row>
    <row r="834" spans="1:6" x14ac:dyDescent="0.2">
      <c r="A834" s="10" t="s">
        <v>209</v>
      </c>
      <c r="B834" s="10" t="s">
        <v>222</v>
      </c>
      <c r="C834" s="10" t="s">
        <v>46</v>
      </c>
      <c r="D834" s="10">
        <v>30606</v>
      </c>
      <c r="E834" s="10" t="s">
        <v>7</v>
      </c>
      <c r="F834" s="10">
        <v>2014</v>
      </c>
    </row>
    <row r="835" spans="1:6" x14ac:dyDescent="0.2">
      <c r="A835" s="10" t="s">
        <v>209</v>
      </c>
      <c r="B835" s="10" t="s">
        <v>227</v>
      </c>
      <c r="C835" s="10" t="s">
        <v>46</v>
      </c>
      <c r="D835" s="10">
        <v>30324</v>
      </c>
      <c r="E835" s="10" t="s">
        <v>6</v>
      </c>
      <c r="F835" s="10">
        <v>404</v>
      </c>
    </row>
    <row r="836" spans="1:6" x14ac:dyDescent="0.2">
      <c r="A836" s="10" t="s">
        <v>209</v>
      </c>
      <c r="B836" s="10" t="s">
        <v>222</v>
      </c>
      <c r="C836" s="10" t="s">
        <v>46</v>
      </c>
      <c r="D836" s="10">
        <v>30606</v>
      </c>
      <c r="E836" s="10" t="s">
        <v>6</v>
      </c>
      <c r="F836" s="10">
        <v>2250</v>
      </c>
    </row>
    <row r="837" spans="1:6" x14ac:dyDescent="0.2">
      <c r="A837" s="10" t="s">
        <v>209</v>
      </c>
      <c r="B837" s="10" t="s">
        <v>225</v>
      </c>
      <c r="C837" s="10" t="s">
        <v>46</v>
      </c>
      <c r="D837" s="10">
        <v>30339</v>
      </c>
      <c r="E837" s="10" t="s">
        <v>7</v>
      </c>
      <c r="F837" s="10">
        <v>1782</v>
      </c>
    </row>
    <row r="838" spans="1:6" x14ac:dyDescent="0.2">
      <c r="A838" s="10" t="s">
        <v>209</v>
      </c>
      <c r="B838" s="10" t="s">
        <v>225</v>
      </c>
      <c r="C838" s="10" t="s">
        <v>46</v>
      </c>
      <c r="D838" s="10">
        <v>30339</v>
      </c>
      <c r="E838" s="10" t="s">
        <v>8</v>
      </c>
      <c r="F838" s="10">
        <v>501</v>
      </c>
    </row>
    <row r="839" spans="1:6" x14ac:dyDescent="0.2">
      <c r="A839" s="10" t="s">
        <v>209</v>
      </c>
      <c r="B839" s="10" t="s">
        <v>227</v>
      </c>
      <c r="C839" s="10" t="s">
        <v>46</v>
      </c>
      <c r="D839" s="10">
        <v>30328</v>
      </c>
      <c r="E839" s="10" t="s">
        <v>6</v>
      </c>
      <c r="F839" s="10">
        <v>1044</v>
      </c>
    </row>
    <row r="840" spans="1:6" x14ac:dyDescent="0.2">
      <c r="A840" s="10" t="s">
        <v>209</v>
      </c>
      <c r="B840" s="10" t="s">
        <v>225</v>
      </c>
      <c r="C840" s="10" t="s">
        <v>46</v>
      </c>
      <c r="D840" s="10">
        <v>30068</v>
      </c>
      <c r="E840" s="10" t="s">
        <v>6</v>
      </c>
      <c r="F840" s="10">
        <v>1657</v>
      </c>
    </row>
    <row r="841" spans="1:6" x14ac:dyDescent="0.2">
      <c r="A841" s="10" t="s">
        <v>209</v>
      </c>
      <c r="B841" s="10" t="s">
        <v>228</v>
      </c>
      <c r="C841" s="10" t="s">
        <v>46</v>
      </c>
      <c r="D841" s="10">
        <v>30542</v>
      </c>
      <c r="E841" s="10" t="s">
        <v>7</v>
      </c>
      <c r="F841" s="10">
        <v>4892</v>
      </c>
    </row>
    <row r="842" spans="1:6" x14ac:dyDescent="0.2">
      <c r="A842" s="10" t="s">
        <v>209</v>
      </c>
      <c r="B842" s="10" t="s">
        <v>229</v>
      </c>
      <c r="C842" s="10" t="s">
        <v>46</v>
      </c>
      <c r="D842" s="10">
        <v>31206</v>
      </c>
      <c r="E842" s="10" t="s">
        <v>5</v>
      </c>
      <c r="F842" s="10">
        <v>1688</v>
      </c>
    </row>
    <row r="843" spans="1:6" x14ac:dyDescent="0.2">
      <c r="A843" s="10" t="s">
        <v>209</v>
      </c>
      <c r="B843" s="10" t="s">
        <v>229</v>
      </c>
      <c r="C843" s="10" t="s">
        <v>46</v>
      </c>
      <c r="D843" s="10">
        <v>31206</v>
      </c>
      <c r="E843" s="10" t="s">
        <v>6</v>
      </c>
      <c r="F843" s="10">
        <v>1250</v>
      </c>
    </row>
    <row r="844" spans="1:6" x14ac:dyDescent="0.2">
      <c r="A844" s="10" t="s">
        <v>209</v>
      </c>
      <c r="B844" s="10" t="s">
        <v>227</v>
      </c>
      <c r="C844" s="10" t="s">
        <v>46</v>
      </c>
      <c r="D844" s="10">
        <v>30076</v>
      </c>
      <c r="E844" s="10" t="s">
        <v>8</v>
      </c>
      <c r="F844" s="10">
        <v>449</v>
      </c>
    </row>
    <row r="845" spans="1:6" x14ac:dyDescent="0.2">
      <c r="A845" s="10" t="s">
        <v>209</v>
      </c>
      <c r="B845" s="10" t="s">
        <v>229</v>
      </c>
      <c r="C845" s="10" t="s">
        <v>46</v>
      </c>
      <c r="D845" s="10">
        <v>31210</v>
      </c>
      <c r="E845" s="10" t="s">
        <v>8</v>
      </c>
      <c r="F845" s="10">
        <v>114</v>
      </c>
    </row>
    <row r="846" spans="1:6" x14ac:dyDescent="0.2">
      <c r="A846" s="10" t="s">
        <v>209</v>
      </c>
      <c r="B846" s="10" t="s">
        <v>227</v>
      </c>
      <c r="C846" s="10" t="s">
        <v>46</v>
      </c>
      <c r="D846" s="10">
        <v>30004</v>
      </c>
      <c r="E846" s="10" t="s">
        <v>6</v>
      </c>
      <c r="F846" s="10">
        <v>57</v>
      </c>
    </row>
    <row r="847" spans="1:6" x14ac:dyDescent="0.2">
      <c r="A847" s="10" t="s">
        <v>209</v>
      </c>
      <c r="B847" s="10" t="s">
        <v>225</v>
      </c>
      <c r="C847" s="10" t="s">
        <v>46</v>
      </c>
      <c r="D847" s="10">
        <v>30106</v>
      </c>
      <c r="E847" s="10" t="s">
        <v>7</v>
      </c>
      <c r="F847" s="10">
        <v>1987</v>
      </c>
    </row>
    <row r="848" spans="1:6" x14ac:dyDescent="0.2">
      <c r="A848" s="10" t="s">
        <v>209</v>
      </c>
      <c r="B848" s="10" t="s">
        <v>227</v>
      </c>
      <c r="C848" s="10" t="s">
        <v>46</v>
      </c>
      <c r="D848" s="10">
        <v>30318</v>
      </c>
      <c r="E848" s="10" t="s">
        <v>6</v>
      </c>
      <c r="F848" s="10">
        <v>2007</v>
      </c>
    </row>
    <row r="849" spans="1:6" x14ac:dyDescent="0.2">
      <c r="A849" s="10" t="s">
        <v>209</v>
      </c>
      <c r="B849" s="10" t="s">
        <v>227</v>
      </c>
      <c r="C849" s="10" t="s">
        <v>46</v>
      </c>
      <c r="D849" s="10">
        <v>30309</v>
      </c>
      <c r="E849" s="10" t="s">
        <v>8</v>
      </c>
      <c r="F849" s="10">
        <v>498</v>
      </c>
    </row>
    <row r="850" spans="1:6" x14ac:dyDescent="0.2">
      <c r="A850" s="10" t="s">
        <v>209</v>
      </c>
      <c r="B850" s="10" t="s">
        <v>227</v>
      </c>
      <c r="C850" s="10" t="s">
        <v>46</v>
      </c>
      <c r="D850" s="10">
        <v>30097</v>
      </c>
      <c r="E850" s="10" t="s">
        <v>8</v>
      </c>
      <c r="F850" s="10">
        <v>192</v>
      </c>
    </row>
    <row r="851" spans="1:6" x14ac:dyDescent="0.2">
      <c r="A851" s="10" t="s">
        <v>209</v>
      </c>
      <c r="B851" s="10" t="s">
        <v>227</v>
      </c>
      <c r="C851" s="10" t="s">
        <v>46</v>
      </c>
      <c r="D851" s="10">
        <v>30076</v>
      </c>
      <c r="E851" s="10" t="s">
        <v>6</v>
      </c>
      <c r="F851" s="10">
        <v>1086</v>
      </c>
    </row>
    <row r="852" spans="1:6" x14ac:dyDescent="0.2">
      <c r="A852" s="10" t="s">
        <v>209</v>
      </c>
      <c r="B852" s="10" t="s">
        <v>227</v>
      </c>
      <c r="C852" s="10" t="s">
        <v>46</v>
      </c>
      <c r="D852" s="10">
        <v>30075</v>
      </c>
      <c r="E852" s="10" t="s">
        <v>7</v>
      </c>
      <c r="F852" s="10">
        <v>4897</v>
      </c>
    </row>
    <row r="853" spans="1:6" x14ac:dyDescent="0.2">
      <c r="A853" s="10" t="s">
        <v>209</v>
      </c>
      <c r="B853" s="10" t="s">
        <v>225</v>
      </c>
      <c r="C853" s="10" t="s">
        <v>46</v>
      </c>
      <c r="D853" s="10">
        <v>30062</v>
      </c>
      <c r="E853" s="10" t="s">
        <v>6</v>
      </c>
      <c r="F853" s="10">
        <v>421</v>
      </c>
    </row>
    <row r="854" spans="1:6" x14ac:dyDescent="0.2">
      <c r="A854" s="10" t="s">
        <v>209</v>
      </c>
      <c r="B854" s="10" t="s">
        <v>230</v>
      </c>
      <c r="C854" s="10" t="s">
        <v>46</v>
      </c>
      <c r="D854" s="10">
        <v>30269</v>
      </c>
      <c r="E854" s="10" t="s">
        <v>5</v>
      </c>
      <c r="F854" s="10">
        <v>2188</v>
      </c>
    </row>
    <row r="855" spans="1:6" x14ac:dyDescent="0.2">
      <c r="A855" s="10" t="s">
        <v>209</v>
      </c>
      <c r="B855" s="10" t="s">
        <v>225</v>
      </c>
      <c r="C855" s="10" t="s">
        <v>46</v>
      </c>
      <c r="D855" s="10">
        <v>30144</v>
      </c>
      <c r="E855" s="10" t="s">
        <v>7</v>
      </c>
      <c r="F855" s="10">
        <v>2753</v>
      </c>
    </row>
    <row r="856" spans="1:6" x14ac:dyDescent="0.2">
      <c r="A856" s="10" t="s">
        <v>209</v>
      </c>
      <c r="B856" s="10" t="s">
        <v>231</v>
      </c>
      <c r="C856" s="10" t="s">
        <v>46</v>
      </c>
      <c r="D856" s="10">
        <v>31757</v>
      </c>
      <c r="E856" s="10" t="s">
        <v>6</v>
      </c>
      <c r="F856" s="10">
        <v>2104</v>
      </c>
    </row>
    <row r="857" spans="1:6" x14ac:dyDescent="0.2">
      <c r="A857" s="10" t="s">
        <v>209</v>
      </c>
      <c r="B857" s="10" t="s">
        <v>227</v>
      </c>
      <c r="C857" s="10" t="s">
        <v>46</v>
      </c>
      <c r="D857" s="10">
        <v>30022</v>
      </c>
      <c r="E857" s="10" t="s">
        <v>5</v>
      </c>
      <c r="F857" s="10">
        <v>1270</v>
      </c>
    </row>
    <row r="858" spans="1:6" x14ac:dyDescent="0.2">
      <c r="A858" s="10" t="s">
        <v>209</v>
      </c>
      <c r="B858" s="10" t="s">
        <v>225</v>
      </c>
      <c r="C858" s="10" t="s">
        <v>46</v>
      </c>
      <c r="D858" s="10">
        <v>30064</v>
      </c>
      <c r="E858" s="10" t="s">
        <v>5</v>
      </c>
      <c r="F858" s="10">
        <v>1901</v>
      </c>
    </row>
    <row r="859" spans="1:6" x14ac:dyDescent="0.2">
      <c r="A859" s="10" t="s">
        <v>209</v>
      </c>
      <c r="B859" s="10" t="s">
        <v>227</v>
      </c>
      <c r="C859" s="10" t="s">
        <v>46</v>
      </c>
      <c r="D859" s="10">
        <v>30326</v>
      </c>
      <c r="E859" s="10" t="s">
        <v>10</v>
      </c>
      <c r="F859" s="10">
        <v>566</v>
      </c>
    </row>
    <row r="860" spans="1:6" x14ac:dyDescent="0.2">
      <c r="A860" s="10" t="s">
        <v>209</v>
      </c>
      <c r="B860" s="10" t="s">
        <v>221</v>
      </c>
      <c r="C860" s="10" t="s">
        <v>46</v>
      </c>
      <c r="D860" s="10">
        <v>31707</v>
      </c>
      <c r="E860" s="10" t="s">
        <v>6</v>
      </c>
      <c r="F860" s="10">
        <v>1362</v>
      </c>
    </row>
    <row r="861" spans="1:6" x14ac:dyDescent="0.2">
      <c r="A861" s="10" t="s">
        <v>209</v>
      </c>
      <c r="B861" s="10" t="s">
        <v>232</v>
      </c>
      <c r="C861" s="10" t="s">
        <v>46</v>
      </c>
      <c r="D861" s="10">
        <v>31602</v>
      </c>
      <c r="E861" s="10" t="s">
        <v>7</v>
      </c>
      <c r="F861" s="10">
        <v>2602</v>
      </c>
    </row>
    <row r="862" spans="1:6" x14ac:dyDescent="0.2">
      <c r="A862" s="10" t="s">
        <v>209</v>
      </c>
      <c r="B862" s="10" t="s">
        <v>233</v>
      </c>
      <c r="C862" s="10" t="s">
        <v>46</v>
      </c>
      <c r="D862" s="10">
        <v>30223</v>
      </c>
      <c r="E862" s="10" t="s">
        <v>7</v>
      </c>
      <c r="F862" s="10">
        <v>5042</v>
      </c>
    </row>
    <row r="863" spans="1:6" x14ac:dyDescent="0.2">
      <c r="A863" s="10" t="s">
        <v>209</v>
      </c>
      <c r="B863" s="10" t="s">
        <v>227</v>
      </c>
      <c r="C863" s="10" t="s">
        <v>46</v>
      </c>
      <c r="D863" s="10">
        <v>30344</v>
      </c>
      <c r="E863" s="10" t="s">
        <v>5</v>
      </c>
      <c r="F863" s="10">
        <v>2165</v>
      </c>
    </row>
    <row r="864" spans="1:6" x14ac:dyDescent="0.2">
      <c r="A864" s="10" t="s">
        <v>209</v>
      </c>
      <c r="B864" s="10" t="s">
        <v>223</v>
      </c>
      <c r="C864" s="10" t="s">
        <v>46</v>
      </c>
      <c r="D864" s="10">
        <v>30115</v>
      </c>
      <c r="E864" s="10" t="s">
        <v>7</v>
      </c>
      <c r="F864" s="10">
        <v>1461</v>
      </c>
    </row>
    <row r="865" spans="1:6" x14ac:dyDescent="0.2">
      <c r="A865" s="10" t="s">
        <v>209</v>
      </c>
      <c r="B865" s="10" t="s">
        <v>230</v>
      </c>
      <c r="C865" s="10" t="s">
        <v>46</v>
      </c>
      <c r="D865" s="10">
        <v>30214</v>
      </c>
      <c r="E865" s="10" t="s">
        <v>5</v>
      </c>
      <c r="F865" s="10">
        <v>2149</v>
      </c>
    </row>
    <row r="866" spans="1:6" x14ac:dyDescent="0.2">
      <c r="A866" s="10" t="s">
        <v>209</v>
      </c>
      <c r="B866" s="10" t="s">
        <v>234</v>
      </c>
      <c r="C866" s="10" t="s">
        <v>46</v>
      </c>
      <c r="D866" s="10">
        <v>30013</v>
      </c>
      <c r="E866" s="10" t="s">
        <v>6</v>
      </c>
      <c r="F866" s="10">
        <v>1769</v>
      </c>
    </row>
    <row r="867" spans="1:6" x14ac:dyDescent="0.2">
      <c r="A867" s="10" t="s">
        <v>209</v>
      </c>
      <c r="B867" s="10" t="s">
        <v>227</v>
      </c>
      <c r="C867" s="10" t="s">
        <v>46</v>
      </c>
      <c r="D867" s="10">
        <v>30009</v>
      </c>
      <c r="E867" s="10" t="s">
        <v>10</v>
      </c>
      <c r="F867" s="10">
        <v>2211</v>
      </c>
    </row>
    <row r="868" spans="1:6" x14ac:dyDescent="0.2">
      <c r="A868" s="10" t="s">
        <v>209</v>
      </c>
      <c r="B868" s="10" t="s">
        <v>235</v>
      </c>
      <c r="C868" s="10" t="s">
        <v>46</v>
      </c>
      <c r="D868" s="10">
        <v>31021</v>
      </c>
      <c r="E868" s="10" t="s">
        <v>7</v>
      </c>
      <c r="F868" s="10">
        <v>549</v>
      </c>
    </row>
    <row r="869" spans="1:6" x14ac:dyDescent="0.2">
      <c r="A869" s="10" t="s">
        <v>209</v>
      </c>
      <c r="B869" s="10" t="s">
        <v>227</v>
      </c>
      <c r="C869" s="10" t="s">
        <v>46</v>
      </c>
      <c r="D869" s="10">
        <v>30306</v>
      </c>
      <c r="E869" s="10" t="s">
        <v>10</v>
      </c>
      <c r="F869" s="10">
        <v>761</v>
      </c>
    </row>
    <row r="870" spans="1:6" x14ac:dyDescent="0.2">
      <c r="A870" s="10" t="s">
        <v>209</v>
      </c>
      <c r="B870" s="10" t="s">
        <v>227</v>
      </c>
      <c r="C870" s="10" t="s">
        <v>46</v>
      </c>
      <c r="D870" s="10">
        <v>30308</v>
      </c>
      <c r="E870" s="10" t="s">
        <v>5</v>
      </c>
      <c r="F870" s="10">
        <v>2528</v>
      </c>
    </row>
    <row r="871" spans="1:6" x14ac:dyDescent="0.2">
      <c r="A871" s="10" t="s">
        <v>209</v>
      </c>
      <c r="B871" s="10" t="s">
        <v>228</v>
      </c>
      <c r="C871" s="10" t="s">
        <v>46</v>
      </c>
      <c r="D871" s="10">
        <v>30501</v>
      </c>
      <c r="E871" s="10" t="s">
        <v>7</v>
      </c>
      <c r="F871" s="10">
        <v>2993</v>
      </c>
    </row>
    <row r="872" spans="1:6" x14ac:dyDescent="0.2">
      <c r="A872" s="10" t="s">
        <v>209</v>
      </c>
      <c r="B872" s="10" t="s">
        <v>228</v>
      </c>
      <c r="C872" s="10" t="s">
        <v>46</v>
      </c>
      <c r="D872" s="10">
        <v>30501</v>
      </c>
      <c r="E872" s="10" t="s">
        <v>8</v>
      </c>
      <c r="F872" s="10">
        <v>2254</v>
      </c>
    </row>
    <row r="873" spans="1:6" x14ac:dyDescent="0.2">
      <c r="A873" s="10" t="s">
        <v>209</v>
      </c>
      <c r="B873" s="10" t="s">
        <v>221</v>
      </c>
      <c r="C873" s="10" t="s">
        <v>46</v>
      </c>
      <c r="D873" s="10">
        <v>31701</v>
      </c>
      <c r="E873" s="10" t="s">
        <v>5</v>
      </c>
      <c r="F873" s="10">
        <v>1659</v>
      </c>
    </row>
    <row r="874" spans="1:6" x14ac:dyDescent="0.2">
      <c r="A874" s="10" t="s">
        <v>209</v>
      </c>
      <c r="B874" s="10" t="s">
        <v>225</v>
      </c>
      <c r="C874" s="10" t="s">
        <v>46</v>
      </c>
      <c r="D874" s="10">
        <v>30101</v>
      </c>
      <c r="E874" s="10" t="s">
        <v>5</v>
      </c>
      <c r="F874" s="10">
        <v>219</v>
      </c>
    </row>
    <row r="875" spans="1:6" x14ac:dyDescent="0.2">
      <c r="A875" s="10" t="s">
        <v>209</v>
      </c>
      <c r="B875" s="10" t="s">
        <v>227</v>
      </c>
      <c r="C875" s="10" t="s">
        <v>46</v>
      </c>
      <c r="D875" s="10">
        <v>30338</v>
      </c>
      <c r="E875" s="10" t="s">
        <v>6</v>
      </c>
      <c r="F875" s="10">
        <v>2438</v>
      </c>
    </row>
    <row r="876" spans="1:6" x14ac:dyDescent="0.2">
      <c r="A876" s="10" t="s">
        <v>209</v>
      </c>
      <c r="B876" s="10" t="s">
        <v>230</v>
      </c>
      <c r="C876" s="10" t="s">
        <v>46</v>
      </c>
      <c r="D876" s="10">
        <v>30214</v>
      </c>
      <c r="E876" s="10" t="s">
        <v>6</v>
      </c>
      <c r="F876" s="10">
        <v>1548</v>
      </c>
    </row>
    <row r="877" spans="1:6" x14ac:dyDescent="0.2">
      <c r="A877" s="10" t="s">
        <v>209</v>
      </c>
      <c r="B877" s="10" t="s">
        <v>236</v>
      </c>
      <c r="C877" s="10" t="s">
        <v>46</v>
      </c>
      <c r="D877" s="10">
        <v>30458</v>
      </c>
      <c r="E877" s="10" t="s">
        <v>7</v>
      </c>
      <c r="F877" s="10">
        <v>1002</v>
      </c>
    </row>
    <row r="878" spans="1:6" x14ac:dyDescent="0.2">
      <c r="A878" s="10" t="s">
        <v>209</v>
      </c>
      <c r="B878" s="10" t="s">
        <v>237</v>
      </c>
      <c r="C878" s="10" t="s">
        <v>47</v>
      </c>
      <c r="D878" s="10">
        <v>30519</v>
      </c>
      <c r="E878" s="10" t="s">
        <v>5</v>
      </c>
      <c r="F878" s="10">
        <v>2237</v>
      </c>
    </row>
    <row r="879" spans="1:6" x14ac:dyDescent="0.2">
      <c r="A879" s="10" t="s">
        <v>209</v>
      </c>
      <c r="B879" s="10" t="s">
        <v>237</v>
      </c>
      <c r="C879" s="10" t="s">
        <v>47</v>
      </c>
      <c r="D879" s="10">
        <v>30078</v>
      </c>
      <c r="E879" s="10" t="s">
        <v>6</v>
      </c>
      <c r="F879" s="10">
        <v>1723</v>
      </c>
    </row>
    <row r="880" spans="1:6" x14ac:dyDescent="0.2">
      <c r="A880" s="10" t="s">
        <v>209</v>
      </c>
      <c r="B880" s="10" t="s">
        <v>238</v>
      </c>
      <c r="C880" s="10" t="s">
        <v>47</v>
      </c>
      <c r="D880" s="10">
        <v>31503</v>
      </c>
      <c r="E880" s="10" t="s">
        <v>5</v>
      </c>
      <c r="F880" s="10">
        <v>2271</v>
      </c>
    </row>
    <row r="881" spans="1:6" x14ac:dyDescent="0.2">
      <c r="A881" s="10" t="s">
        <v>209</v>
      </c>
      <c r="B881" s="10" t="s">
        <v>69</v>
      </c>
      <c r="C881" s="10" t="s">
        <v>47</v>
      </c>
      <c r="D881" s="10">
        <v>31061</v>
      </c>
      <c r="E881" s="10" t="s">
        <v>7</v>
      </c>
      <c r="F881" s="10">
        <v>3273</v>
      </c>
    </row>
    <row r="882" spans="1:6" x14ac:dyDescent="0.2">
      <c r="A882" s="10" t="s">
        <v>209</v>
      </c>
      <c r="B882" s="10" t="s">
        <v>239</v>
      </c>
      <c r="C882" s="10" t="s">
        <v>47</v>
      </c>
      <c r="D882" s="10">
        <v>30281</v>
      </c>
      <c r="E882" s="10" t="s">
        <v>6</v>
      </c>
      <c r="F882" s="10">
        <v>2175</v>
      </c>
    </row>
    <row r="883" spans="1:6" x14ac:dyDescent="0.2">
      <c r="A883" s="10" t="s">
        <v>209</v>
      </c>
      <c r="B883" s="10" t="s">
        <v>237</v>
      </c>
      <c r="C883" s="10" t="s">
        <v>47</v>
      </c>
      <c r="D883" s="10">
        <v>30092</v>
      </c>
      <c r="E883" s="10" t="s">
        <v>6</v>
      </c>
      <c r="F883" s="10">
        <v>2200</v>
      </c>
    </row>
    <row r="884" spans="1:6" x14ac:dyDescent="0.2">
      <c r="A884" s="10" t="s">
        <v>209</v>
      </c>
      <c r="B884" s="10" t="s">
        <v>240</v>
      </c>
      <c r="C884" s="10" t="s">
        <v>47</v>
      </c>
      <c r="D884" s="10">
        <v>30041</v>
      </c>
      <c r="E884" s="10" t="s">
        <v>5</v>
      </c>
      <c r="F884" s="10">
        <v>985</v>
      </c>
    </row>
    <row r="885" spans="1:6" x14ac:dyDescent="0.2">
      <c r="A885" s="10" t="s">
        <v>209</v>
      </c>
      <c r="B885" s="10" t="s">
        <v>237</v>
      </c>
      <c r="C885" s="10" t="s">
        <v>47</v>
      </c>
      <c r="D885" s="10">
        <v>30024</v>
      </c>
      <c r="E885" s="10" t="s">
        <v>6</v>
      </c>
      <c r="F885" s="10">
        <v>439</v>
      </c>
    </row>
    <row r="886" spans="1:6" x14ac:dyDescent="0.2">
      <c r="A886" s="10" t="s">
        <v>209</v>
      </c>
      <c r="B886" s="10" t="s">
        <v>239</v>
      </c>
      <c r="C886" s="10" t="s">
        <v>47</v>
      </c>
      <c r="D886" s="10">
        <v>30236</v>
      </c>
      <c r="E886" s="10" t="s">
        <v>6</v>
      </c>
      <c r="F886" s="10">
        <v>2773</v>
      </c>
    </row>
    <row r="887" spans="1:6" x14ac:dyDescent="0.2">
      <c r="A887" s="10" t="s">
        <v>209</v>
      </c>
      <c r="B887" s="10" t="s">
        <v>241</v>
      </c>
      <c r="C887" s="10" t="s">
        <v>47</v>
      </c>
      <c r="D887" s="10">
        <v>30117</v>
      </c>
      <c r="E887" s="10" t="s">
        <v>5</v>
      </c>
      <c r="F887" s="10">
        <v>3782</v>
      </c>
    </row>
    <row r="888" spans="1:6" x14ac:dyDescent="0.2">
      <c r="A888" s="10" t="s">
        <v>209</v>
      </c>
      <c r="B888" s="10" t="s">
        <v>237</v>
      </c>
      <c r="C888" s="10" t="s">
        <v>47</v>
      </c>
      <c r="D888" s="10">
        <v>30096</v>
      </c>
      <c r="E888" s="10" t="s">
        <v>5</v>
      </c>
      <c r="F888" s="10">
        <v>1114</v>
      </c>
    </row>
    <row r="889" spans="1:6" x14ac:dyDescent="0.2">
      <c r="A889" s="10" t="s">
        <v>209</v>
      </c>
      <c r="B889" s="10" t="s">
        <v>242</v>
      </c>
      <c r="C889" s="10" t="s">
        <v>47</v>
      </c>
      <c r="D889" s="10">
        <v>30742</v>
      </c>
      <c r="E889" s="10" t="s">
        <v>6</v>
      </c>
      <c r="F889" s="10">
        <v>2629</v>
      </c>
    </row>
    <row r="890" spans="1:6" x14ac:dyDescent="0.2">
      <c r="A890" s="10" t="s">
        <v>209</v>
      </c>
      <c r="B890" s="10" t="s">
        <v>243</v>
      </c>
      <c r="C890" s="10" t="s">
        <v>47</v>
      </c>
      <c r="D890" s="10">
        <v>31525</v>
      </c>
      <c r="E890" s="10" t="s">
        <v>5</v>
      </c>
      <c r="F890" s="10">
        <v>1360</v>
      </c>
    </row>
    <row r="891" spans="1:6" x14ac:dyDescent="0.2">
      <c r="A891" s="10" t="s">
        <v>209</v>
      </c>
      <c r="B891" s="10" t="s">
        <v>243</v>
      </c>
      <c r="C891" s="10" t="s">
        <v>47</v>
      </c>
      <c r="D891" s="10">
        <v>31525</v>
      </c>
      <c r="E891" s="10" t="s">
        <v>6</v>
      </c>
      <c r="F891" s="10">
        <v>980</v>
      </c>
    </row>
    <row r="892" spans="1:6" x14ac:dyDescent="0.2">
      <c r="A892" s="10" t="s">
        <v>209</v>
      </c>
      <c r="B892" s="10" t="s">
        <v>237</v>
      </c>
      <c r="C892" s="10" t="s">
        <v>47</v>
      </c>
      <c r="D892" s="10">
        <v>30052</v>
      </c>
      <c r="E892" s="10" t="s">
        <v>7</v>
      </c>
      <c r="F892" s="10">
        <v>3958</v>
      </c>
    </row>
    <row r="893" spans="1:6" x14ac:dyDescent="0.2">
      <c r="A893" s="10" t="s">
        <v>209</v>
      </c>
      <c r="B893" s="10" t="s">
        <v>237</v>
      </c>
      <c r="C893" s="10" t="s">
        <v>47</v>
      </c>
      <c r="D893" s="10">
        <v>30047</v>
      </c>
      <c r="E893" s="10" t="s">
        <v>6</v>
      </c>
      <c r="F893" s="10">
        <v>1896</v>
      </c>
    </row>
    <row r="894" spans="1:6" x14ac:dyDescent="0.2">
      <c r="A894" s="10" t="s">
        <v>209</v>
      </c>
      <c r="B894" s="10" t="s">
        <v>244</v>
      </c>
      <c r="C894" s="10" t="s">
        <v>47</v>
      </c>
      <c r="D894" s="10">
        <v>30907</v>
      </c>
      <c r="E894" s="10" t="s">
        <v>8</v>
      </c>
      <c r="F894" s="10">
        <v>1511</v>
      </c>
    </row>
    <row r="895" spans="1:6" x14ac:dyDescent="0.2">
      <c r="A895" s="10" t="s">
        <v>209</v>
      </c>
      <c r="B895" s="10" t="s">
        <v>237</v>
      </c>
      <c r="C895" s="10" t="s">
        <v>47</v>
      </c>
      <c r="D895" s="10">
        <v>30024</v>
      </c>
      <c r="E895" s="10" t="s">
        <v>5</v>
      </c>
      <c r="F895" s="10">
        <v>422</v>
      </c>
    </row>
    <row r="896" spans="1:6" x14ac:dyDescent="0.2">
      <c r="A896" s="10" t="s">
        <v>209</v>
      </c>
      <c r="B896" s="10" t="s">
        <v>244</v>
      </c>
      <c r="C896" s="10" t="s">
        <v>47</v>
      </c>
      <c r="D896" s="10">
        <v>30909</v>
      </c>
      <c r="E896" s="10" t="s">
        <v>6</v>
      </c>
      <c r="F896" s="10">
        <v>2536</v>
      </c>
    </row>
    <row r="897" spans="1:6" x14ac:dyDescent="0.2">
      <c r="A897" s="10" t="s">
        <v>209</v>
      </c>
      <c r="B897" s="10" t="s">
        <v>244</v>
      </c>
      <c r="C897" s="10" t="s">
        <v>47</v>
      </c>
      <c r="D897" s="10">
        <v>30909</v>
      </c>
      <c r="E897" s="10" t="s">
        <v>5</v>
      </c>
      <c r="F897" s="10">
        <v>3283</v>
      </c>
    </row>
    <row r="898" spans="1:6" x14ac:dyDescent="0.2">
      <c r="A898" s="10" t="s">
        <v>209</v>
      </c>
      <c r="B898" s="10" t="s">
        <v>240</v>
      </c>
      <c r="C898" s="10" t="s">
        <v>47</v>
      </c>
      <c r="D898" s="10">
        <v>30041</v>
      </c>
      <c r="E898" s="10" t="s">
        <v>8</v>
      </c>
      <c r="F898" s="10">
        <v>3007</v>
      </c>
    </row>
    <row r="899" spans="1:6" x14ac:dyDescent="0.2">
      <c r="A899" s="10" t="s">
        <v>209</v>
      </c>
      <c r="B899" s="10" t="s">
        <v>240</v>
      </c>
      <c r="C899" s="10" t="s">
        <v>47</v>
      </c>
      <c r="D899" s="10">
        <v>30041</v>
      </c>
      <c r="E899" s="10" t="s">
        <v>7</v>
      </c>
      <c r="F899" s="10">
        <v>1881</v>
      </c>
    </row>
    <row r="900" spans="1:6" x14ac:dyDescent="0.2">
      <c r="A900" s="10" t="s">
        <v>209</v>
      </c>
      <c r="B900" s="10" t="s">
        <v>237</v>
      </c>
      <c r="C900" s="10" t="s">
        <v>47</v>
      </c>
      <c r="D900" s="10">
        <v>30024</v>
      </c>
      <c r="E900" s="10" t="s">
        <v>8</v>
      </c>
      <c r="F900" s="10">
        <v>963</v>
      </c>
    </row>
    <row r="901" spans="1:6" x14ac:dyDescent="0.2">
      <c r="A901" s="10" t="s">
        <v>209</v>
      </c>
      <c r="B901" s="10" t="s">
        <v>237</v>
      </c>
      <c r="C901" s="10" t="s">
        <v>47</v>
      </c>
      <c r="D901" s="10">
        <v>30043</v>
      </c>
      <c r="E901" s="10" t="s">
        <v>6</v>
      </c>
      <c r="F901" s="10">
        <v>1293</v>
      </c>
    </row>
    <row r="902" spans="1:6" x14ac:dyDescent="0.2">
      <c r="A902" s="10" t="s">
        <v>209</v>
      </c>
      <c r="B902" s="10" t="s">
        <v>240</v>
      </c>
      <c r="C902" s="10" t="s">
        <v>47</v>
      </c>
      <c r="D902" s="10">
        <v>30024</v>
      </c>
      <c r="E902" s="10" t="s">
        <v>6</v>
      </c>
      <c r="F902" s="10">
        <v>439</v>
      </c>
    </row>
    <row r="903" spans="1:6" x14ac:dyDescent="0.2">
      <c r="A903" s="10" t="s">
        <v>209</v>
      </c>
      <c r="B903" s="10" t="s">
        <v>240</v>
      </c>
      <c r="C903" s="10" t="s">
        <v>47</v>
      </c>
      <c r="D903" s="10">
        <v>30024</v>
      </c>
      <c r="E903" s="10" t="s">
        <v>8</v>
      </c>
      <c r="F903" s="10">
        <v>963</v>
      </c>
    </row>
    <row r="904" spans="1:6" x14ac:dyDescent="0.2">
      <c r="A904" s="10" t="s">
        <v>209</v>
      </c>
      <c r="B904" s="10" t="s">
        <v>194</v>
      </c>
      <c r="C904" s="10" t="s">
        <v>47</v>
      </c>
      <c r="D904" s="10">
        <v>30809</v>
      </c>
      <c r="E904" s="10" t="s">
        <v>7</v>
      </c>
      <c r="F904" s="10">
        <v>395</v>
      </c>
    </row>
    <row r="905" spans="1:6" x14ac:dyDescent="0.2">
      <c r="A905" s="10" t="s">
        <v>209</v>
      </c>
      <c r="B905" s="10" t="s">
        <v>237</v>
      </c>
      <c r="C905" s="10" t="s">
        <v>47</v>
      </c>
      <c r="D905" s="10">
        <v>30043</v>
      </c>
      <c r="E905" s="10" t="s">
        <v>8</v>
      </c>
      <c r="F905" s="10">
        <v>2890</v>
      </c>
    </row>
    <row r="906" spans="1:6" x14ac:dyDescent="0.2">
      <c r="A906" s="10" t="s">
        <v>209</v>
      </c>
      <c r="B906" s="10" t="s">
        <v>240</v>
      </c>
      <c r="C906" s="10" t="s">
        <v>47</v>
      </c>
      <c r="D906" s="10">
        <v>30024</v>
      </c>
      <c r="E906" s="10" t="s">
        <v>5</v>
      </c>
      <c r="F906" s="10">
        <v>422</v>
      </c>
    </row>
    <row r="907" spans="1:6" x14ac:dyDescent="0.2">
      <c r="A907" s="10" t="s">
        <v>209</v>
      </c>
      <c r="B907" s="10" t="s">
        <v>64</v>
      </c>
      <c r="C907" s="10" t="s">
        <v>47</v>
      </c>
      <c r="D907" s="10">
        <v>31093</v>
      </c>
      <c r="E907" s="10" t="s">
        <v>6</v>
      </c>
      <c r="F907" s="10">
        <v>3240</v>
      </c>
    </row>
    <row r="908" spans="1:6" x14ac:dyDescent="0.2">
      <c r="A908" s="10" t="s">
        <v>245</v>
      </c>
      <c r="B908" s="10" t="s">
        <v>246</v>
      </c>
      <c r="C908" s="10" t="s">
        <v>46</v>
      </c>
      <c r="D908" s="10">
        <v>96815</v>
      </c>
      <c r="E908" s="10" t="s">
        <v>9</v>
      </c>
      <c r="F908" s="10">
        <v>175</v>
      </c>
    </row>
    <row r="909" spans="1:6" x14ac:dyDescent="0.2">
      <c r="A909" s="10" t="s">
        <v>245</v>
      </c>
      <c r="B909" s="10" t="s">
        <v>246</v>
      </c>
      <c r="C909" s="10" t="s">
        <v>46</v>
      </c>
      <c r="D909" s="10">
        <v>96817</v>
      </c>
      <c r="E909" s="10" t="s">
        <v>6</v>
      </c>
      <c r="F909" s="10">
        <v>2452</v>
      </c>
    </row>
    <row r="910" spans="1:6" x14ac:dyDescent="0.2">
      <c r="A910" s="10" t="s">
        <v>245</v>
      </c>
      <c r="B910" s="10" t="s">
        <v>246</v>
      </c>
      <c r="C910" s="10" t="s">
        <v>46</v>
      </c>
      <c r="D910" s="10">
        <v>96707</v>
      </c>
      <c r="E910" s="10" t="s">
        <v>7</v>
      </c>
      <c r="F910" s="10">
        <v>2320</v>
      </c>
    </row>
    <row r="911" spans="1:6" x14ac:dyDescent="0.2">
      <c r="A911" s="10" t="s">
        <v>245</v>
      </c>
      <c r="B911" s="10" t="s">
        <v>246</v>
      </c>
      <c r="C911" s="10" t="s">
        <v>46</v>
      </c>
      <c r="D911" s="10">
        <v>96701</v>
      </c>
      <c r="E911" s="10" t="s">
        <v>8</v>
      </c>
      <c r="F911" s="10">
        <v>1477</v>
      </c>
    </row>
    <row r="912" spans="1:6" x14ac:dyDescent="0.2">
      <c r="A912" s="10" t="s">
        <v>245</v>
      </c>
      <c r="B912" s="10" t="s">
        <v>246</v>
      </c>
      <c r="C912" s="10" t="s">
        <v>46</v>
      </c>
      <c r="D912" s="10">
        <v>96701</v>
      </c>
      <c r="E912" s="10" t="s">
        <v>6</v>
      </c>
      <c r="F912" s="10">
        <v>1954</v>
      </c>
    </row>
    <row r="913" spans="1:6" x14ac:dyDescent="0.2">
      <c r="A913" s="10" t="s">
        <v>245</v>
      </c>
      <c r="B913" s="10" t="s">
        <v>246</v>
      </c>
      <c r="C913" s="10" t="s">
        <v>46</v>
      </c>
      <c r="D913" s="10">
        <v>96813</v>
      </c>
      <c r="E913" s="10" t="s">
        <v>7</v>
      </c>
      <c r="F913" s="10">
        <v>1389</v>
      </c>
    </row>
    <row r="914" spans="1:6" x14ac:dyDescent="0.2">
      <c r="A914" s="10" t="s">
        <v>245</v>
      </c>
      <c r="B914" s="10" t="s">
        <v>246</v>
      </c>
      <c r="C914" s="10" t="s">
        <v>46</v>
      </c>
      <c r="D914" s="10">
        <v>96797</v>
      </c>
      <c r="E914" s="10" t="s">
        <v>7</v>
      </c>
      <c r="F914" s="10">
        <v>1678</v>
      </c>
    </row>
    <row r="915" spans="1:6" x14ac:dyDescent="0.2">
      <c r="A915" s="10" t="s">
        <v>245</v>
      </c>
      <c r="B915" s="10" t="s">
        <v>247</v>
      </c>
      <c r="C915" s="10" t="s">
        <v>47</v>
      </c>
      <c r="D915" s="10">
        <v>96720</v>
      </c>
      <c r="E915" s="10" t="s">
        <v>7</v>
      </c>
      <c r="F915" s="10">
        <v>2725</v>
      </c>
    </row>
    <row r="916" spans="1:6" x14ac:dyDescent="0.2">
      <c r="A916" s="10" t="s">
        <v>245</v>
      </c>
      <c r="B916" s="10" t="s">
        <v>247</v>
      </c>
      <c r="C916" s="10" t="s">
        <v>47</v>
      </c>
      <c r="D916" s="10">
        <v>96740</v>
      </c>
      <c r="E916" s="10" t="s">
        <v>7</v>
      </c>
      <c r="F916" s="10">
        <v>1723</v>
      </c>
    </row>
    <row r="917" spans="1:6" x14ac:dyDescent="0.2">
      <c r="A917" s="10" t="s">
        <v>245</v>
      </c>
      <c r="B917" s="10" t="s">
        <v>248</v>
      </c>
      <c r="C917" s="10" t="s">
        <v>47</v>
      </c>
      <c r="D917" s="10">
        <v>96732</v>
      </c>
      <c r="E917" s="10" t="s">
        <v>7</v>
      </c>
      <c r="F917" s="10">
        <v>3394</v>
      </c>
    </row>
    <row r="918" spans="1:6" x14ac:dyDescent="0.2">
      <c r="A918" s="10" t="s">
        <v>249</v>
      </c>
      <c r="B918" s="10" t="s">
        <v>250</v>
      </c>
      <c r="C918" s="10" t="s">
        <v>45</v>
      </c>
      <c r="D918" s="10">
        <v>50401</v>
      </c>
      <c r="E918" s="10" t="s">
        <v>5</v>
      </c>
      <c r="F918" s="10">
        <v>395</v>
      </c>
    </row>
    <row r="919" spans="1:6" x14ac:dyDescent="0.2">
      <c r="A919" s="10" t="s">
        <v>249</v>
      </c>
      <c r="B919" s="10" t="s">
        <v>251</v>
      </c>
      <c r="C919" s="10" t="s">
        <v>45</v>
      </c>
      <c r="D919" s="10">
        <v>50501</v>
      </c>
      <c r="E919" s="10" t="s">
        <v>7</v>
      </c>
      <c r="F919" s="10">
        <v>4036</v>
      </c>
    </row>
    <row r="920" spans="1:6" x14ac:dyDescent="0.2">
      <c r="A920" s="10" t="s">
        <v>249</v>
      </c>
      <c r="B920" s="10" t="s">
        <v>252</v>
      </c>
      <c r="C920" s="10" t="s">
        <v>45</v>
      </c>
      <c r="D920" s="10">
        <v>50010</v>
      </c>
      <c r="E920" s="10" t="s">
        <v>5</v>
      </c>
      <c r="F920" s="10">
        <v>1104</v>
      </c>
    </row>
    <row r="921" spans="1:6" x14ac:dyDescent="0.2">
      <c r="A921" s="10" t="s">
        <v>249</v>
      </c>
      <c r="B921" s="10" t="s">
        <v>253</v>
      </c>
      <c r="C921" s="10" t="s">
        <v>45</v>
      </c>
      <c r="D921" s="10">
        <v>52002</v>
      </c>
      <c r="E921" s="10" t="s">
        <v>5</v>
      </c>
      <c r="F921" s="10">
        <v>197</v>
      </c>
    </row>
    <row r="922" spans="1:6" x14ac:dyDescent="0.2">
      <c r="A922" s="10" t="s">
        <v>249</v>
      </c>
      <c r="B922" s="10" t="s">
        <v>254</v>
      </c>
      <c r="C922" s="10" t="s">
        <v>46</v>
      </c>
      <c r="D922" s="10">
        <v>52246</v>
      </c>
      <c r="E922" s="10" t="s">
        <v>5</v>
      </c>
      <c r="F922" s="10">
        <v>1037</v>
      </c>
    </row>
    <row r="923" spans="1:6" x14ac:dyDescent="0.2">
      <c r="A923" s="10" t="s">
        <v>249</v>
      </c>
      <c r="B923" s="10" t="s">
        <v>255</v>
      </c>
      <c r="C923" s="10" t="s">
        <v>46</v>
      </c>
      <c r="D923" s="10">
        <v>50701</v>
      </c>
      <c r="E923" s="10" t="s">
        <v>8</v>
      </c>
      <c r="F923" s="10">
        <v>1085</v>
      </c>
    </row>
    <row r="924" spans="1:6" x14ac:dyDescent="0.2">
      <c r="A924" s="10" t="s">
        <v>249</v>
      </c>
      <c r="B924" s="10" t="s">
        <v>256</v>
      </c>
      <c r="C924" s="10" t="s">
        <v>46</v>
      </c>
      <c r="D924" s="10">
        <v>52402</v>
      </c>
      <c r="E924" s="10" t="s">
        <v>7</v>
      </c>
      <c r="F924" s="10">
        <v>2283</v>
      </c>
    </row>
    <row r="925" spans="1:6" x14ac:dyDescent="0.2">
      <c r="A925" s="10" t="s">
        <v>249</v>
      </c>
      <c r="B925" s="10" t="s">
        <v>257</v>
      </c>
      <c r="C925" s="10" t="s">
        <v>46</v>
      </c>
      <c r="D925" s="10">
        <v>51106</v>
      </c>
      <c r="E925" s="10" t="s">
        <v>5</v>
      </c>
      <c r="F925" s="10">
        <v>2625</v>
      </c>
    </row>
    <row r="926" spans="1:6" x14ac:dyDescent="0.2">
      <c r="A926" s="10" t="s">
        <v>249</v>
      </c>
      <c r="B926" s="10" t="s">
        <v>255</v>
      </c>
      <c r="C926" s="10" t="s">
        <v>46</v>
      </c>
      <c r="D926" s="10">
        <v>50702</v>
      </c>
      <c r="E926" s="10" t="s">
        <v>5</v>
      </c>
      <c r="F926" s="10">
        <v>1678</v>
      </c>
    </row>
    <row r="927" spans="1:6" x14ac:dyDescent="0.2">
      <c r="A927" s="10" t="s">
        <v>249</v>
      </c>
      <c r="B927" s="10" t="s">
        <v>256</v>
      </c>
      <c r="C927" s="10" t="s">
        <v>46</v>
      </c>
      <c r="D927" s="10">
        <v>52404</v>
      </c>
      <c r="E927" s="10" t="s">
        <v>5</v>
      </c>
      <c r="F927" s="10">
        <v>1054</v>
      </c>
    </row>
    <row r="928" spans="1:6" x14ac:dyDescent="0.2">
      <c r="A928" s="10" t="s">
        <v>249</v>
      </c>
      <c r="B928" s="10" t="s">
        <v>258</v>
      </c>
      <c r="C928" s="10" t="s">
        <v>46</v>
      </c>
      <c r="D928" s="10">
        <v>50266</v>
      </c>
      <c r="E928" s="10" t="s">
        <v>6</v>
      </c>
      <c r="F928" s="10">
        <v>1904</v>
      </c>
    </row>
    <row r="929" spans="1:6" x14ac:dyDescent="0.2">
      <c r="A929" s="10" t="s">
        <v>249</v>
      </c>
      <c r="B929" s="10" t="s">
        <v>259</v>
      </c>
      <c r="C929" s="10" t="s">
        <v>46</v>
      </c>
      <c r="D929" s="10">
        <v>52601</v>
      </c>
      <c r="E929" s="10" t="s">
        <v>5</v>
      </c>
      <c r="F929" s="10">
        <v>1083</v>
      </c>
    </row>
    <row r="930" spans="1:6" x14ac:dyDescent="0.2">
      <c r="A930" s="10" t="s">
        <v>249</v>
      </c>
      <c r="B930" s="10" t="s">
        <v>258</v>
      </c>
      <c r="C930" s="10" t="s">
        <v>46</v>
      </c>
      <c r="D930" s="10">
        <v>50266</v>
      </c>
      <c r="E930" s="10" t="s">
        <v>7</v>
      </c>
      <c r="F930" s="10">
        <v>2899</v>
      </c>
    </row>
    <row r="931" spans="1:6" x14ac:dyDescent="0.2">
      <c r="A931" s="10" t="s">
        <v>249</v>
      </c>
      <c r="B931" s="10" t="s">
        <v>176</v>
      </c>
      <c r="C931" s="10" t="s">
        <v>47</v>
      </c>
      <c r="D931" s="10">
        <v>50324</v>
      </c>
      <c r="E931" s="10" t="s">
        <v>8</v>
      </c>
      <c r="F931" s="10">
        <v>9</v>
      </c>
    </row>
    <row r="932" spans="1:6" x14ac:dyDescent="0.2">
      <c r="A932" s="10" t="s">
        <v>249</v>
      </c>
      <c r="B932" s="10" t="s">
        <v>176</v>
      </c>
      <c r="C932" s="10" t="s">
        <v>47</v>
      </c>
      <c r="D932" s="10">
        <v>50266</v>
      </c>
      <c r="E932" s="10" t="s">
        <v>7</v>
      </c>
      <c r="F932" s="10">
        <v>2899</v>
      </c>
    </row>
    <row r="933" spans="1:6" x14ac:dyDescent="0.2">
      <c r="A933" s="10" t="s">
        <v>249</v>
      </c>
      <c r="B933" s="10" t="s">
        <v>176</v>
      </c>
      <c r="C933" s="10" t="s">
        <v>47</v>
      </c>
      <c r="D933" s="10">
        <v>50009</v>
      </c>
      <c r="E933" s="10" t="s">
        <v>5</v>
      </c>
      <c r="F933" s="10">
        <v>4596</v>
      </c>
    </row>
    <row r="934" spans="1:6" x14ac:dyDescent="0.2">
      <c r="A934" s="10" t="s">
        <v>249</v>
      </c>
      <c r="B934" s="10" t="s">
        <v>260</v>
      </c>
      <c r="C934" s="10" t="s">
        <v>47</v>
      </c>
      <c r="D934" s="10">
        <v>51501</v>
      </c>
      <c r="E934" s="10" t="s">
        <v>7</v>
      </c>
      <c r="F934" s="10">
        <v>2046</v>
      </c>
    </row>
    <row r="935" spans="1:6" x14ac:dyDescent="0.2">
      <c r="A935" s="10" t="s">
        <v>249</v>
      </c>
      <c r="B935" s="10" t="s">
        <v>261</v>
      </c>
      <c r="C935" s="10" t="s">
        <v>47</v>
      </c>
      <c r="D935" s="10">
        <v>52807</v>
      </c>
      <c r="E935" s="10" t="s">
        <v>8</v>
      </c>
      <c r="F935" s="10">
        <v>593</v>
      </c>
    </row>
    <row r="936" spans="1:6" x14ac:dyDescent="0.2">
      <c r="A936" s="10" t="s">
        <v>249</v>
      </c>
      <c r="B936" s="10" t="s">
        <v>176</v>
      </c>
      <c r="C936" s="10" t="s">
        <v>47</v>
      </c>
      <c r="D936" s="10">
        <v>50021</v>
      </c>
      <c r="E936" s="10" t="s">
        <v>5</v>
      </c>
      <c r="F936" s="10">
        <v>1844</v>
      </c>
    </row>
    <row r="937" spans="1:6" x14ac:dyDescent="0.2">
      <c r="A937" s="10" t="s">
        <v>249</v>
      </c>
      <c r="B937" s="10" t="s">
        <v>176</v>
      </c>
      <c r="C937" s="10" t="s">
        <v>47</v>
      </c>
      <c r="D937" s="10">
        <v>50266</v>
      </c>
      <c r="E937" s="10" t="s">
        <v>6</v>
      </c>
      <c r="F937" s="10">
        <v>1904</v>
      </c>
    </row>
    <row r="938" spans="1:6" x14ac:dyDescent="0.2">
      <c r="A938" s="10" t="s">
        <v>249</v>
      </c>
      <c r="B938" s="10" t="s">
        <v>261</v>
      </c>
      <c r="C938" s="10" t="s">
        <v>47</v>
      </c>
      <c r="D938" s="10">
        <v>52807</v>
      </c>
      <c r="E938" s="10" t="s">
        <v>5</v>
      </c>
      <c r="F938" s="10">
        <v>1106</v>
      </c>
    </row>
    <row r="939" spans="1:6" x14ac:dyDescent="0.2">
      <c r="A939" s="10" t="s">
        <v>249</v>
      </c>
      <c r="B939" s="10" t="s">
        <v>176</v>
      </c>
      <c r="C939" s="10" t="s">
        <v>47</v>
      </c>
      <c r="D939" s="10">
        <v>50310</v>
      </c>
      <c r="E939" s="10" t="s">
        <v>6</v>
      </c>
      <c r="F939" s="10">
        <v>1463</v>
      </c>
    </row>
    <row r="940" spans="1:6" x14ac:dyDescent="0.2">
      <c r="A940" s="10" t="s">
        <v>249</v>
      </c>
      <c r="B940" s="10" t="s">
        <v>176</v>
      </c>
      <c r="C940" s="10" t="s">
        <v>47</v>
      </c>
      <c r="D940" s="10">
        <v>50312</v>
      </c>
      <c r="E940" s="10" t="s">
        <v>7</v>
      </c>
      <c r="F940" s="10">
        <v>880</v>
      </c>
    </row>
    <row r="941" spans="1:6" x14ac:dyDescent="0.2">
      <c r="A941" s="10" t="s">
        <v>262</v>
      </c>
      <c r="B941" s="10" t="s">
        <v>263</v>
      </c>
      <c r="C941" s="10" t="s">
        <v>45</v>
      </c>
      <c r="D941" s="10">
        <v>83501</v>
      </c>
      <c r="E941" s="10" t="s">
        <v>5</v>
      </c>
      <c r="F941" s="10">
        <v>853</v>
      </c>
    </row>
    <row r="942" spans="1:6" x14ac:dyDescent="0.2">
      <c r="A942" s="10" t="s">
        <v>262</v>
      </c>
      <c r="B942" s="10" t="s">
        <v>264</v>
      </c>
      <c r="C942" s="10" t="s">
        <v>45</v>
      </c>
      <c r="D942" s="10">
        <v>83852</v>
      </c>
      <c r="E942" s="10" t="s">
        <v>5</v>
      </c>
      <c r="F942" s="10">
        <v>912</v>
      </c>
    </row>
    <row r="943" spans="1:6" x14ac:dyDescent="0.2">
      <c r="A943" s="10" t="s">
        <v>262</v>
      </c>
      <c r="B943" s="10" t="s">
        <v>265</v>
      </c>
      <c r="C943" s="10" t="s">
        <v>46</v>
      </c>
      <c r="D943" s="10">
        <v>83201</v>
      </c>
      <c r="E943" s="10" t="s">
        <v>7</v>
      </c>
      <c r="F943" s="10">
        <v>1296</v>
      </c>
    </row>
    <row r="944" spans="1:6" x14ac:dyDescent="0.2">
      <c r="A944" s="10" t="s">
        <v>262</v>
      </c>
      <c r="B944" s="10" t="s">
        <v>266</v>
      </c>
      <c r="C944" s="10" t="s">
        <v>46</v>
      </c>
      <c r="D944" s="10">
        <v>83843</v>
      </c>
      <c r="E944" s="10" t="s">
        <v>5</v>
      </c>
      <c r="F944" s="10">
        <v>982</v>
      </c>
    </row>
    <row r="945" spans="1:6" x14ac:dyDescent="0.2">
      <c r="A945" s="10" t="s">
        <v>262</v>
      </c>
      <c r="B945" s="10" t="s">
        <v>267</v>
      </c>
      <c r="C945" s="10" t="s">
        <v>47</v>
      </c>
      <c r="D945" s="10">
        <v>83642</v>
      </c>
      <c r="E945" s="10" t="s">
        <v>8</v>
      </c>
      <c r="F945" s="10">
        <v>10390</v>
      </c>
    </row>
    <row r="946" spans="1:6" x14ac:dyDescent="0.2">
      <c r="A946" s="10" t="s">
        <v>262</v>
      </c>
      <c r="B946" s="10" t="s">
        <v>268</v>
      </c>
      <c r="C946" s="10" t="s">
        <v>47</v>
      </c>
      <c r="D946" s="10">
        <v>83406</v>
      </c>
      <c r="E946" s="10" t="s">
        <v>5</v>
      </c>
      <c r="F946" s="10">
        <v>1887</v>
      </c>
    </row>
    <row r="947" spans="1:6" x14ac:dyDescent="0.2">
      <c r="A947" s="10" t="s">
        <v>262</v>
      </c>
      <c r="B947" s="10" t="s">
        <v>269</v>
      </c>
      <c r="C947" s="10" t="s">
        <v>47</v>
      </c>
      <c r="D947" s="10">
        <v>83651</v>
      </c>
      <c r="E947" s="10" t="s">
        <v>8</v>
      </c>
      <c r="F947" s="10">
        <v>958</v>
      </c>
    </row>
    <row r="948" spans="1:6" x14ac:dyDescent="0.2">
      <c r="A948" s="10" t="s">
        <v>262</v>
      </c>
      <c r="B948" s="10" t="s">
        <v>270</v>
      </c>
      <c r="C948" s="10" t="s">
        <v>47</v>
      </c>
      <c r="D948" s="10">
        <v>83301</v>
      </c>
      <c r="E948" s="10" t="s">
        <v>8</v>
      </c>
      <c r="F948" s="10">
        <v>224</v>
      </c>
    </row>
    <row r="949" spans="1:6" x14ac:dyDescent="0.2">
      <c r="A949" s="10" t="s">
        <v>262</v>
      </c>
      <c r="B949" s="10" t="s">
        <v>267</v>
      </c>
      <c r="C949" s="10" t="s">
        <v>47</v>
      </c>
      <c r="D949" s="10">
        <v>83709</v>
      </c>
      <c r="E949" s="10" t="s">
        <v>7</v>
      </c>
      <c r="F949" s="10">
        <v>1073</v>
      </c>
    </row>
    <row r="950" spans="1:6" x14ac:dyDescent="0.2">
      <c r="A950" s="10" t="s">
        <v>262</v>
      </c>
      <c r="B950" s="10" t="s">
        <v>270</v>
      </c>
      <c r="C950" s="10" t="s">
        <v>47</v>
      </c>
      <c r="D950" s="10">
        <v>83301</v>
      </c>
      <c r="E950" s="10" t="s">
        <v>6</v>
      </c>
      <c r="F950" s="10">
        <v>1796</v>
      </c>
    </row>
    <row r="951" spans="1:6" x14ac:dyDescent="0.2">
      <c r="A951" s="10" t="s">
        <v>262</v>
      </c>
      <c r="B951" s="10" t="s">
        <v>268</v>
      </c>
      <c r="C951" s="10" t="s">
        <v>47</v>
      </c>
      <c r="D951" s="10">
        <v>83404</v>
      </c>
      <c r="E951" s="10" t="s">
        <v>8</v>
      </c>
      <c r="F951" s="10">
        <v>452</v>
      </c>
    </row>
    <row r="952" spans="1:6" x14ac:dyDescent="0.2">
      <c r="A952" s="10" t="s">
        <v>262</v>
      </c>
      <c r="B952" s="10" t="s">
        <v>267</v>
      </c>
      <c r="C952" s="10" t="s">
        <v>47</v>
      </c>
      <c r="D952" s="10">
        <v>83702</v>
      </c>
      <c r="E952" s="10" t="s">
        <v>8</v>
      </c>
      <c r="F952" s="10">
        <v>462</v>
      </c>
    </row>
    <row r="953" spans="1:6" x14ac:dyDescent="0.2">
      <c r="A953" s="10" t="s">
        <v>262</v>
      </c>
      <c r="B953" s="10" t="s">
        <v>268</v>
      </c>
      <c r="C953" s="10" t="s">
        <v>47</v>
      </c>
      <c r="D953" s="10">
        <v>83401</v>
      </c>
      <c r="E953" s="10" t="s">
        <v>7</v>
      </c>
      <c r="F953" s="10">
        <v>1209</v>
      </c>
    </row>
    <row r="954" spans="1:6" x14ac:dyDescent="0.2">
      <c r="A954" s="10" t="s">
        <v>262</v>
      </c>
      <c r="B954" s="10" t="s">
        <v>269</v>
      </c>
      <c r="C954" s="10" t="s">
        <v>47</v>
      </c>
      <c r="D954" s="10">
        <v>83651</v>
      </c>
      <c r="E954" s="10" t="s">
        <v>6</v>
      </c>
      <c r="F954" s="10">
        <v>1220</v>
      </c>
    </row>
    <row r="955" spans="1:6" x14ac:dyDescent="0.2">
      <c r="A955" s="10" t="s">
        <v>262</v>
      </c>
      <c r="B955" s="10" t="s">
        <v>271</v>
      </c>
      <c r="C955" s="10" t="s">
        <v>47</v>
      </c>
      <c r="D955" s="10">
        <v>83815</v>
      </c>
      <c r="E955" s="10" t="s">
        <v>7</v>
      </c>
      <c r="F955" s="10">
        <v>1766</v>
      </c>
    </row>
    <row r="956" spans="1:6" x14ac:dyDescent="0.2">
      <c r="A956" s="10" t="s">
        <v>262</v>
      </c>
      <c r="B956" s="10" t="s">
        <v>267</v>
      </c>
      <c r="C956" s="10" t="s">
        <v>47</v>
      </c>
      <c r="D956" s="10">
        <v>83713</v>
      </c>
      <c r="E956" s="10" t="s">
        <v>5</v>
      </c>
      <c r="F956" s="10">
        <v>2037</v>
      </c>
    </row>
    <row r="957" spans="1:6" x14ac:dyDescent="0.2">
      <c r="A957" s="10" t="s">
        <v>262</v>
      </c>
      <c r="B957" s="10" t="s">
        <v>267</v>
      </c>
      <c r="C957" s="10" t="s">
        <v>47</v>
      </c>
      <c r="D957" s="10">
        <v>83704</v>
      </c>
      <c r="E957" s="10" t="s">
        <v>5</v>
      </c>
      <c r="F957" s="10">
        <v>781</v>
      </c>
    </row>
    <row r="958" spans="1:6" x14ac:dyDescent="0.2">
      <c r="A958" s="10" t="s">
        <v>262</v>
      </c>
      <c r="B958" s="10" t="s">
        <v>267</v>
      </c>
      <c r="C958" s="10" t="s">
        <v>47</v>
      </c>
      <c r="D958" s="10">
        <v>83642</v>
      </c>
      <c r="E958" s="10" t="s">
        <v>6</v>
      </c>
      <c r="F958" s="10">
        <v>983</v>
      </c>
    </row>
    <row r="959" spans="1:6" x14ac:dyDescent="0.2">
      <c r="A959" s="10" t="s">
        <v>262</v>
      </c>
      <c r="B959" s="10" t="s">
        <v>267</v>
      </c>
      <c r="C959" s="10" t="s">
        <v>47</v>
      </c>
      <c r="D959" s="10">
        <v>83702</v>
      </c>
      <c r="E959" s="10" t="s">
        <v>6</v>
      </c>
      <c r="F959" s="10">
        <v>744</v>
      </c>
    </row>
    <row r="960" spans="1:6" x14ac:dyDescent="0.2">
      <c r="A960" s="10" t="s">
        <v>262</v>
      </c>
      <c r="B960" s="10" t="s">
        <v>269</v>
      </c>
      <c r="C960" s="10" t="s">
        <v>47</v>
      </c>
      <c r="D960" s="10">
        <v>83651</v>
      </c>
      <c r="E960" s="10" t="s">
        <v>5</v>
      </c>
      <c r="F960" s="10">
        <v>1551</v>
      </c>
    </row>
    <row r="961" spans="1:6" x14ac:dyDescent="0.2">
      <c r="A961" s="10" t="s">
        <v>272</v>
      </c>
      <c r="B961" s="10" t="s">
        <v>273</v>
      </c>
      <c r="C961" s="10" t="s">
        <v>45</v>
      </c>
      <c r="D961" s="10">
        <v>60123</v>
      </c>
      <c r="E961" s="10" t="s">
        <v>7</v>
      </c>
      <c r="F961" s="10">
        <v>2031</v>
      </c>
    </row>
    <row r="962" spans="1:6" x14ac:dyDescent="0.2">
      <c r="A962" s="10" t="s">
        <v>272</v>
      </c>
      <c r="B962" s="10" t="s">
        <v>274</v>
      </c>
      <c r="C962" s="10" t="s">
        <v>45</v>
      </c>
      <c r="D962" s="10">
        <v>60108</v>
      </c>
      <c r="E962" s="10" t="s">
        <v>8</v>
      </c>
      <c r="F962" s="10">
        <v>393</v>
      </c>
    </row>
    <row r="963" spans="1:6" x14ac:dyDescent="0.2">
      <c r="A963" s="10" t="s">
        <v>272</v>
      </c>
      <c r="B963" s="10" t="s">
        <v>174</v>
      </c>
      <c r="C963" s="10" t="s">
        <v>45</v>
      </c>
      <c r="D963" s="10">
        <v>60073</v>
      </c>
      <c r="E963" s="10" t="s">
        <v>7</v>
      </c>
      <c r="F963" s="10">
        <v>1360</v>
      </c>
    </row>
    <row r="964" spans="1:6" x14ac:dyDescent="0.2">
      <c r="A964" s="10" t="s">
        <v>272</v>
      </c>
      <c r="B964" s="10" t="s">
        <v>275</v>
      </c>
      <c r="C964" s="10" t="s">
        <v>45</v>
      </c>
      <c r="D964" s="10">
        <v>61265</v>
      </c>
      <c r="E964" s="10" t="s">
        <v>7</v>
      </c>
      <c r="F964" s="10">
        <v>837</v>
      </c>
    </row>
    <row r="965" spans="1:6" x14ac:dyDescent="0.2">
      <c r="A965" s="10" t="s">
        <v>272</v>
      </c>
      <c r="B965" s="10" t="s">
        <v>174</v>
      </c>
      <c r="C965" s="10" t="s">
        <v>45</v>
      </c>
      <c r="D965" s="10">
        <v>60061</v>
      </c>
      <c r="E965" s="10" t="s">
        <v>5</v>
      </c>
      <c r="F965" s="10">
        <v>977</v>
      </c>
    </row>
    <row r="966" spans="1:6" x14ac:dyDescent="0.2">
      <c r="A966" s="10" t="s">
        <v>272</v>
      </c>
      <c r="B966" s="10" t="s">
        <v>174</v>
      </c>
      <c r="C966" s="10" t="s">
        <v>45</v>
      </c>
      <c r="D966" s="10">
        <v>60035</v>
      </c>
      <c r="E966" s="10" t="s">
        <v>5</v>
      </c>
      <c r="F966" s="10">
        <v>89</v>
      </c>
    </row>
    <row r="967" spans="1:6" x14ac:dyDescent="0.2">
      <c r="A967" s="10" t="s">
        <v>272</v>
      </c>
      <c r="B967" s="10" t="s">
        <v>274</v>
      </c>
      <c r="C967" s="10" t="s">
        <v>45</v>
      </c>
      <c r="D967" s="10">
        <v>60108</v>
      </c>
      <c r="E967" s="10" t="s">
        <v>7</v>
      </c>
      <c r="F967" s="10">
        <v>701</v>
      </c>
    </row>
    <row r="968" spans="1:6" x14ac:dyDescent="0.2">
      <c r="A968" s="10" t="s">
        <v>272</v>
      </c>
      <c r="B968" s="10" t="s">
        <v>274</v>
      </c>
      <c r="C968" s="10" t="s">
        <v>45</v>
      </c>
      <c r="D968" s="10">
        <v>60137</v>
      </c>
      <c r="E968" s="10" t="s">
        <v>5</v>
      </c>
      <c r="F968" s="10">
        <v>1632</v>
      </c>
    </row>
    <row r="969" spans="1:6" x14ac:dyDescent="0.2">
      <c r="A969" s="10" t="s">
        <v>272</v>
      </c>
      <c r="B969" s="10" t="s">
        <v>276</v>
      </c>
      <c r="C969" s="10" t="s">
        <v>45</v>
      </c>
      <c r="D969" s="10">
        <v>61554</v>
      </c>
      <c r="E969" s="10" t="s">
        <v>5</v>
      </c>
      <c r="F969" s="10">
        <v>1959</v>
      </c>
    </row>
    <row r="970" spans="1:6" x14ac:dyDescent="0.2">
      <c r="A970" s="10" t="s">
        <v>272</v>
      </c>
      <c r="B970" s="10" t="s">
        <v>277</v>
      </c>
      <c r="C970" s="10" t="s">
        <v>45</v>
      </c>
      <c r="D970" s="10">
        <v>60423</v>
      </c>
      <c r="E970" s="10" t="s">
        <v>5</v>
      </c>
      <c r="F970" s="10">
        <v>1924</v>
      </c>
    </row>
    <row r="971" spans="1:6" x14ac:dyDescent="0.2">
      <c r="A971" s="10" t="s">
        <v>272</v>
      </c>
      <c r="B971" s="10" t="s">
        <v>277</v>
      </c>
      <c r="C971" s="10" t="s">
        <v>45</v>
      </c>
      <c r="D971" s="10">
        <v>60423</v>
      </c>
      <c r="E971" s="10" t="s">
        <v>6</v>
      </c>
      <c r="F971" s="10">
        <v>1904</v>
      </c>
    </row>
    <row r="972" spans="1:6" x14ac:dyDescent="0.2">
      <c r="A972" s="10" t="s">
        <v>272</v>
      </c>
      <c r="B972" s="10" t="s">
        <v>278</v>
      </c>
      <c r="C972" s="10" t="s">
        <v>45</v>
      </c>
      <c r="D972" s="10">
        <v>61615</v>
      </c>
      <c r="E972" s="10" t="s">
        <v>6</v>
      </c>
      <c r="F972" s="10">
        <v>7511</v>
      </c>
    </row>
    <row r="973" spans="1:6" x14ac:dyDescent="0.2">
      <c r="A973" s="10" t="s">
        <v>272</v>
      </c>
      <c r="B973" s="10" t="s">
        <v>274</v>
      </c>
      <c r="C973" s="10" t="s">
        <v>45</v>
      </c>
      <c r="D973" s="10">
        <v>60516</v>
      </c>
      <c r="E973" s="10" t="s">
        <v>8</v>
      </c>
      <c r="F973" s="10">
        <v>1865</v>
      </c>
    </row>
    <row r="974" spans="1:6" x14ac:dyDescent="0.2">
      <c r="A974" s="10" t="s">
        <v>272</v>
      </c>
      <c r="B974" s="10" t="s">
        <v>279</v>
      </c>
      <c r="C974" s="10" t="s">
        <v>45</v>
      </c>
      <c r="D974" s="10">
        <v>62535</v>
      </c>
      <c r="E974" s="10" t="s">
        <v>5</v>
      </c>
      <c r="F974" s="10">
        <v>1885</v>
      </c>
    </row>
    <row r="975" spans="1:6" x14ac:dyDescent="0.2">
      <c r="A975" s="10" t="s">
        <v>272</v>
      </c>
      <c r="B975" s="10" t="s">
        <v>277</v>
      </c>
      <c r="C975" s="10" t="s">
        <v>45</v>
      </c>
      <c r="D975" s="10">
        <v>60404</v>
      </c>
      <c r="E975" s="10" t="s">
        <v>5</v>
      </c>
      <c r="F975" s="10">
        <v>1695</v>
      </c>
    </row>
    <row r="976" spans="1:6" x14ac:dyDescent="0.2">
      <c r="A976" s="10" t="s">
        <v>272</v>
      </c>
      <c r="B976" s="10" t="s">
        <v>277</v>
      </c>
      <c r="C976" s="10" t="s">
        <v>45</v>
      </c>
      <c r="D976" s="10">
        <v>60435</v>
      </c>
      <c r="E976" s="10" t="s">
        <v>7</v>
      </c>
      <c r="F976" s="10">
        <v>22560</v>
      </c>
    </row>
    <row r="977" spans="1:6" x14ac:dyDescent="0.2">
      <c r="A977" s="10" t="s">
        <v>272</v>
      </c>
      <c r="B977" s="10" t="s">
        <v>274</v>
      </c>
      <c r="C977" s="10" t="s">
        <v>45</v>
      </c>
      <c r="D977" s="10">
        <v>60563</v>
      </c>
      <c r="E977" s="10" t="s">
        <v>5</v>
      </c>
      <c r="F977" s="10">
        <v>797</v>
      </c>
    </row>
    <row r="978" spans="1:6" x14ac:dyDescent="0.2">
      <c r="A978" s="10" t="s">
        <v>272</v>
      </c>
      <c r="B978" s="10" t="s">
        <v>274</v>
      </c>
      <c r="C978" s="10" t="s">
        <v>45</v>
      </c>
      <c r="D978" s="10">
        <v>60181</v>
      </c>
      <c r="E978" s="10" t="s">
        <v>6</v>
      </c>
      <c r="F978" s="10">
        <v>1263</v>
      </c>
    </row>
    <row r="979" spans="1:6" x14ac:dyDescent="0.2">
      <c r="A979" s="10" t="s">
        <v>272</v>
      </c>
      <c r="B979" s="10" t="s">
        <v>274</v>
      </c>
      <c r="C979" s="10" t="s">
        <v>45</v>
      </c>
      <c r="D979" s="10">
        <v>60515</v>
      </c>
      <c r="E979" s="10" t="s">
        <v>6</v>
      </c>
      <c r="F979" s="10">
        <v>4232</v>
      </c>
    </row>
    <row r="980" spans="1:6" x14ac:dyDescent="0.2">
      <c r="A980" s="10" t="s">
        <v>272</v>
      </c>
      <c r="B980" s="10" t="s">
        <v>174</v>
      </c>
      <c r="C980" s="10" t="s">
        <v>45</v>
      </c>
      <c r="D980" s="10">
        <v>60010</v>
      </c>
      <c r="E980" s="10" t="s">
        <v>10</v>
      </c>
      <c r="F980" s="10">
        <v>664</v>
      </c>
    </row>
    <row r="981" spans="1:6" x14ac:dyDescent="0.2">
      <c r="A981" s="10" t="s">
        <v>272</v>
      </c>
      <c r="B981" s="10" t="s">
        <v>274</v>
      </c>
      <c r="C981" s="10" t="s">
        <v>45</v>
      </c>
      <c r="D981" s="10">
        <v>60187</v>
      </c>
      <c r="E981" s="10" t="s">
        <v>6</v>
      </c>
      <c r="F981" s="10">
        <v>515</v>
      </c>
    </row>
    <row r="982" spans="1:6" x14ac:dyDescent="0.2">
      <c r="A982" s="10" t="s">
        <v>272</v>
      </c>
      <c r="B982" s="10" t="s">
        <v>174</v>
      </c>
      <c r="C982" s="10" t="s">
        <v>45</v>
      </c>
      <c r="D982" s="10">
        <v>60035</v>
      </c>
      <c r="E982" s="10" t="s">
        <v>10</v>
      </c>
      <c r="F982" s="10">
        <v>62</v>
      </c>
    </row>
    <row r="983" spans="1:6" x14ac:dyDescent="0.2">
      <c r="A983" s="10" t="s">
        <v>272</v>
      </c>
      <c r="B983" s="10" t="s">
        <v>274</v>
      </c>
      <c r="C983" s="10" t="s">
        <v>45</v>
      </c>
      <c r="D983" s="10">
        <v>60540</v>
      </c>
      <c r="E983" s="10" t="s">
        <v>10</v>
      </c>
      <c r="F983" s="10">
        <v>1326</v>
      </c>
    </row>
    <row r="984" spans="1:6" x14ac:dyDescent="0.2">
      <c r="A984" s="10" t="s">
        <v>272</v>
      </c>
      <c r="B984" s="10" t="s">
        <v>273</v>
      </c>
      <c r="C984" s="10" t="s">
        <v>45</v>
      </c>
      <c r="D984" s="10">
        <v>60177</v>
      </c>
      <c r="E984" s="10" t="s">
        <v>5</v>
      </c>
      <c r="F984" s="10">
        <v>497</v>
      </c>
    </row>
    <row r="985" spans="1:6" x14ac:dyDescent="0.2">
      <c r="A985" s="10" t="s">
        <v>272</v>
      </c>
      <c r="B985" s="10" t="s">
        <v>274</v>
      </c>
      <c r="C985" s="10" t="s">
        <v>45</v>
      </c>
      <c r="D985" s="10">
        <v>60527</v>
      </c>
      <c r="E985" s="10" t="s">
        <v>5</v>
      </c>
      <c r="F985" s="10">
        <v>857</v>
      </c>
    </row>
    <row r="986" spans="1:6" x14ac:dyDescent="0.2">
      <c r="A986" s="10" t="s">
        <v>272</v>
      </c>
      <c r="B986" s="10" t="s">
        <v>274</v>
      </c>
      <c r="C986" s="10" t="s">
        <v>45</v>
      </c>
      <c r="D986" s="10">
        <v>60563</v>
      </c>
      <c r="E986" s="10" t="s">
        <v>6</v>
      </c>
      <c r="F986" s="10">
        <v>628</v>
      </c>
    </row>
    <row r="987" spans="1:6" x14ac:dyDescent="0.2">
      <c r="A987" s="10" t="s">
        <v>272</v>
      </c>
      <c r="B987" s="10" t="s">
        <v>274</v>
      </c>
      <c r="C987" s="10" t="s">
        <v>45</v>
      </c>
      <c r="D987" s="10">
        <v>60523</v>
      </c>
      <c r="E987" s="10" t="s">
        <v>9</v>
      </c>
      <c r="F987" s="10">
        <v>5310</v>
      </c>
    </row>
    <row r="988" spans="1:6" x14ac:dyDescent="0.2">
      <c r="A988" s="10" t="s">
        <v>272</v>
      </c>
      <c r="B988" s="10" t="s">
        <v>274</v>
      </c>
      <c r="C988" s="10" t="s">
        <v>45</v>
      </c>
      <c r="D988" s="10">
        <v>60564</v>
      </c>
      <c r="E988" s="10" t="s">
        <v>5</v>
      </c>
      <c r="F988" s="10">
        <v>1901</v>
      </c>
    </row>
    <row r="989" spans="1:6" x14ac:dyDescent="0.2">
      <c r="A989" s="10" t="s">
        <v>272</v>
      </c>
      <c r="B989" s="10" t="s">
        <v>174</v>
      </c>
      <c r="C989" s="10" t="s">
        <v>45</v>
      </c>
      <c r="D989" s="10">
        <v>60047</v>
      </c>
      <c r="E989" s="10" t="s">
        <v>7</v>
      </c>
      <c r="F989" s="10">
        <v>1065</v>
      </c>
    </row>
    <row r="990" spans="1:6" x14ac:dyDescent="0.2">
      <c r="A990" s="10" t="s">
        <v>272</v>
      </c>
      <c r="B990" s="10" t="s">
        <v>274</v>
      </c>
      <c r="C990" s="10" t="s">
        <v>45</v>
      </c>
      <c r="D990" s="10">
        <v>60504</v>
      </c>
      <c r="E990" s="10" t="s">
        <v>7</v>
      </c>
      <c r="F990" s="10">
        <v>709</v>
      </c>
    </row>
    <row r="991" spans="1:6" x14ac:dyDescent="0.2">
      <c r="A991" s="10" t="s">
        <v>272</v>
      </c>
      <c r="B991" s="10" t="s">
        <v>274</v>
      </c>
      <c r="C991" s="10" t="s">
        <v>45</v>
      </c>
      <c r="D991" s="10">
        <v>60517</v>
      </c>
      <c r="E991" s="10" t="s">
        <v>7</v>
      </c>
      <c r="F991" s="10">
        <v>1077</v>
      </c>
    </row>
    <row r="992" spans="1:6" x14ac:dyDescent="0.2">
      <c r="A992" s="10" t="s">
        <v>272</v>
      </c>
      <c r="B992" s="10" t="s">
        <v>280</v>
      </c>
      <c r="C992" s="10" t="s">
        <v>45</v>
      </c>
      <c r="D992" s="10">
        <v>61081</v>
      </c>
      <c r="E992" s="10" t="s">
        <v>8</v>
      </c>
      <c r="F992" s="10">
        <v>457</v>
      </c>
    </row>
    <row r="993" spans="1:6" x14ac:dyDescent="0.2">
      <c r="A993" s="10" t="s">
        <v>272</v>
      </c>
      <c r="B993" s="10" t="s">
        <v>276</v>
      </c>
      <c r="C993" s="10" t="s">
        <v>45</v>
      </c>
      <c r="D993" s="10">
        <v>61611</v>
      </c>
      <c r="E993" s="10" t="s">
        <v>7</v>
      </c>
      <c r="F993" s="10">
        <v>1191</v>
      </c>
    </row>
    <row r="994" spans="1:6" x14ac:dyDescent="0.2">
      <c r="A994" s="10" t="s">
        <v>272</v>
      </c>
      <c r="B994" s="10" t="s">
        <v>277</v>
      </c>
      <c r="C994" s="10" t="s">
        <v>45</v>
      </c>
      <c r="D994" s="10">
        <v>60490</v>
      </c>
      <c r="E994" s="10" t="s">
        <v>7</v>
      </c>
      <c r="F994" s="10">
        <v>634</v>
      </c>
    </row>
    <row r="995" spans="1:6" x14ac:dyDescent="0.2">
      <c r="A995" s="10" t="s">
        <v>272</v>
      </c>
      <c r="B995" s="10" t="s">
        <v>273</v>
      </c>
      <c r="C995" s="10" t="s">
        <v>45</v>
      </c>
      <c r="D995" s="10">
        <v>60510</v>
      </c>
      <c r="E995" s="10" t="s">
        <v>7</v>
      </c>
      <c r="F995" s="10">
        <v>1019</v>
      </c>
    </row>
    <row r="996" spans="1:6" x14ac:dyDescent="0.2">
      <c r="A996" s="10" t="s">
        <v>272</v>
      </c>
      <c r="B996" s="10" t="s">
        <v>174</v>
      </c>
      <c r="C996" s="10" t="s">
        <v>45</v>
      </c>
      <c r="D996" s="10">
        <v>60031</v>
      </c>
      <c r="E996" s="10" t="s">
        <v>7</v>
      </c>
      <c r="F996" s="10">
        <v>1723</v>
      </c>
    </row>
    <row r="997" spans="1:6" x14ac:dyDescent="0.2">
      <c r="A997" s="10" t="s">
        <v>272</v>
      </c>
      <c r="B997" s="10" t="s">
        <v>275</v>
      </c>
      <c r="C997" s="10" t="s">
        <v>45</v>
      </c>
      <c r="D997" s="10">
        <v>61265</v>
      </c>
      <c r="E997" s="10" t="s">
        <v>8</v>
      </c>
      <c r="F997" s="10">
        <v>731</v>
      </c>
    </row>
    <row r="998" spans="1:6" x14ac:dyDescent="0.2">
      <c r="A998" s="10" t="s">
        <v>272</v>
      </c>
      <c r="B998" s="10" t="s">
        <v>281</v>
      </c>
      <c r="C998" s="10" t="s">
        <v>46</v>
      </c>
      <c r="D998" s="10">
        <v>60602</v>
      </c>
      <c r="E998" s="10" t="s">
        <v>5</v>
      </c>
      <c r="F998" s="10">
        <v>1652</v>
      </c>
    </row>
    <row r="999" spans="1:6" x14ac:dyDescent="0.2">
      <c r="A999" s="10" t="s">
        <v>272</v>
      </c>
      <c r="B999" s="10" t="s">
        <v>282</v>
      </c>
      <c r="C999" s="10" t="s">
        <v>46</v>
      </c>
      <c r="D999" s="10">
        <v>61108</v>
      </c>
      <c r="E999" s="10" t="s">
        <v>8</v>
      </c>
      <c r="F999" s="10">
        <v>723</v>
      </c>
    </row>
    <row r="1000" spans="1:6" x14ac:dyDescent="0.2">
      <c r="A1000" s="10" t="s">
        <v>272</v>
      </c>
      <c r="B1000" s="10" t="s">
        <v>281</v>
      </c>
      <c r="C1000" s="10" t="s">
        <v>46</v>
      </c>
      <c r="D1000" s="10">
        <v>60654</v>
      </c>
      <c r="E1000" s="10" t="s">
        <v>6</v>
      </c>
      <c r="F1000" s="10">
        <v>4443</v>
      </c>
    </row>
    <row r="1001" spans="1:6" x14ac:dyDescent="0.2">
      <c r="A1001" s="10" t="s">
        <v>272</v>
      </c>
      <c r="B1001" s="10" t="s">
        <v>281</v>
      </c>
      <c r="C1001" s="10" t="s">
        <v>46</v>
      </c>
      <c r="D1001" s="10">
        <v>60004</v>
      </c>
      <c r="E1001" s="10" t="s">
        <v>6</v>
      </c>
      <c r="F1001" s="10">
        <v>633</v>
      </c>
    </row>
    <row r="1002" spans="1:6" x14ac:dyDescent="0.2">
      <c r="A1002" s="10" t="s">
        <v>272</v>
      </c>
      <c r="B1002" s="10" t="s">
        <v>281</v>
      </c>
      <c r="C1002" s="10" t="s">
        <v>46</v>
      </c>
      <c r="D1002" s="10">
        <v>60657</v>
      </c>
      <c r="E1002" s="10" t="s">
        <v>6</v>
      </c>
      <c r="F1002" s="10">
        <v>917</v>
      </c>
    </row>
    <row r="1003" spans="1:6" x14ac:dyDescent="0.2">
      <c r="A1003" s="10" t="s">
        <v>272</v>
      </c>
      <c r="B1003" s="10" t="s">
        <v>283</v>
      </c>
      <c r="C1003" s="10" t="s">
        <v>46</v>
      </c>
      <c r="D1003" s="10">
        <v>61761</v>
      </c>
      <c r="E1003" s="10" t="s">
        <v>6</v>
      </c>
      <c r="F1003" s="10">
        <v>2961</v>
      </c>
    </row>
    <row r="1004" spans="1:6" x14ac:dyDescent="0.2">
      <c r="A1004" s="10" t="s">
        <v>272</v>
      </c>
      <c r="B1004" s="10" t="s">
        <v>281</v>
      </c>
      <c r="C1004" s="10" t="s">
        <v>46</v>
      </c>
      <c r="D1004" s="10">
        <v>60706</v>
      </c>
      <c r="E1004" s="10" t="s">
        <v>5</v>
      </c>
      <c r="F1004" s="10">
        <v>1758</v>
      </c>
    </row>
    <row r="1005" spans="1:6" x14ac:dyDescent="0.2">
      <c r="A1005" s="10" t="s">
        <v>272</v>
      </c>
      <c r="B1005" s="10" t="s">
        <v>281</v>
      </c>
      <c r="C1005" s="10" t="s">
        <v>46</v>
      </c>
      <c r="D1005" s="10">
        <v>60614</v>
      </c>
      <c r="E1005" s="10" t="s">
        <v>10</v>
      </c>
      <c r="F1005" s="10">
        <v>256</v>
      </c>
    </row>
    <row r="1006" spans="1:6" x14ac:dyDescent="0.2">
      <c r="A1006" s="10" t="s">
        <v>272</v>
      </c>
      <c r="B1006" s="10" t="s">
        <v>284</v>
      </c>
      <c r="C1006" s="10" t="s">
        <v>46</v>
      </c>
      <c r="D1006" s="10">
        <v>62704</v>
      </c>
      <c r="E1006" s="10" t="s">
        <v>6</v>
      </c>
      <c r="F1006" s="10">
        <v>1268</v>
      </c>
    </row>
    <row r="1007" spans="1:6" x14ac:dyDescent="0.2">
      <c r="A1007" s="10" t="s">
        <v>272</v>
      </c>
      <c r="B1007" s="10" t="s">
        <v>285</v>
      </c>
      <c r="C1007" s="10" t="s">
        <v>46</v>
      </c>
      <c r="D1007" s="10">
        <v>62901</v>
      </c>
      <c r="E1007" s="10" t="s">
        <v>5</v>
      </c>
      <c r="F1007" s="10">
        <v>1442</v>
      </c>
    </row>
    <row r="1008" spans="1:6" x14ac:dyDescent="0.2">
      <c r="A1008" s="10" t="s">
        <v>272</v>
      </c>
      <c r="B1008" s="10" t="s">
        <v>281</v>
      </c>
      <c r="C1008" s="10" t="s">
        <v>46</v>
      </c>
      <c r="D1008" s="10">
        <v>60640</v>
      </c>
      <c r="E1008" s="10" t="s">
        <v>5</v>
      </c>
      <c r="F1008" s="10">
        <v>1285</v>
      </c>
    </row>
    <row r="1009" spans="1:6" x14ac:dyDescent="0.2">
      <c r="A1009" s="10" t="s">
        <v>272</v>
      </c>
      <c r="B1009" s="10" t="s">
        <v>281</v>
      </c>
      <c r="C1009" s="10" t="s">
        <v>46</v>
      </c>
      <c r="D1009" s="10">
        <v>60654</v>
      </c>
      <c r="E1009" s="10" t="s">
        <v>10</v>
      </c>
      <c r="F1009" s="10">
        <v>378</v>
      </c>
    </row>
    <row r="1010" spans="1:6" x14ac:dyDescent="0.2">
      <c r="A1010" s="10" t="s">
        <v>272</v>
      </c>
      <c r="B1010" s="10" t="s">
        <v>281</v>
      </c>
      <c r="C1010" s="10" t="s">
        <v>46</v>
      </c>
      <c r="D1010" s="10">
        <v>60525</v>
      </c>
      <c r="E1010" s="10" t="s">
        <v>7</v>
      </c>
      <c r="F1010" s="10">
        <v>1192</v>
      </c>
    </row>
    <row r="1011" spans="1:6" x14ac:dyDescent="0.2">
      <c r="A1011" s="10" t="s">
        <v>272</v>
      </c>
      <c r="B1011" s="10" t="s">
        <v>281</v>
      </c>
      <c r="C1011" s="10" t="s">
        <v>46</v>
      </c>
      <c r="D1011" s="10">
        <v>60462</v>
      </c>
      <c r="E1011" s="10" t="s">
        <v>6</v>
      </c>
      <c r="F1011" s="10">
        <v>176</v>
      </c>
    </row>
    <row r="1012" spans="1:6" x14ac:dyDescent="0.2">
      <c r="A1012" s="10" t="s">
        <v>272</v>
      </c>
      <c r="B1012" s="10" t="s">
        <v>281</v>
      </c>
      <c r="C1012" s="10" t="s">
        <v>46</v>
      </c>
      <c r="D1012" s="10">
        <v>60443</v>
      </c>
      <c r="E1012" s="10" t="s">
        <v>7</v>
      </c>
      <c r="F1012" s="10">
        <v>1022</v>
      </c>
    </row>
    <row r="1013" spans="1:6" x14ac:dyDescent="0.2">
      <c r="A1013" s="10" t="s">
        <v>272</v>
      </c>
      <c r="B1013" s="10" t="s">
        <v>281</v>
      </c>
      <c r="C1013" s="10" t="s">
        <v>46</v>
      </c>
      <c r="D1013" s="10">
        <v>60614</v>
      </c>
      <c r="E1013" s="10" t="s">
        <v>7</v>
      </c>
      <c r="F1013" s="10">
        <v>805</v>
      </c>
    </row>
    <row r="1014" spans="1:6" x14ac:dyDescent="0.2">
      <c r="A1014" s="10" t="s">
        <v>272</v>
      </c>
      <c r="B1014" s="10" t="s">
        <v>281</v>
      </c>
      <c r="C1014" s="10" t="s">
        <v>46</v>
      </c>
      <c r="D1014" s="10">
        <v>60402</v>
      </c>
      <c r="E1014" s="10" t="s">
        <v>6</v>
      </c>
      <c r="F1014" s="10">
        <v>1558</v>
      </c>
    </row>
    <row r="1015" spans="1:6" x14ac:dyDescent="0.2">
      <c r="A1015" s="10" t="s">
        <v>272</v>
      </c>
      <c r="B1015" s="10" t="s">
        <v>281</v>
      </c>
      <c r="C1015" s="10" t="s">
        <v>46</v>
      </c>
      <c r="D1015" s="10">
        <v>60074</v>
      </c>
      <c r="E1015" s="10" t="s">
        <v>8</v>
      </c>
      <c r="F1015" s="10">
        <v>221</v>
      </c>
    </row>
    <row r="1016" spans="1:6" x14ac:dyDescent="0.2">
      <c r="A1016" s="10" t="s">
        <v>272</v>
      </c>
      <c r="B1016" s="10" t="s">
        <v>281</v>
      </c>
      <c r="C1016" s="10" t="s">
        <v>46</v>
      </c>
      <c r="D1016" s="10">
        <v>60657</v>
      </c>
      <c r="E1016" s="10" t="s">
        <v>10</v>
      </c>
      <c r="F1016" s="10">
        <v>444</v>
      </c>
    </row>
    <row r="1017" spans="1:6" x14ac:dyDescent="0.2">
      <c r="A1017" s="10" t="s">
        <v>272</v>
      </c>
      <c r="B1017" s="10" t="s">
        <v>281</v>
      </c>
      <c r="C1017" s="10" t="s">
        <v>46</v>
      </c>
      <c r="D1017" s="10">
        <v>60615</v>
      </c>
      <c r="E1017" s="10" t="s">
        <v>6</v>
      </c>
      <c r="F1017" s="10">
        <v>2062</v>
      </c>
    </row>
    <row r="1018" spans="1:6" x14ac:dyDescent="0.2">
      <c r="A1018" s="10" t="s">
        <v>272</v>
      </c>
      <c r="B1018" s="10" t="s">
        <v>281</v>
      </c>
      <c r="C1018" s="10" t="s">
        <v>46</v>
      </c>
      <c r="D1018" s="10">
        <v>60607</v>
      </c>
      <c r="E1018" s="10" t="s">
        <v>5</v>
      </c>
      <c r="F1018" s="10">
        <v>1303</v>
      </c>
    </row>
    <row r="1019" spans="1:6" x14ac:dyDescent="0.2">
      <c r="A1019" s="10" t="s">
        <v>272</v>
      </c>
      <c r="B1019" s="10" t="s">
        <v>281</v>
      </c>
      <c r="C1019" s="10" t="s">
        <v>46</v>
      </c>
      <c r="D1019" s="10">
        <v>60077</v>
      </c>
      <c r="E1019" s="10" t="s">
        <v>9</v>
      </c>
      <c r="F1019" s="10">
        <v>1529</v>
      </c>
    </row>
    <row r="1020" spans="1:6" x14ac:dyDescent="0.2">
      <c r="A1020" s="10" t="s">
        <v>272</v>
      </c>
      <c r="B1020" s="10" t="s">
        <v>281</v>
      </c>
      <c r="C1020" s="10" t="s">
        <v>46</v>
      </c>
      <c r="D1020" s="10">
        <v>60007</v>
      </c>
      <c r="E1020" s="10" t="s">
        <v>6</v>
      </c>
      <c r="F1020" s="10">
        <v>1625</v>
      </c>
    </row>
    <row r="1021" spans="1:6" x14ac:dyDescent="0.2">
      <c r="A1021" s="10" t="s">
        <v>272</v>
      </c>
      <c r="B1021" s="10" t="s">
        <v>281</v>
      </c>
      <c r="C1021" s="10" t="s">
        <v>46</v>
      </c>
      <c r="D1021" s="10">
        <v>60007</v>
      </c>
      <c r="E1021" s="10" t="s">
        <v>5</v>
      </c>
      <c r="F1021" s="10">
        <v>1796</v>
      </c>
    </row>
    <row r="1022" spans="1:6" x14ac:dyDescent="0.2">
      <c r="A1022" s="10" t="s">
        <v>272</v>
      </c>
      <c r="B1022" s="10" t="s">
        <v>281</v>
      </c>
      <c r="C1022" s="10" t="s">
        <v>46</v>
      </c>
      <c r="D1022" s="10">
        <v>60008</v>
      </c>
      <c r="E1022" s="10" t="s">
        <v>5</v>
      </c>
      <c r="F1022" s="10">
        <v>1005</v>
      </c>
    </row>
    <row r="1023" spans="1:6" x14ac:dyDescent="0.2">
      <c r="A1023" s="10" t="s">
        <v>272</v>
      </c>
      <c r="B1023" s="10" t="s">
        <v>281</v>
      </c>
      <c r="C1023" s="10" t="s">
        <v>46</v>
      </c>
      <c r="D1023" s="10">
        <v>60015</v>
      </c>
      <c r="E1023" s="10" t="s">
        <v>6</v>
      </c>
      <c r="F1023" s="10">
        <v>863</v>
      </c>
    </row>
    <row r="1024" spans="1:6" x14ac:dyDescent="0.2">
      <c r="A1024" s="10" t="s">
        <v>272</v>
      </c>
      <c r="B1024" s="10" t="s">
        <v>281</v>
      </c>
      <c r="C1024" s="10" t="s">
        <v>46</v>
      </c>
      <c r="D1024" s="10">
        <v>60025</v>
      </c>
      <c r="E1024" s="10" t="s">
        <v>5</v>
      </c>
      <c r="F1024" s="10">
        <v>856</v>
      </c>
    </row>
    <row r="1025" spans="1:6" x14ac:dyDescent="0.2">
      <c r="A1025" s="10" t="s">
        <v>272</v>
      </c>
      <c r="B1025" s="10" t="s">
        <v>281</v>
      </c>
      <c r="C1025" s="10" t="s">
        <v>46</v>
      </c>
      <c r="D1025" s="10">
        <v>60056</v>
      </c>
      <c r="E1025" s="10" t="s">
        <v>7</v>
      </c>
      <c r="F1025" s="10">
        <v>113</v>
      </c>
    </row>
    <row r="1026" spans="1:6" x14ac:dyDescent="0.2">
      <c r="A1026" s="10" t="s">
        <v>272</v>
      </c>
      <c r="B1026" s="10" t="s">
        <v>281</v>
      </c>
      <c r="C1026" s="10" t="s">
        <v>46</v>
      </c>
      <c r="D1026" s="10">
        <v>60201</v>
      </c>
      <c r="E1026" s="10" t="s">
        <v>10</v>
      </c>
      <c r="F1026" s="10">
        <v>288</v>
      </c>
    </row>
    <row r="1027" spans="1:6" x14ac:dyDescent="0.2">
      <c r="A1027" s="10" t="s">
        <v>272</v>
      </c>
      <c r="B1027" s="10" t="s">
        <v>281</v>
      </c>
      <c r="C1027" s="10" t="s">
        <v>46</v>
      </c>
      <c r="D1027" s="10">
        <v>60301</v>
      </c>
      <c r="E1027" s="10" t="s">
        <v>10</v>
      </c>
      <c r="F1027" s="10">
        <v>77</v>
      </c>
    </row>
    <row r="1028" spans="1:6" x14ac:dyDescent="0.2">
      <c r="A1028" s="10" t="s">
        <v>272</v>
      </c>
      <c r="B1028" s="10" t="s">
        <v>281</v>
      </c>
      <c r="C1028" s="10" t="s">
        <v>46</v>
      </c>
      <c r="D1028" s="10">
        <v>60453</v>
      </c>
      <c r="E1028" s="10" t="s">
        <v>5</v>
      </c>
      <c r="F1028" s="10">
        <v>867</v>
      </c>
    </row>
    <row r="1029" spans="1:6" x14ac:dyDescent="0.2">
      <c r="A1029" s="10" t="s">
        <v>272</v>
      </c>
      <c r="B1029" s="10" t="s">
        <v>281</v>
      </c>
      <c r="C1029" s="10" t="s">
        <v>46</v>
      </c>
      <c r="D1029" s="10">
        <v>60077</v>
      </c>
      <c r="E1029" s="10" t="s">
        <v>7</v>
      </c>
      <c r="F1029" s="10">
        <v>1125</v>
      </c>
    </row>
    <row r="1030" spans="1:6" x14ac:dyDescent="0.2">
      <c r="A1030" s="10" t="s">
        <v>272</v>
      </c>
      <c r="B1030" s="10" t="s">
        <v>282</v>
      </c>
      <c r="C1030" s="10" t="s">
        <v>46</v>
      </c>
      <c r="D1030" s="10">
        <v>61115</v>
      </c>
      <c r="E1030" s="10" t="s">
        <v>6</v>
      </c>
      <c r="F1030" s="10">
        <v>1168</v>
      </c>
    </row>
    <row r="1031" spans="1:6" x14ac:dyDescent="0.2">
      <c r="A1031" s="10" t="s">
        <v>272</v>
      </c>
      <c r="B1031" s="10" t="s">
        <v>281</v>
      </c>
      <c r="C1031" s="10" t="s">
        <v>46</v>
      </c>
      <c r="D1031" s="10">
        <v>60418</v>
      </c>
      <c r="E1031" s="10" t="s">
        <v>7</v>
      </c>
      <c r="F1031" s="10">
        <v>1830</v>
      </c>
    </row>
    <row r="1032" spans="1:6" x14ac:dyDescent="0.2">
      <c r="A1032" s="10" t="s">
        <v>272</v>
      </c>
      <c r="B1032" s="10" t="s">
        <v>282</v>
      </c>
      <c r="C1032" s="10" t="s">
        <v>46</v>
      </c>
      <c r="D1032" s="10">
        <v>61108</v>
      </c>
      <c r="E1032" s="10" t="s">
        <v>7</v>
      </c>
      <c r="F1032" s="10">
        <v>1201</v>
      </c>
    </row>
    <row r="1033" spans="1:6" x14ac:dyDescent="0.2">
      <c r="A1033" s="10" t="s">
        <v>272</v>
      </c>
      <c r="B1033" s="10" t="s">
        <v>286</v>
      </c>
      <c r="C1033" s="10" t="s">
        <v>46</v>
      </c>
      <c r="D1033" s="10">
        <v>60014</v>
      </c>
      <c r="E1033" s="10" t="s">
        <v>7</v>
      </c>
      <c r="F1033" s="10">
        <v>1278</v>
      </c>
    </row>
    <row r="1034" spans="1:6" x14ac:dyDescent="0.2">
      <c r="A1034" s="10" t="s">
        <v>272</v>
      </c>
      <c r="B1034" s="10" t="s">
        <v>286</v>
      </c>
      <c r="C1034" s="10" t="s">
        <v>46</v>
      </c>
      <c r="D1034" s="10">
        <v>60102</v>
      </c>
      <c r="E1034" s="10" t="s">
        <v>6</v>
      </c>
      <c r="F1034" s="10">
        <v>837</v>
      </c>
    </row>
    <row r="1035" spans="1:6" x14ac:dyDescent="0.2">
      <c r="A1035" s="10" t="s">
        <v>272</v>
      </c>
      <c r="B1035" s="10" t="s">
        <v>287</v>
      </c>
      <c r="C1035" s="10" t="s">
        <v>46</v>
      </c>
      <c r="D1035" s="10">
        <v>60543</v>
      </c>
      <c r="E1035" s="10" t="s">
        <v>7</v>
      </c>
      <c r="F1035" s="10">
        <v>682</v>
      </c>
    </row>
    <row r="1036" spans="1:6" x14ac:dyDescent="0.2">
      <c r="A1036" s="10" t="s">
        <v>272</v>
      </c>
      <c r="B1036" s="10" t="s">
        <v>281</v>
      </c>
      <c r="C1036" s="10" t="s">
        <v>46</v>
      </c>
      <c r="D1036" s="10">
        <v>60202</v>
      </c>
      <c r="E1036" s="10" t="s">
        <v>7</v>
      </c>
      <c r="F1036" s="10">
        <v>3159</v>
      </c>
    </row>
    <row r="1037" spans="1:6" x14ac:dyDescent="0.2">
      <c r="A1037" s="10" t="s">
        <v>272</v>
      </c>
      <c r="B1037" s="10" t="s">
        <v>281</v>
      </c>
      <c r="C1037" s="10" t="s">
        <v>46</v>
      </c>
      <c r="D1037" s="10">
        <v>60173</v>
      </c>
      <c r="E1037" s="10" t="s">
        <v>6</v>
      </c>
      <c r="F1037" s="10">
        <v>175</v>
      </c>
    </row>
    <row r="1038" spans="1:6" x14ac:dyDescent="0.2">
      <c r="A1038" s="10" t="s">
        <v>272</v>
      </c>
      <c r="B1038" s="10" t="s">
        <v>281</v>
      </c>
      <c r="C1038" s="10" t="s">
        <v>46</v>
      </c>
      <c r="D1038" s="10">
        <v>60160</v>
      </c>
      <c r="E1038" s="10" t="s">
        <v>7</v>
      </c>
      <c r="F1038" s="10">
        <v>1404</v>
      </c>
    </row>
    <row r="1039" spans="1:6" x14ac:dyDescent="0.2">
      <c r="A1039" s="10" t="s">
        <v>272</v>
      </c>
      <c r="B1039" s="10" t="s">
        <v>281</v>
      </c>
      <c r="C1039" s="10" t="s">
        <v>46</v>
      </c>
      <c r="D1039" s="10">
        <v>60201</v>
      </c>
      <c r="E1039" s="10" t="s">
        <v>6</v>
      </c>
      <c r="F1039" s="10">
        <v>305</v>
      </c>
    </row>
    <row r="1040" spans="1:6" x14ac:dyDescent="0.2">
      <c r="A1040" s="10" t="s">
        <v>272</v>
      </c>
      <c r="B1040" s="10" t="s">
        <v>281</v>
      </c>
      <c r="C1040" s="10" t="s">
        <v>46</v>
      </c>
      <c r="D1040" s="10">
        <v>60430</v>
      </c>
      <c r="E1040" s="10" t="s">
        <v>7</v>
      </c>
      <c r="F1040" s="10">
        <v>2421</v>
      </c>
    </row>
    <row r="1041" spans="1:6" x14ac:dyDescent="0.2">
      <c r="A1041" s="10" t="s">
        <v>272</v>
      </c>
      <c r="B1041" s="10" t="s">
        <v>281</v>
      </c>
      <c r="C1041" s="10" t="s">
        <v>46</v>
      </c>
      <c r="D1041" s="10">
        <v>60603</v>
      </c>
      <c r="E1041" s="10" t="s">
        <v>10</v>
      </c>
      <c r="F1041" s="10">
        <v>797</v>
      </c>
    </row>
    <row r="1042" spans="1:6" x14ac:dyDescent="0.2">
      <c r="A1042" s="10" t="s">
        <v>272</v>
      </c>
      <c r="B1042" s="10" t="s">
        <v>281</v>
      </c>
      <c r="C1042" s="10" t="s">
        <v>46</v>
      </c>
      <c r="D1042" s="10">
        <v>60603</v>
      </c>
      <c r="E1042" s="10" t="s">
        <v>9</v>
      </c>
      <c r="F1042" s="10">
        <v>4695</v>
      </c>
    </row>
    <row r="1043" spans="1:6" x14ac:dyDescent="0.2">
      <c r="A1043" s="10" t="s">
        <v>272</v>
      </c>
      <c r="B1043" s="10" t="s">
        <v>281</v>
      </c>
      <c r="C1043" s="10" t="s">
        <v>46</v>
      </c>
      <c r="D1043" s="10">
        <v>60805</v>
      </c>
      <c r="E1043" s="10" t="s">
        <v>7</v>
      </c>
      <c r="F1043" s="10">
        <v>1477</v>
      </c>
    </row>
    <row r="1044" spans="1:6" x14ac:dyDescent="0.2">
      <c r="A1044" s="10" t="s">
        <v>272</v>
      </c>
      <c r="B1044" s="10" t="s">
        <v>288</v>
      </c>
      <c r="C1044" s="10" t="s">
        <v>47</v>
      </c>
      <c r="D1044" s="10">
        <v>62226</v>
      </c>
      <c r="E1044" s="10" t="s">
        <v>7</v>
      </c>
      <c r="F1044" s="10">
        <v>597</v>
      </c>
    </row>
    <row r="1045" spans="1:6" x14ac:dyDescent="0.2">
      <c r="A1045" s="10" t="s">
        <v>272</v>
      </c>
      <c r="B1045" s="10" t="s">
        <v>289</v>
      </c>
      <c r="C1045" s="10" t="s">
        <v>47</v>
      </c>
      <c r="D1045" s="10">
        <v>61822</v>
      </c>
      <c r="E1045" s="10" t="s">
        <v>5</v>
      </c>
      <c r="F1045" s="10">
        <v>1274</v>
      </c>
    </row>
    <row r="1046" spans="1:6" x14ac:dyDescent="0.2">
      <c r="A1046" s="10" t="s">
        <v>272</v>
      </c>
      <c r="B1046" s="10" t="s">
        <v>62</v>
      </c>
      <c r="C1046" s="10" t="s">
        <v>47</v>
      </c>
      <c r="D1046" s="10">
        <v>62002</v>
      </c>
      <c r="E1046" s="10" t="s">
        <v>6</v>
      </c>
      <c r="F1046" s="10">
        <v>1737</v>
      </c>
    </row>
    <row r="1047" spans="1:6" x14ac:dyDescent="0.2">
      <c r="A1047" s="10" t="s">
        <v>272</v>
      </c>
      <c r="B1047" s="10" t="s">
        <v>290</v>
      </c>
      <c r="C1047" s="10" t="s">
        <v>47</v>
      </c>
      <c r="D1047" s="10">
        <v>61354</v>
      </c>
      <c r="E1047" s="10" t="s">
        <v>5</v>
      </c>
      <c r="F1047" s="10">
        <v>3741</v>
      </c>
    </row>
    <row r="1048" spans="1:6" x14ac:dyDescent="0.2">
      <c r="A1048" s="10" t="s">
        <v>272</v>
      </c>
      <c r="B1048" s="10" t="s">
        <v>289</v>
      </c>
      <c r="C1048" s="10" t="s">
        <v>47</v>
      </c>
      <c r="D1048" s="10">
        <v>61820</v>
      </c>
      <c r="E1048" s="10" t="s">
        <v>6</v>
      </c>
      <c r="F1048" s="10">
        <v>853</v>
      </c>
    </row>
    <row r="1049" spans="1:6" x14ac:dyDescent="0.2">
      <c r="A1049" s="10" t="s">
        <v>272</v>
      </c>
      <c r="B1049" s="10" t="s">
        <v>75</v>
      </c>
      <c r="C1049" s="10" t="s">
        <v>47</v>
      </c>
      <c r="D1049" s="10">
        <v>62864</v>
      </c>
      <c r="E1049" s="10" t="s">
        <v>5</v>
      </c>
      <c r="F1049" s="10">
        <v>1039</v>
      </c>
    </row>
    <row r="1050" spans="1:6" x14ac:dyDescent="0.2">
      <c r="A1050" s="10" t="s">
        <v>272</v>
      </c>
      <c r="B1050" s="10" t="s">
        <v>288</v>
      </c>
      <c r="C1050" s="10" t="s">
        <v>47</v>
      </c>
      <c r="D1050" s="10">
        <v>62208</v>
      </c>
      <c r="E1050" s="10" t="s">
        <v>7</v>
      </c>
      <c r="F1050" s="10">
        <v>1394</v>
      </c>
    </row>
    <row r="1051" spans="1:6" x14ac:dyDescent="0.2">
      <c r="A1051" s="10" t="s">
        <v>272</v>
      </c>
      <c r="B1051" s="10" t="s">
        <v>212</v>
      </c>
      <c r="C1051" s="10" t="s">
        <v>47</v>
      </c>
      <c r="D1051" s="10">
        <v>60115</v>
      </c>
      <c r="E1051" s="10" t="s">
        <v>7</v>
      </c>
      <c r="F1051" s="10">
        <v>2349</v>
      </c>
    </row>
    <row r="1052" spans="1:6" x14ac:dyDescent="0.2">
      <c r="A1052" s="10" t="s">
        <v>272</v>
      </c>
      <c r="B1052" s="10" t="s">
        <v>62</v>
      </c>
      <c r="C1052" s="10" t="s">
        <v>47</v>
      </c>
      <c r="D1052" s="10">
        <v>62034</v>
      </c>
      <c r="E1052" s="10" t="s">
        <v>7</v>
      </c>
      <c r="F1052" s="10">
        <v>2522</v>
      </c>
    </row>
    <row r="1053" spans="1:6" x14ac:dyDescent="0.2">
      <c r="A1053" s="10" t="s">
        <v>272</v>
      </c>
      <c r="B1053" s="10" t="s">
        <v>291</v>
      </c>
      <c r="C1053" s="10" t="s">
        <v>47</v>
      </c>
      <c r="D1053" s="10">
        <v>60914</v>
      </c>
      <c r="E1053" s="10" t="s">
        <v>5</v>
      </c>
      <c r="F1053" s="10">
        <v>1687</v>
      </c>
    </row>
    <row r="1054" spans="1:6" x14ac:dyDescent="0.2">
      <c r="A1054" s="10" t="s">
        <v>272</v>
      </c>
      <c r="B1054" s="10" t="s">
        <v>152</v>
      </c>
      <c r="C1054" s="10" t="s">
        <v>47</v>
      </c>
      <c r="D1054" s="10">
        <v>62301</v>
      </c>
      <c r="E1054" s="10" t="s">
        <v>5</v>
      </c>
      <c r="F1054" s="10">
        <v>2109</v>
      </c>
    </row>
    <row r="1055" spans="1:6" x14ac:dyDescent="0.2">
      <c r="A1055" s="10" t="s">
        <v>292</v>
      </c>
      <c r="B1055" s="10" t="s">
        <v>205</v>
      </c>
      <c r="C1055" s="10" t="s">
        <v>45</v>
      </c>
      <c r="D1055" s="10">
        <v>46220</v>
      </c>
      <c r="E1055" s="10" t="s">
        <v>5</v>
      </c>
      <c r="F1055" s="10">
        <v>2026</v>
      </c>
    </row>
    <row r="1056" spans="1:6" x14ac:dyDescent="0.2">
      <c r="A1056" s="10" t="s">
        <v>292</v>
      </c>
      <c r="B1056" s="10" t="s">
        <v>205</v>
      </c>
      <c r="C1056" s="10" t="s">
        <v>45</v>
      </c>
      <c r="D1056" s="10">
        <v>46268</v>
      </c>
      <c r="E1056" s="10" t="s">
        <v>5</v>
      </c>
      <c r="F1056" s="10">
        <v>70</v>
      </c>
    </row>
    <row r="1057" spans="1:6" x14ac:dyDescent="0.2">
      <c r="A1057" s="10" t="s">
        <v>292</v>
      </c>
      <c r="B1057" s="10" t="s">
        <v>174</v>
      </c>
      <c r="C1057" s="10" t="s">
        <v>45</v>
      </c>
      <c r="D1057" s="10">
        <v>46410</v>
      </c>
      <c r="E1057" s="10" t="s">
        <v>6</v>
      </c>
      <c r="F1057" s="10">
        <v>759</v>
      </c>
    </row>
    <row r="1058" spans="1:6" x14ac:dyDescent="0.2">
      <c r="A1058" s="10" t="s">
        <v>292</v>
      </c>
      <c r="B1058" s="10" t="s">
        <v>205</v>
      </c>
      <c r="C1058" s="10" t="s">
        <v>45</v>
      </c>
      <c r="D1058" s="10">
        <v>46240</v>
      </c>
      <c r="E1058" s="10" t="s">
        <v>7</v>
      </c>
      <c r="F1058" s="10">
        <v>737</v>
      </c>
    </row>
    <row r="1059" spans="1:6" x14ac:dyDescent="0.2">
      <c r="A1059" s="10" t="s">
        <v>292</v>
      </c>
      <c r="B1059" s="10" t="s">
        <v>174</v>
      </c>
      <c r="C1059" s="10" t="s">
        <v>45</v>
      </c>
      <c r="D1059" s="10">
        <v>46322</v>
      </c>
      <c r="E1059" s="10" t="s">
        <v>6</v>
      </c>
      <c r="F1059" s="10">
        <v>1275</v>
      </c>
    </row>
    <row r="1060" spans="1:6" x14ac:dyDescent="0.2">
      <c r="A1060" s="10" t="s">
        <v>292</v>
      </c>
      <c r="B1060" s="10" t="s">
        <v>293</v>
      </c>
      <c r="C1060" s="10" t="s">
        <v>45</v>
      </c>
      <c r="D1060" s="10">
        <v>47304</v>
      </c>
      <c r="E1060" s="10" t="s">
        <v>5</v>
      </c>
      <c r="F1060" s="10">
        <v>1996</v>
      </c>
    </row>
    <row r="1061" spans="1:6" x14ac:dyDescent="0.2">
      <c r="A1061" s="10" t="s">
        <v>292</v>
      </c>
      <c r="B1061" s="10" t="s">
        <v>174</v>
      </c>
      <c r="C1061" s="10" t="s">
        <v>45</v>
      </c>
      <c r="D1061" s="10">
        <v>46321</v>
      </c>
      <c r="E1061" s="10" t="s">
        <v>5</v>
      </c>
      <c r="F1061" s="10">
        <v>1173</v>
      </c>
    </row>
    <row r="1062" spans="1:6" x14ac:dyDescent="0.2">
      <c r="A1062" s="10" t="s">
        <v>292</v>
      </c>
      <c r="B1062" s="10" t="s">
        <v>205</v>
      </c>
      <c r="C1062" s="10" t="s">
        <v>45</v>
      </c>
      <c r="D1062" s="10">
        <v>46250</v>
      </c>
      <c r="E1062" s="10" t="s">
        <v>8</v>
      </c>
      <c r="F1062" s="10">
        <v>322</v>
      </c>
    </row>
    <row r="1063" spans="1:6" x14ac:dyDescent="0.2">
      <c r="A1063" s="10" t="s">
        <v>292</v>
      </c>
      <c r="B1063" s="10" t="s">
        <v>205</v>
      </c>
      <c r="C1063" s="10" t="s">
        <v>45</v>
      </c>
      <c r="D1063" s="10">
        <v>46256</v>
      </c>
      <c r="E1063" s="10" t="s">
        <v>5</v>
      </c>
      <c r="F1063" s="10">
        <v>1061</v>
      </c>
    </row>
    <row r="1064" spans="1:6" x14ac:dyDescent="0.2">
      <c r="A1064" s="10" t="s">
        <v>292</v>
      </c>
      <c r="B1064" s="10" t="s">
        <v>205</v>
      </c>
      <c r="C1064" s="10" t="s">
        <v>45</v>
      </c>
      <c r="D1064" s="10">
        <v>46268</v>
      </c>
      <c r="E1064" s="10" t="s">
        <v>6</v>
      </c>
      <c r="F1064" s="10">
        <v>714</v>
      </c>
    </row>
    <row r="1065" spans="1:6" x14ac:dyDescent="0.2">
      <c r="A1065" s="10" t="s">
        <v>292</v>
      </c>
      <c r="B1065" s="10" t="s">
        <v>205</v>
      </c>
      <c r="C1065" s="10" t="s">
        <v>45</v>
      </c>
      <c r="D1065" s="10">
        <v>46237</v>
      </c>
      <c r="E1065" s="10" t="s">
        <v>5</v>
      </c>
      <c r="F1065" s="10">
        <v>1084</v>
      </c>
    </row>
    <row r="1066" spans="1:6" x14ac:dyDescent="0.2">
      <c r="A1066" s="10" t="s">
        <v>292</v>
      </c>
      <c r="B1066" s="10" t="s">
        <v>178</v>
      </c>
      <c r="C1066" s="10" t="s">
        <v>45</v>
      </c>
      <c r="D1066" s="10">
        <v>47404</v>
      </c>
      <c r="E1066" s="10" t="s">
        <v>6</v>
      </c>
      <c r="F1066" s="10">
        <v>1559</v>
      </c>
    </row>
    <row r="1067" spans="1:6" x14ac:dyDescent="0.2">
      <c r="A1067" s="10" t="s">
        <v>292</v>
      </c>
      <c r="B1067" s="10" t="s">
        <v>294</v>
      </c>
      <c r="C1067" s="10" t="s">
        <v>45</v>
      </c>
      <c r="D1067" s="10">
        <v>46545</v>
      </c>
      <c r="E1067" s="10" t="s">
        <v>6</v>
      </c>
      <c r="F1067" s="10">
        <v>2256</v>
      </c>
    </row>
    <row r="1068" spans="1:6" x14ac:dyDescent="0.2">
      <c r="A1068" s="10" t="s">
        <v>292</v>
      </c>
      <c r="B1068" s="10" t="s">
        <v>178</v>
      </c>
      <c r="C1068" s="10" t="s">
        <v>45</v>
      </c>
      <c r="D1068" s="10">
        <v>47401</v>
      </c>
      <c r="E1068" s="10" t="s">
        <v>5</v>
      </c>
      <c r="F1068" s="10">
        <v>2118</v>
      </c>
    </row>
    <row r="1069" spans="1:6" x14ac:dyDescent="0.2">
      <c r="A1069" s="10" t="s">
        <v>292</v>
      </c>
      <c r="B1069" s="10" t="s">
        <v>294</v>
      </c>
      <c r="C1069" s="10" t="s">
        <v>45</v>
      </c>
      <c r="D1069" s="10">
        <v>46614</v>
      </c>
      <c r="E1069" s="10" t="s">
        <v>5</v>
      </c>
      <c r="F1069" s="10">
        <v>2361</v>
      </c>
    </row>
    <row r="1070" spans="1:6" x14ac:dyDescent="0.2">
      <c r="A1070" s="10" t="s">
        <v>292</v>
      </c>
      <c r="B1070" s="10" t="s">
        <v>205</v>
      </c>
      <c r="C1070" s="10" t="s">
        <v>45</v>
      </c>
      <c r="D1070" s="10">
        <v>46227</v>
      </c>
      <c r="E1070" s="10" t="s">
        <v>8</v>
      </c>
      <c r="F1070" s="10">
        <v>2476</v>
      </c>
    </row>
    <row r="1071" spans="1:6" x14ac:dyDescent="0.2">
      <c r="A1071" s="10" t="s">
        <v>292</v>
      </c>
      <c r="B1071" s="10" t="s">
        <v>216</v>
      </c>
      <c r="C1071" s="10" t="s">
        <v>45</v>
      </c>
      <c r="D1071" s="10">
        <v>47150</v>
      </c>
      <c r="E1071" s="10" t="s">
        <v>6</v>
      </c>
      <c r="F1071" s="10">
        <v>1909</v>
      </c>
    </row>
    <row r="1072" spans="1:6" x14ac:dyDescent="0.2">
      <c r="A1072" s="10" t="s">
        <v>292</v>
      </c>
      <c r="B1072" s="10" t="s">
        <v>205</v>
      </c>
      <c r="C1072" s="10" t="s">
        <v>45</v>
      </c>
      <c r="D1072" s="10">
        <v>46229</v>
      </c>
      <c r="E1072" s="10" t="s">
        <v>7</v>
      </c>
      <c r="F1072" s="10">
        <v>1073</v>
      </c>
    </row>
    <row r="1073" spans="1:6" x14ac:dyDescent="0.2">
      <c r="A1073" s="10" t="s">
        <v>292</v>
      </c>
      <c r="B1073" s="10" t="s">
        <v>295</v>
      </c>
      <c r="C1073" s="10" t="s">
        <v>46</v>
      </c>
      <c r="D1073" s="10">
        <v>46580</v>
      </c>
      <c r="E1073" s="10" t="s">
        <v>5</v>
      </c>
      <c r="F1073" s="10">
        <v>1203</v>
      </c>
    </row>
    <row r="1074" spans="1:6" x14ac:dyDescent="0.2">
      <c r="A1074" s="10" t="s">
        <v>292</v>
      </c>
      <c r="B1074" s="10" t="s">
        <v>296</v>
      </c>
      <c r="C1074" s="10" t="s">
        <v>46</v>
      </c>
      <c r="D1074" s="10">
        <v>46032</v>
      </c>
      <c r="E1074" s="10" t="s">
        <v>7</v>
      </c>
      <c r="F1074" s="10">
        <v>3603</v>
      </c>
    </row>
    <row r="1075" spans="1:6" x14ac:dyDescent="0.2">
      <c r="A1075" s="10" t="s">
        <v>292</v>
      </c>
      <c r="B1075" s="10" t="s">
        <v>297</v>
      </c>
      <c r="C1075" s="10" t="s">
        <v>46</v>
      </c>
      <c r="D1075" s="10">
        <v>47905</v>
      </c>
      <c r="E1075" s="10" t="s">
        <v>5</v>
      </c>
      <c r="F1075" s="10">
        <v>1593</v>
      </c>
    </row>
    <row r="1076" spans="1:6" x14ac:dyDescent="0.2">
      <c r="A1076" s="10" t="s">
        <v>292</v>
      </c>
      <c r="B1076" s="10" t="s">
        <v>297</v>
      </c>
      <c r="C1076" s="10" t="s">
        <v>46</v>
      </c>
      <c r="D1076" s="10">
        <v>47905</v>
      </c>
      <c r="E1076" s="10" t="s">
        <v>6</v>
      </c>
      <c r="F1076" s="10">
        <v>1461</v>
      </c>
    </row>
    <row r="1077" spans="1:6" x14ac:dyDescent="0.2">
      <c r="A1077" s="10" t="s">
        <v>292</v>
      </c>
      <c r="B1077" s="10" t="s">
        <v>297</v>
      </c>
      <c r="C1077" s="10" t="s">
        <v>46</v>
      </c>
      <c r="D1077" s="10">
        <v>47905</v>
      </c>
      <c r="E1077" s="10" t="s">
        <v>8</v>
      </c>
      <c r="F1077" s="10">
        <v>787</v>
      </c>
    </row>
    <row r="1078" spans="1:6" x14ac:dyDescent="0.2">
      <c r="A1078" s="10" t="s">
        <v>292</v>
      </c>
      <c r="B1078" s="10" t="s">
        <v>298</v>
      </c>
      <c r="C1078" s="10" t="s">
        <v>46</v>
      </c>
      <c r="D1078" s="10">
        <v>46901</v>
      </c>
      <c r="E1078" s="10" t="s">
        <v>5</v>
      </c>
      <c r="F1078" s="10">
        <v>1452</v>
      </c>
    </row>
    <row r="1079" spans="1:6" x14ac:dyDescent="0.2">
      <c r="A1079" s="10" t="s">
        <v>292</v>
      </c>
      <c r="B1079" s="10" t="s">
        <v>296</v>
      </c>
      <c r="C1079" s="10" t="s">
        <v>46</v>
      </c>
      <c r="D1079" s="10">
        <v>46032</v>
      </c>
      <c r="E1079" s="10" t="s">
        <v>6</v>
      </c>
      <c r="F1079" s="10">
        <v>1123</v>
      </c>
    </row>
    <row r="1080" spans="1:6" x14ac:dyDescent="0.2">
      <c r="A1080" s="10" t="s">
        <v>292</v>
      </c>
      <c r="B1080" s="10" t="s">
        <v>299</v>
      </c>
      <c r="C1080" s="10" t="s">
        <v>46</v>
      </c>
      <c r="D1080" s="10">
        <v>47203</v>
      </c>
      <c r="E1080" s="10" t="s">
        <v>7</v>
      </c>
      <c r="F1080" s="10">
        <v>1953</v>
      </c>
    </row>
    <row r="1081" spans="1:6" x14ac:dyDescent="0.2">
      <c r="A1081" s="10" t="s">
        <v>292</v>
      </c>
      <c r="B1081" s="10" t="s">
        <v>300</v>
      </c>
      <c r="C1081" s="10" t="s">
        <v>46</v>
      </c>
      <c r="D1081" s="10">
        <v>47802</v>
      </c>
      <c r="E1081" s="10" t="s">
        <v>5</v>
      </c>
      <c r="F1081" s="10">
        <v>1743</v>
      </c>
    </row>
    <row r="1082" spans="1:6" x14ac:dyDescent="0.2">
      <c r="A1082" s="10" t="s">
        <v>292</v>
      </c>
      <c r="B1082" s="10" t="s">
        <v>301</v>
      </c>
      <c r="C1082" s="10" t="s">
        <v>46</v>
      </c>
      <c r="D1082" s="10">
        <v>46818</v>
      </c>
      <c r="E1082" s="10" t="s">
        <v>6</v>
      </c>
      <c r="F1082" s="10">
        <v>2214</v>
      </c>
    </row>
    <row r="1083" spans="1:6" x14ac:dyDescent="0.2">
      <c r="A1083" s="10" t="s">
        <v>292</v>
      </c>
      <c r="B1083" s="10" t="s">
        <v>62</v>
      </c>
      <c r="C1083" s="10" t="s">
        <v>46</v>
      </c>
      <c r="D1083" s="10">
        <v>46013</v>
      </c>
      <c r="E1083" s="10" t="s">
        <v>6</v>
      </c>
      <c r="F1083" s="10">
        <v>828</v>
      </c>
    </row>
    <row r="1084" spans="1:6" x14ac:dyDescent="0.2">
      <c r="A1084" s="10" t="s">
        <v>292</v>
      </c>
      <c r="B1084" s="10" t="s">
        <v>296</v>
      </c>
      <c r="C1084" s="10" t="s">
        <v>46</v>
      </c>
      <c r="D1084" s="10">
        <v>46060</v>
      </c>
      <c r="E1084" s="10" t="s">
        <v>5</v>
      </c>
      <c r="F1084" s="10">
        <v>1750</v>
      </c>
    </row>
    <row r="1085" spans="1:6" x14ac:dyDescent="0.2">
      <c r="A1085" s="10" t="s">
        <v>292</v>
      </c>
      <c r="B1085" s="10" t="s">
        <v>301</v>
      </c>
      <c r="C1085" s="10" t="s">
        <v>46</v>
      </c>
      <c r="D1085" s="10">
        <v>46825</v>
      </c>
      <c r="E1085" s="10" t="s">
        <v>8</v>
      </c>
      <c r="F1085" s="10">
        <v>1056</v>
      </c>
    </row>
    <row r="1086" spans="1:6" x14ac:dyDescent="0.2">
      <c r="A1086" s="10" t="s">
        <v>292</v>
      </c>
      <c r="B1086" s="10" t="s">
        <v>301</v>
      </c>
      <c r="C1086" s="10" t="s">
        <v>46</v>
      </c>
      <c r="D1086" s="10">
        <v>46805</v>
      </c>
      <c r="E1086" s="10" t="s">
        <v>6</v>
      </c>
      <c r="F1086" s="10">
        <v>3173</v>
      </c>
    </row>
    <row r="1087" spans="1:6" x14ac:dyDescent="0.2">
      <c r="A1087" s="10" t="s">
        <v>292</v>
      </c>
      <c r="B1087" s="10" t="s">
        <v>298</v>
      </c>
      <c r="C1087" s="10" t="s">
        <v>46</v>
      </c>
      <c r="D1087" s="10">
        <v>46901</v>
      </c>
      <c r="E1087" s="10" t="s">
        <v>8</v>
      </c>
      <c r="F1087" s="10">
        <v>579</v>
      </c>
    </row>
    <row r="1088" spans="1:6" x14ac:dyDescent="0.2">
      <c r="A1088" s="10" t="s">
        <v>292</v>
      </c>
      <c r="B1088" s="10" t="s">
        <v>301</v>
      </c>
      <c r="C1088" s="10" t="s">
        <v>46</v>
      </c>
      <c r="D1088" s="10">
        <v>46804</v>
      </c>
      <c r="E1088" s="10" t="s">
        <v>6</v>
      </c>
      <c r="F1088" s="10">
        <v>4008</v>
      </c>
    </row>
    <row r="1089" spans="1:6" x14ac:dyDescent="0.2">
      <c r="A1089" s="10" t="s">
        <v>292</v>
      </c>
      <c r="B1089" s="10" t="s">
        <v>302</v>
      </c>
      <c r="C1089" s="10" t="s">
        <v>46</v>
      </c>
      <c r="D1089" s="10">
        <v>46526</v>
      </c>
      <c r="E1089" s="10" t="s">
        <v>5</v>
      </c>
      <c r="F1089" s="10">
        <v>1233</v>
      </c>
    </row>
    <row r="1090" spans="1:6" x14ac:dyDescent="0.2">
      <c r="A1090" s="10" t="s">
        <v>292</v>
      </c>
      <c r="B1090" s="10" t="s">
        <v>303</v>
      </c>
      <c r="C1090" s="10" t="s">
        <v>47</v>
      </c>
      <c r="D1090" s="10">
        <v>46360</v>
      </c>
      <c r="E1090" s="10" t="s">
        <v>7</v>
      </c>
      <c r="F1090" s="10">
        <v>305</v>
      </c>
    </row>
    <row r="1091" spans="1:6" x14ac:dyDescent="0.2">
      <c r="A1091" s="10" t="s">
        <v>292</v>
      </c>
      <c r="B1091" s="10" t="s">
        <v>304</v>
      </c>
      <c r="C1091" s="10" t="s">
        <v>47</v>
      </c>
      <c r="D1091" s="10">
        <v>46383</v>
      </c>
      <c r="E1091" s="10" t="s">
        <v>5</v>
      </c>
      <c r="F1091" s="10">
        <v>1116</v>
      </c>
    </row>
    <row r="1092" spans="1:6" x14ac:dyDescent="0.2">
      <c r="A1092" s="10" t="s">
        <v>292</v>
      </c>
      <c r="B1092" s="10" t="s">
        <v>305</v>
      </c>
      <c r="C1092" s="10" t="s">
        <v>47</v>
      </c>
      <c r="D1092" s="10">
        <v>46123</v>
      </c>
      <c r="E1092" s="10" t="s">
        <v>6</v>
      </c>
      <c r="F1092" s="10">
        <v>3077</v>
      </c>
    </row>
    <row r="1093" spans="1:6" x14ac:dyDescent="0.2">
      <c r="A1093" s="10" t="s">
        <v>292</v>
      </c>
      <c r="B1093" s="10" t="s">
        <v>305</v>
      </c>
      <c r="C1093" s="10" t="s">
        <v>47</v>
      </c>
      <c r="D1093" s="10">
        <v>46168</v>
      </c>
      <c r="E1093" s="10" t="s">
        <v>5</v>
      </c>
      <c r="F1093" s="10">
        <v>1138</v>
      </c>
    </row>
    <row r="1094" spans="1:6" x14ac:dyDescent="0.2">
      <c r="A1094" s="10" t="s">
        <v>292</v>
      </c>
      <c r="B1094" s="10" t="s">
        <v>306</v>
      </c>
      <c r="C1094" s="10" t="s">
        <v>47</v>
      </c>
      <c r="D1094" s="10">
        <v>47712</v>
      </c>
      <c r="E1094" s="10" t="s">
        <v>6</v>
      </c>
      <c r="F1094" s="10">
        <v>4777</v>
      </c>
    </row>
    <row r="1095" spans="1:6" x14ac:dyDescent="0.2">
      <c r="A1095" s="10" t="s">
        <v>292</v>
      </c>
      <c r="B1095" s="10" t="s">
        <v>306</v>
      </c>
      <c r="C1095" s="10" t="s">
        <v>47</v>
      </c>
      <c r="D1095" s="10">
        <v>47715</v>
      </c>
      <c r="E1095" s="10" t="s">
        <v>6</v>
      </c>
      <c r="F1095" s="10">
        <v>1927</v>
      </c>
    </row>
    <row r="1096" spans="1:6" x14ac:dyDescent="0.2">
      <c r="A1096" s="10" t="s">
        <v>292</v>
      </c>
      <c r="B1096" s="10" t="s">
        <v>307</v>
      </c>
      <c r="C1096" s="10" t="s">
        <v>47</v>
      </c>
      <c r="D1096" s="10">
        <v>47591</v>
      </c>
      <c r="E1096" s="10" t="s">
        <v>7</v>
      </c>
      <c r="F1096" s="10">
        <v>804</v>
      </c>
    </row>
    <row r="1097" spans="1:6" x14ac:dyDescent="0.2">
      <c r="A1097" s="10" t="s">
        <v>292</v>
      </c>
      <c r="B1097" s="10" t="s">
        <v>308</v>
      </c>
      <c r="C1097" s="10" t="s">
        <v>47</v>
      </c>
      <c r="D1097" s="10">
        <v>47129</v>
      </c>
      <c r="E1097" s="10" t="s">
        <v>5</v>
      </c>
      <c r="F1097" s="10">
        <v>2064</v>
      </c>
    </row>
    <row r="1098" spans="1:6" x14ac:dyDescent="0.2">
      <c r="A1098" s="10" t="s">
        <v>292</v>
      </c>
      <c r="B1098" s="10" t="s">
        <v>306</v>
      </c>
      <c r="C1098" s="10" t="s">
        <v>47</v>
      </c>
      <c r="D1098" s="10">
        <v>47715</v>
      </c>
      <c r="E1098" s="10" t="s">
        <v>5</v>
      </c>
      <c r="F1098" s="10">
        <v>1066</v>
      </c>
    </row>
    <row r="1099" spans="1:6" x14ac:dyDescent="0.2">
      <c r="A1099" s="10" t="s">
        <v>292</v>
      </c>
      <c r="B1099" s="10" t="s">
        <v>254</v>
      </c>
      <c r="C1099" s="10" t="s">
        <v>47</v>
      </c>
      <c r="D1099" s="10">
        <v>46142</v>
      </c>
      <c r="E1099" s="10" t="s">
        <v>6</v>
      </c>
      <c r="F1099" s="10">
        <v>3349</v>
      </c>
    </row>
    <row r="1100" spans="1:6" x14ac:dyDescent="0.2">
      <c r="A1100" s="10" t="s">
        <v>309</v>
      </c>
      <c r="B1100" s="10" t="s">
        <v>81</v>
      </c>
      <c r="C1100" s="10" t="s">
        <v>45</v>
      </c>
      <c r="D1100" s="10">
        <v>67401</v>
      </c>
      <c r="E1100" s="10" t="s">
        <v>7</v>
      </c>
      <c r="F1100" s="10">
        <v>835</v>
      </c>
    </row>
    <row r="1101" spans="1:6" x14ac:dyDescent="0.2">
      <c r="A1101" s="10" t="s">
        <v>309</v>
      </c>
      <c r="B1101" s="10" t="s">
        <v>310</v>
      </c>
      <c r="C1101" s="10" t="s">
        <v>45</v>
      </c>
      <c r="D1101" s="10">
        <v>66614</v>
      </c>
      <c r="E1101" s="10" t="s">
        <v>7</v>
      </c>
      <c r="F1101" s="10">
        <v>2363</v>
      </c>
    </row>
    <row r="1102" spans="1:6" x14ac:dyDescent="0.2">
      <c r="A1102" s="10" t="s">
        <v>309</v>
      </c>
      <c r="B1102" s="10" t="s">
        <v>311</v>
      </c>
      <c r="C1102" s="10" t="s">
        <v>46</v>
      </c>
      <c r="D1102" s="10">
        <v>66801</v>
      </c>
      <c r="E1102" s="10" t="s">
        <v>5</v>
      </c>
      <c r="F1102" s="10">
        <v>1292</v>
      </c>
    </row>
    <row r="1103" spans="1:6" x14ac:dyDescent="0.2">
      <c r="A1103" s="10" t="s">
        <v>309</v>
      </c>
      <c r="B1103" s="10" t="s">
        <v>312</v>
      </c>
      <c r="C1103" s="10" t="s">
        <v>46</v>
      </c>
      <c r="D1103" s="10">
        <v>66502</v>
      </c>
      <c r="E1103" s="10" t="s">
        <v>5</v>
      </c>
      <c r="F1103" s="10">
        <v>1134</v>
      </c>
    </row>
    <row r="1104" spans="1:6" x14ac:dyDescent="0.2">
      <c r="A1104" s="10" t="s">
        <v>309</v>
      </c>
      <c r="B1104" s="10" t="s">
        <v>313</v>
      </c>
      <c r="C1104" s="10" t="s">
        <v>47</v>
      </c>
      <c r="D1104" s="10">
        <v>67226</v>
      </c>
      <c r="E1104" s="10" t="s">
        <v>6</v>
      </c>
      <c r="F1104" s="10">
        <v>4465</v>
      </c>
    </row>
    <row r="1105" spans="1:6" x14ac:dyDescent="0.2">
      <c r="A1105" s="10" t="s">
        <v>309</v>
      </c>
      <c r="B1105" s="10" t="s">
        <v>313</v>
      </c>
      <c r="C1105" s="10" t="s">
        <v>47</v>
      </c>
      <c r="D1105" s="10">
        <v>67207</v>
      </c>
      <c r="E1105" s="10" t="s">
        <v>8</v>
      </c>
      <c r="F1105" s="10">
        <v>2055</v>
      </c>
    </row>
    <row r="1106" spans="1:6" x14ac:dyDescent="0.2">
      <c r="A1106" s="10" t="s">
        <v>309</v>
      </c>
      <c r="B1106" s="10" t="s">
        <v>313</v>
      </c>
      <c r="C1106" s="10" t="s">
        <v>47</v>
      </c>
      <c r="D1106" s="10">
        <v>67209</v>
      </c>
      <c r="E1106" s="10" t="s">
        <v>8</v>
      </c>
      <c r="F1106" s="10">
        <v>2301</v>
      </c>
    </row>
    <row r="1107" spans="1:6" x14ac:dyDescent="0.2">
      <c r="A1107" s="10" t="s">
        <v>309</v>
      </c>
      <c r="B1107" s="10" t="s">
        <v>254</v>
      </c>
      <c r="C1107" s="10" t="s">
        <v>47</v>
      </c>
      <c r="D1107" s="10">
        <v>66209</v>
      </c>
      <c r="E1107" s="10" t="s">
        <v>10</v>
      </c>
      <c r="F1107" s="10">
        <v>647</v>
      </c>
    </row>
    <row r="1108" spans="1:6" x14ac:dyDescent="0.2">
      <c r="A1108" s="10" t="s">
        <v>309</v>
      </c>
      <c r="B1108" s="10" t="s">
        <v>254</v>
      </c>
      <c r="C1108" s="10" t="s">
        <v>47</v>
      </c>
      <c r="D1108" s="10">
        <v>66223</v>
      </c>
      <c r="E1108" s="10" t="s">
        <v>5</v>
      </c>
      <c r="F1108" s="10">
        <v>1259</v>
      </c>
    </row>
    <row r="1109" spans="1:6" x14ac:dyDescent="0.2">
      <c r="A1109" s="10" t="s">
        <v>309</v>
      </c>
      <c r="B1109" s="10" t="s">
        <v>314</v>
      </c>
      <c r="C1109" s="10" t="s">
        <v>47</v>
      </c>
      <c r="D1109" s="10">
        <v>67846</v>
      </c>
      <c r="E1109" s="10" t="s">
        <v>5</v>
      </c>
      <c r="F1109" s="10">
        <v>893</v>
      </c>
    </row>
    <row r="1110" spans="1:6" x14ac:dyDescent="0.2">
      <c r="A1110" s="10" t="s">
        <v>309</v>
      </c>
      <c r="B1110" s="10" t="s">
        <v>254</v>
      </c>
      <c r="C1110" s="10" t="s">
        <v>47</v>
      </c>
      <c r="D1110" s="10">
        <v>66062</v>
      </c>
      <c r="E1110" s="10" t="s">
        <v>7</v>
      </c>
      <c r="F1110" s="10">
        <v>1517</v>
      </c>
    </row>
    <row r="1111" spans="1:6" x14ac:dyDescent="0.2">
      <c r="A1111" s="10" t="s">
        <v>309</v>
      </c>
      <c r="B1111" s="10" t="s">
        <v>254</v>
      </c>
      <c r="C1111" s="10" t="s">
        <v>47</v>
      </c>
      <c r="D1111" s="10">
        <v>66212</v>
      </c>
      <c r="E1111" s="10" t="s">
        <v>6</v>
      </c>
      <c r="F1111" s="10">
        <v>1365</v>
      </c>
    </row>
    <row r="1112" spans="1:6" x14ac:dyDescent="0.2">
      <c r="A1112" s="10" t="s">
        <v>309</v>
      </c>
      <c r="B1112" s="10" t="s">
        <v>254</v>
      </c>
      <c r="C1112" s="10" t="s">
        <v>47</v>
      </c>
      <c r="D1112" s="10">
        <v>66217</v>
      </c>
      <c r="E1112" s="10" t="s">
        <v>7</v>
      </c>
      <c r="F1112" s="10">
        <v>2142</v>
      </c>
    </row>
    <row r="1113" spans="1:6" x14ac:dyDescent="0.2">
      <c r="A1113" s="10" t="s">
        <v>309</v>
      </c>
      <c r="B1113" s="10" t="s">
        <v>254</v>
      </c>
      <c r="C1113" s="10" t="s">
        <v>47</v>
      </c>
      <c r="D1113" s="10">
        <v>66214</v>
      </c>
      <c r="E1113" s="10" t="s">
        <v>5</v>
      </c>
      <c r="F1113" s="10">
        <v>1148</v>
      </c>
    </row>
    <row r="1114" spans="1:6" x14ac:dyDescent="0.2">
      <c r="A1114" s="10" t="s">
        <v>309</v>
      </c>
      <c r="B1114" s="10" t="s">
        <v>254</v>
      </c>
      <c r="C1114" s="10" t="s">
        <v>47</v>
      </c>
      <c r="D1114" s="10">
        <v>66202</v>
      </c>
      <c r="E1114" s="10" t="s">
        <v>7</v>
      </c>
      <c r="F1114" s="10">
        <v>3751</v>
      </c>
    </row>
    <row r="1115" spans="1:6" x14ac:dyDescent="0.2">
      <c r="A1115" s="10" t="s">
        <v>309</v>
      </c>
      <c r="B1115" s="10" t="s">
        <v>313</v>
      </c>
      <c r="C1115" s="10" t="s">
        <v>47</v>
      </c>
      <c r="D1115" s="10">
        <v>67207</v>
      </c>
      <c r="E1115" s="10" t="s">
        <v>6</v>
      </c>
      <c r="F1115" s="10">
        <v>1752</v>
      </c>
    </row>
    <row r="1116" spans="1:6" x14ac:dyDescent="0.2">
      <c r="A1116" s="10" t="s">
        <v>309</v>
      </c>
      <c r="B1116" s="10" t="s">
        <v>313</v>
      </c>
      <c r="C1116" s="10" t="s">
        <v>47</v>
      </c>
      <c r="D1116" s="10">
        <v>67226</v>
      </c>
      <c r="E1116" s="10" t="s">
        <v>8</v>
      </c>
      <c r="F1116" s="10">
        <v>458</v>
      </c>
    </row>
    <row r="1117" spans="1:6" x14ac:dyDescent="0.2">
      <c r="A1117" s="10" t="s">
        <v>309</v>
      </c>
      <c r="B1117" s="10" t="s">
        <v>313</v>
      </c>
      <c r="C1117" s="10" t="s">
        <v>47</v>
      </c>
      <c r="D1117" s="10">
        <v>67209</v>
      </c>
      <c r="E1117" s="10" t="s">
        <v>6</v>
      </c>
      <c r="F1117" s="10">
        <v>2600</v>
      </c>
    </row>
    <row r="1118" spans="1:6" x14ac:dyDescent="0.2">
      <c r="A1118" s="10" t="s">
        <v>309</v>
      </c>
      <c r="B1118" s="10" t="s">
        <v>144</v>
      </c>
      <c r="C1118" s="10" t="s">
        <v>47</v>
      </c>
      <c r="D1118" s="10">
        <v>66046</v>
      </c>
      <c r="E1118" s="10" t="s">
        <v>6</v>
      </c>
      <c r="F1118" s="10">
        <v>2281</v>
      </c>
    </row>
    <row r="1119" spans="1:6" x14ac:dyDescent="0.2">
      <c r="A1119" s="10" t="s">
        <v>315</v>
      </c>
      <c r="B1119" s="10" t="s">
        <v>62</v>
      </c>
      <c r="C1119" s="10" t="s">
        <v>45</v>
      </c>
      <c r="D1119" s="10">
        <v>40475</v>
      </c>
      <c r="E1119" s="10" t="s">
        <v>6</v>
      </c>
      <c r="F1119" s="10">
        <v>1859</v>
      </c>
    </row>
    <row r="1120" spans="1:6" x14ac:dyDescent="0.2">
      <c r="A1120" s="10" t="s">
        <v>315</v>
      </c>
      <c r="B1120" s="10" t="s">
        <v>316</v>
      </c>
      <c r="C1120" s="10" t="s">
        <v>45</v>
      </c>
      <c r="D1120" s="10">
        <v>40741</v>
      </c>
      <c r="E1120" s="10" t="s">
        <v>6</v>
      </c>
      <c r="F1120" s="10">
        <v>4422</v>
      </c>
    </row>
    <row r="1121" spans="1:6" x14ac:dyDescent="0.2">
      <c r="A1121" s="10" t="s">
        <v>315</v>
      </c>
      <c r="B1121" s="10" t="s">
        <v>317</v>
      </c>
      <c r="C1121" s="10" t="s">
        <v>45</v>
      </c>
      <c r="D1121" s="10">
        <v>42071</v>
      </c>
      <c r="E1121" s="10" t="s">
        <v>6</v>
      </c>
      <c r="F1121" s="10">
        <v>454</v>
      </c>
    </row>
    <row r="1122" spans="1:6" x14ac:dyDescent="0.2">
      <c r="A1122" s="10" t="s">
        <v>315</v>
      </c>
      <c r="B1122" s="10" t="s">
        <v>318</v>
      </c>
      <c r="C1122" s="10" t="s">
        <v>45</v>
      </c>
      <c r="D1122" s="10">
        <v>41042</v>
      </c>
      <c r="E1122" s="10" t="s">
        <v>5</v>
      </c>
      <c r="F1122" s="10">
        <v>1778</v>
      </c>
    </row>
    <row r="1123" spans="1:6" x14ac:dyDescent="0.2">
      <c r="A1123" s="10" t="s">
        <v>315</v>
      </c>
      <c r="B1123" s="10" t="s">
        <v>318</v>
      </c>
      <c r="C1123" s="10" t="s">
        <v>45</v>
      </c>
      <c r="D1123" s="10">
        <v>41042</v>
      </c>
      <c r="E1123" s="10" t="s">
        <v>6</v>
      </c>
      <c r="F1123" s="10">
        <v>2438</v>
      </c>
    </row>
    <row r="1124" spans="1:6" x14ac:dyDescent="0.2">
      <c r="A1124" s="10" t="s">
        <v>315</v>
      </c>
      <c r="B1124" s="10" t="s">
        <v>319</v>
      </c>
      <c r="C1124" s="10" t="s">
        <v>45</v>
      </c>
      <c r="D1124" s="10">
        <v>41501</v>
      </c>
      <c r="E1124" s="10" t="s">
        <v>5</v>
      </c>
      <c r="F1124" s="10">
        <v>2228</v>
      </c>
    </row>
    <row r="1125" spans="1:6" x14ac:dyDescent="0.2">
      <c r="A1125" s="10" t="s">
        <v>315</v>
      </c>
      <c r="B1125" s="10" t="s">
        <v>75</v>
      </c>
      <c r="C1125" s="10" t="s">
        <v>46</v>
      </c>
      <c r="D1125" s="10">
        <v>40241</v>
      </c>
      <c r="E1125" s="10" t="s">
        <v>7</v>
      </c>
      <c r="F1125" s="10">
        <v>1673</v>
      </c>
    </row>
    <row r="1126" spans="1:6" x14ac:dyDescent="0.2">
      <c r="A1126" s="10" t="s">
        <v>315</v>
      </c>
      <c r="B1126" s="10" t="s">
        <v>75</v>
      </c>
      <c r="C1126" s="10" t="s">
        <v>46</v>
      </c>
      <c r="D1126" s="10">
        <v>40207</v>
      </c>
      <c r="E1126" s="10" t="s">
        <v>10</v>
      </c>
      <c r="F1126" s="10">
        <v>166</v>
      </c>
    </row>
    <row r="1127" spans="1:6" x14ac:dyDescent="0.2">
      <c r="A1127" s="10" t="s">
        <v>315</v>
      </c>
      <c r="B1127" s="10" t="s">
        <v>75</v>
      </c>
      <c r="C1127" s="10" t="s">
        <v>46</v>
      </c>
      <c r="D1127" s="10">
        <v>40258</v>
      </c>
      <c r="E1127" s="10" t="s">
        <v>5</v>
      </c>
      <c r="F1127" s="10">
        <v>176</v>
      </c>
    </row>
    <row r="1128" spans="1:6" x14ac:dyDescent="0.2">
      <c r="A1128" s="10" t="s">
        <v>315</v>
      </c>
      <c r="B1128" s="10" t="s">
        <v>75</v>
      </c>
      <c r="C1128" s="10" t="s">
        <v>46</v>
      </c>
      <c r="D1128" s="10">
        <v>40220</v>
      </c>
      <c r="E1128" s="10" t="s">
        <v>5</v>
      </c>
      <c r="F1128" s="10">
        <v>3624</v>
      </c>
    </row>
    <row r="1129" spans="1:6" x14ac:dyDescent="0.2">
      <c r="A1129" s="10" t="s">
        <v>315</v>
      </c>
      <c r="B1129" s="10" t="s">
        <v>75</v>
      </c>
      <c r="C1129" s="10" t="s">
        <v>46</v>
      </c>
      <c r="D1129" s="10">
        <v>40207</v>
      </c>
      <c r="E1129" s="10" t="s">
        <v>6</v>
      </c>
      <c r="F1129" s="10">
        <v>2918</v>
      </c>
    </row>
    <row r="1130" spans="1:6" x14ac:dyDescent="0.2">
      <c r="A1130" s="10" t="s">
        <v>315</v>
      </c>
      <c r="B1130" s="10" t="s">
        <v>320</v>
      </c>
      <c r="C1130" s="10" t="s">
        <v>46</v>
      </c>
      <c r="D1130" s="10">
        <v>42701</v>
      </c>
      <c r="E1130" s="10" t="s">
        <v>5</v>
      </c>
      <c r="F1130" s="10">
        <v>1305</v>
      </c>
    </row>
    <row r="1131" spans="1:6" x14ac:dyDescent="0.2">
      <c r="A1131" s="10" t="s">
        <v>315</v>
      </c>
      <c r="B1131" s="10" t="s">
        <v>230</v>
      </c>
      <c r="C1131" s="10" t="s">
        <v>46</v>
      </c>
      <c r="D1131" s="10">
        <v>40509</v>
      </c>
      <c r="E1131" s="10" t="s">
        <v>6</v>
      </c>
      <c r="F1131" s="10">
        <v>1006</v>
      </c>
    </row>
    <row r="1132" spans="1:6" x14ac:dyDescent="0.2">
      <c r="A1132" s="10" t="s">
        <v>315</v>
      </c>
      <c r="B1132" s="10" t="s">
        <v>230</v>
      </c>
      <c r="C1132" s="10" t="s">
        <v>46</v>
      </c>
      <c r="D1132" s="10">
        <v>40509</v>
      </c>
      <c r="E1132" s="10" t="s">
        <v>5</v>
      </c>
      <c r="F1132" s="10">
        <v>1021</v>
      </c>
    </row>
    <row r="1133" spans="1:6" x14ac:dyDescent="0.2">
      <c r="A1133" s="10" t="s">
        <v>315</v>
      </c>
      <c r="B1133" s="10" t="s">
        <v>230</v>
      </c>
      <c r="C1133" s="10" t="s">
        <v>46</v>
      </c>
      <c r="D1133" s="10">
        <v>40504</v>
      </c>
      <c r="E1133" s="10" t="s">
        <v>5</v>
      </c>
      <c r="F1133" s="10">
        <v>1447</v>
      </c>
    </row>
    <row r="1134" spans="1:6" x14ac:dyDescent="0.2">
      <c r="A1134" s="10" t="s">
        <v>315</v>
      </c>
      <c r="B1134" s="10" t="s">
        <v>230</v>
      </c>
      <c r="C1134" s="10" t="s">
        <v>46</v>
      </c>
      <c r="D1134" s="10">
        <v>40503</v>
      </c>
      <c r="E1134" s="10" t="s">
        <v>6</v>
      </c>
      <c r="F1134" s="10">
        <v>2157</v>
      </c>
    </row>
    <row r="1135" spans="1:6" x14ac:dyDescent="0.2">
      <c r="A1135" s="10" t="s">
        <v>315</v>
      </c>
      <c r="B1135" s="10" t="s">
        <v>75</v>
      </c>
      <c r="C1135" s="10" t="s">
        <v>46</v>
      </c>
      <c r="D1135" s="10">
        <v>40205</v>
      </c>
      <c r="E1135" s="10" t="s">
        <v>5</v>
      </c>
      <c r="F1135" s="10">
        <v>2793</v>
      </c>
    </row>
    <row r="1136" spans="1:6" x14ac:dyDescent="0.2">
      <c r="A1136" s="10" t="s">
        <v>315</v>
      </c>
      <c r="B1136" s="10" t="s">
        <v>75</v>
      </c>
      <c r="C1136" s="10" t="s">
        <v>46</v>
      </c>
      <c r="D1136" s="10">
        <v>40219</v>
      </c>
      <c r="E1136" s="10" t="s">
        <v>6</v>
      </c>
      <c r="F1136" s="10">
        <v>705</v>
      </c>
    </row>
    <row r="1137" spans="1:6" x14ac:dyDescent="0.2">
      <c r="A1137" s="10" t="s">
        <v>315</v>
      </c>
      <c r="B1137" s="10" t="s">
        <v>321</v>
      </c>
      <c r="C1137" s="10" t="s">
        <v>46</v>
      </c>
      <c r="D1137" s="10">
        <v>42301</v>
      </c>
      <c r="E1137" s="10" t="s">
        <v>6</v>
      </c>
      <c r="F1137" s="10">
        <v>1104</v>
      </c>
    </row>
    <row r="1138" spans="1:6" x14ac:dyDescent="0.2">
      <c r="A1138" s="10" t="s">
        <v>315</v>
      </c>
      <c r="B1138" s="10" t="s">
        <v>322</v>
      </c>
      <c r="C1138" s="10" t="s">
        <v>47</v>
      </c>
      <c r="D1138" s="10">
        <v>41017</v>
      </c>
      <c r="E1138" s="10" t="s">
        <v>5</v>
      </c>
      <c r="F1138" s="10">
        <v>1002</v>
      </c>
    </row>
    <row r="1139" spans="1:6" x14ac:dyDescent="0.2">
      <c r="A1139" s="10" t="s">
        <v>315</v>
      </c>
      <c r="B1139" s="10" t="s">
        <v>323</v>
      </c>
      <c r="C1139" s="10" t="s">
        <v>47</v>
      </c>
      <c r="D1139" s="10">
        <v>41076</v>
      </c>
      <c r="E1139" s="10" t="s">
        <v>5</v>
      </c>
      <c r="F1139" s="10">
        <v>2322</v>
      </c>
    </row>
    <row r="1140" spans="1:6" x14ac:dyDescent="0.2">
      <c r="A1140" s="10" t="s">
        <v>315</v>
      </c>
      <c r="B1140" s="10" t="s">
        <v>89</v>
      </c>
      <c r="C1140" s="10" t="s">
        <v>47</v>
      </c>
      <c r="D1140" s="10">
        <v>42501</v>
      </c>
      <c r="E1140" s="10" t="s">
        <v>6</v>
      </c>
      <c r="F1140" s="10">
        <v>1420</v>
      </c>
    </row>
    <row r="1141" spans="1:6" x14ac:dyDescent="0.2">
      <c r="A1141" s="10" t="s">
        <v>315</v>
      </c>
      <c r="B1141" s="10" t="s">
        <v>324</v>
      </c>
      <c r="C1141" s="10" t="s">
        <v>47</v>
      </c>
      <c r="D1141" s="10">
        <v>42240</v>
      </c>
      <c r="E1141" s="10" t="s">
        <v>7</v>
      </c>
      <c r="F1141" s="10">
        <v>1343</v>
      </c>
    </row>
    <row r="1142" spans="1:6" x14ac:dyDescent="0.2">
      <c r="A1142" s="10" t="s">
        <v>315</v>
      </c>
      <c r="B1142" s="10" t="s">
        <v>325</v>
      </c>
      <c r="C1142" s="10" t="s">
        <v>47</v>
      </c>
      <c r="D1142" s="10">
        <v>41101</v>
      </c>
      <c r="E1142" s="10" t="s">
        <v>7</v>
      </c>
      <c r="F1142" s="10">
        <v>1976</v>
      </c>
    </row>
    <row r="1143" spans="1:6" x14ac:dyDescent="0.2">
      <c r="A1143" s="10" t="s">
        <v>315</v>
      </c>
      <c r="B1143" s="10" t="s">
        <v>326</v>
      </c>
      <c r="C1143" s="10" t="s">
        <v>47</v>
      </c>
      <c r="D1143" s="10">
        <v>42104</v>
      </c>
      <c r="E1143" s="10" t="s">
        <v>5</v>
      </c>
      <c r="F1143" s="10">
        <v>2439</v>
      </c>
    </row>
    <row r="1144" spans="1:6" x14ac:dyDescent="0.2">
      <c r="A1144" s="10" t="s">
        <v>315</v>
      </c>
      <c r="B1144" s="10" t="s">
        <v>327</v>
      </c>
      <c r="C1144" s="10" t="s">
        <v>47</v>
      </c>
      <c r="D1144" s="10">
        <v>42001</v>
      </c>
      <c r="E1144" s="10" t="s">
        <v>6</v>
      </c>
      <c r="F1144" s="10">
        <v>1818</v>
      </c>
    </row>
    <row r="1145" spans="1:6" x14ac:dyDescent="0.2">
      <c r="A1145" s="10" t="s">
        <v>315</v>
      </c>
      <c r="B1145" s="10" t="s">
        <v>328</v>
      </c>
      <c r="C1145" s="10" t="s">
        <v>47</v>
      </c>
      <c r="D1145" s="10">
        <v>40601</v>
      </c>
      <c r="E1145" s="10" t="s">
        <v>5</v>
      </c>
      <c r="F1145" s="10">
        <v>1093</v>
      </c>
    </row>
    <row r="1146" spans="1:6" x14ac:dyDescent="0.2">
      <c r="A1146" s="10" t="s">
        <v>329</v>
      </c>
      <c r="B1146" s="10" t="s">
        <v>330</v>
      </c>
      <c r="C1146" s="10" t="s">
        <v>45</v>
      </c>
      <c r="D1146" s="10">
        <v>71301</v>
      </c>
      <c r="E1146" s="10" t="s">
        <v>6</v>
      </c>
      <c r="F1146" s="10">
        <v>1306</v>
      </c>
    </row>
    <row r="1147" spans="1:6" x14ac:dyDescent="0.2">
      <c r="A1147" s="10" t="s">
        <v>329</v>
      </c>
      <c r="B1147" s="10" t="s">
        <v>331</v>
      </c>
      <c r="C1147" s="10" t="s">
        <v>45</v>
      </c>
      <c r="D1147" s="10">
        <v>70058</v>
      </c>
      <c r="E1147" s="10" t="s">
        <v>6</v>
      </c>
      <c r="F1147" s="10">
        <v>2708</v>
      </c>
    </row>
    <row r="1148" spans="1:6" x14ac:dyDescent="0.2">
      <c r="A1148" s="10" t="s">
        <v>329</v>
      </c>
      <c r="B1148" s="10" t="s">
        <v>331</v>
      </c>
      <c r="C1148" s="10" t="s">
        <v>45</v>
      </c>
      <c r="D1148" s="10">
        <v>70005</v>
      </c>
      <c r="E1148" s="10" t="s">
        <v>6</v>
      </c>
      <c r="F1148" s="10">
        <v>4614</v>
      </c>
    </row>
    <row r="1149" spans="1:6" x14ac:dyDescent="0.2">
      <c r="A1149" s="10" t="s">
        <v>329</v>
      </c>
      <c r="B1149" s="10" t="s">
        <v>332</v>
      </c>
      <c r="C1149" s="10" t="s">
        <v>45</v>
      </c>
      <c r="D1149" s="10">
        <v>70791</v>
      </c>
      <c r="E1149" s="10" t="s">
        <v>6</v>
      </c>
      <c r="F1149" s="10">
        <v>478</v>
      </c>
    </row>
    <row r="1150" spans="1:6" x14ac:dyDescent="0.2">
      <c r="A1150" s="10" t="s">
        <v>329</v>
      </c>
      <c r="B1150" s="10" t="s">
        <v>333</v>
      </c>
      <c r="C1150" s="10" t="s">
        <v>45</v>
      </c>
      <c r="D1150" s="10">
        <v>71108</v>
      </c>
      <c r="E1150" s="10" t="s">
        <v>6</v>
      </c>
      <c r="F1150" s="10">
        <v>1038</v>
      </c>
    </row>
    <row r="1151" spans="1:6" x14ac:dyDescent="0.2">
      <c r="A1151" s="10" t="s">
        <v>329</v>
      </c>
      <c r="B1151" s="10" t="s">
        <v>334</v>
      </c>
      <c r="C1151" s="10" t="s">
        <v>45</v>
      </c>
      <c r="D1151" s="10">
        <v>70130</v>
      </c>
      <c r="E1151" s="10" t="s">
        <v>6</v>
      </c>
      <c r="F1151" s="10">
        <v>1415</v>
      </c>
    </row>
    <row r="1152" spans="1:6" x14ac:dyDescent="0.2">
      <c r="A1152" s="10" t="s">
        <v>329</v>
      </c>
      <c r="B1152" s="10" t="s">
        <v>334</v>
      </c>
      <c r="C1152" s="10" t="s">
        <v>45</v>
      </c>
      <c r="D1152" s="10">
        <v>70119</v>
      </c>
      <c r="E1152" s="10" t="s">
        <v>6</v>
      </c>
      <c r="F1152" s="10">
        <v>1669</v>
      </c>
    </row>
    <row r="1153" spans="1:6" x14ac:dyDescent="0.2">
      <c r="A1153" s="10" t="s">
        <v>329</v>
      </c>
      <c r="B1153" s="10" t="s">
        <v>335</v>
      </c>
      <c r="C1153" s="10" t="s">
        <v>45</v>
      </c>
      <c r="D1153" s="10">
        <v>71270</v>
      </c>
      <c r="E1153" s="10" t="s">
        <v>6</v>
      </c>
      <c r="F1153" s="10">
        <v>782</v>
      </c>
    </row>
    <row r="1154" spans="1:6" x14ac:dyDescent="0.2">
      <c r="A1154" s="10" t="s">
        <v>329</v>
      </c>
      <c r="B1154" s="10" t="s">
        <v>331</v>
      </c>
      <c r="C1154" s="10" t="s">
        <v>45</v>
      </c>
      <c r="D1154" s="10">
        <v>70003</v>
      </c>
      <c r="E1154" s="10" t="s">
        <v>6</v>
      </c>
      <c r="F1154" s="10">
        <v>2462</v>
      </c>
    </row>
    <row r="1155" spans="1:6" x14ac:dyDescent="0.2">
      <c r="A1155" s="10" t="s">
        <v>329</v>
      </c>
      <c r="B1155" s="10" t="s">
        <v>331</v>
      </c>
      <c r="C1155" s="10" t="s">
        <v>45</v>
      </c>
      <c r="D1155" s="10">
        <v>70065</v>
      </c>
      <c r="E1155" s="10" t="s">
        <v>6</v>
      </c>
      <c r="F1155" s="10">
        <v>988</v>
      </c>
    </row>
    <row r="1156" spans="1:6" x14ac:dyDescent="0.2">
      <c r="A1156" s="10" t="s">
        <v>329</v>
      </c>
      <c r="B1156" s="10" t="s">
        <v>331</v>
      </c>
      <c r="C1156" s="10" t="s">
        <v>45</v>
      </c>
      <c r="D1156" s="10">
        <v>70072</v>
      </c>
      <c r="E1156" s="10" t="s">
        <v>6</v>
      </c>
      <c r="F1156" s="10">
        <v>2211</v>
      </c>
    </row>
    <row r="1157" spans="1:6" x14ac:dyDescent="0.2">
      <c r="A1157" s="10" t="s">
        <v>329</v>
      </c>
      <c r="B1157" s="10" t="s">
        <v>332</v>
      </c>
      <c r="C1157" s="10" t="s">
        <v>45</v>
      </c>
      <c r="D1157" s="10">
        <v>70815</v>
      </c>
      <c r="E1157" s="10" t="s">
        <v>6</v>
      </c>
      <c r="F1157" s="10">
        <v>1995</v>
      </c>
    </row>
    <row r="1158" spans="1:6" x14ac:dyDescent="0.2">
      <c r="A1158" s="10" t="s">
        <v>329</v>
      </c>
      <c r="B1158" s="10" t="s">
        <v>336</v>
      </c>
      <c r="C1158" s="10" t="s">
        <v>45</v>
      </c>
      <c r="D1158" s="10">
        <v>71111</v>
      </c>
      <c r="E1158" s="10" t="s">
        <v>6</v>
      </c>
      <c r="F1158" s="10">
        <v>2826</v>
      </c>
    </row>
    <row r="1159" spans="1:6" x14ac:dyDescent="0.2">
      <c r="A1159" s="10" t="s">
        <v>329</v>
      </c>
      <c r="B1159" s="10" t="s">
        <v>332</v>
      </c>
      <c r="C1159" s="10" t="s">
        <v>45</v>
      </c>
      <c r="D1159" s="10">
        <v>70810</v>
      </c>
      <c r="E1159" s="10" t="s">
        <v>6</v>
      </c>
      <c r="F1159" s="10">
        <v>2814</v>
      </c>
    </row>
    <row r="1160" spans="1:6" x14ac:dyDescent="0.2">
      <c r="A1160" s="10" t="s">
        <v>329</v>
      </c>
      <c r="B1160" s="10" t="s">
        <v>332</v>
      </c>
      <c r="C1160" s="10" t="s">
        <v>45</v>
      </c>
      <c r="D1160" s="10">
        <v>70809</v>
      </c>
      <c r="E1160" s="10" t="s">
        <v>6</v>
      </c>
      <c r="F1160" s="10">
        <v>3290</v>
      </c>
    </row>
    <row r="1161" spans="1:6" x14ac:dyDescent="0.2">
      <c r="A1161" s="10" t="s">
        <v>329</v>
      </c>
      <c r="B1161" s="10" t="s">
        <v>337</v>
      </c>
      <c r="C1161" s="10" t="s">
        <v>45</v>
      </c>
      <c r="D1161" s="10">
        <v>70401</v>
      </c>
      <c r="E1161" s="10" t="s">
        <v>6</v>
      </c>
      <c r="F1161" s="10">
        <v>2785</v>
      </c>
    </row>
    <row r="1162" spans="1:6" x14ac:dyDescent="0.2">
      <c r="A1162" s="10" t="s">
        <v>329</v>
      </c>
      <c r="B1162" s="10" t="s">
        <v>332</v>
      </c>
      <c r="C1162" s="10" t="s">
        <v>45</v>
      </c>
      <c r="D1162" s="10">
        <v>70808</v>
      </c>
      <c r="E1162" s="10" t="s">
        <v>6</v>
      </c>
      <c r="F1162" s="10">
        <v>4598</v>
      </c>
    </row>
    <row r="1163" spans="1:6" x14ac:dyDescent="0.2">
      <c r="A1163" s="10" t="s">
        <v>329</v>
      </c>
      <c r="B1163" s="10" t="s">
        <v>331</v>
      </c>
      <c r="C1163" s="10" t="s">
        <v>45</v>
      </c>
      <c r="D1163" s="10">
        <v>70123</v>
      </c>
      <c r="E1163" s="10" t="s">
        <v>7</v>
      </c>
      <c r="F1163" s="10">
        <v>1649</v>
      </c>
    </row>
    <row r="1164" spans="1:6" x14ac:dyDescent="0.2">
      <c r="A1164" s="10" t="s">
        <v>329</v>
      </c>
      <c r="B1164" s="10" t="s">
        <v>333</v>
      </c>
      <c r="C1164" s="10" t="s">
        <v>45</v>
      </c>
      <c r="D1164" s="10">
        <v>71105</v>
      </c>
      <c r="E1164" s="10" t="s">
        <v>6</v>
      </c>
      <c r="F1164" s="10">
        <v>1436</v>
      </c>
    </row>
    <row r="1165" spans="1:6" x14ac:dyDescent="0.2">
      <c r="A1165" s="10" t="s">
        <v>329</v>
      </c>
      <c r="B1165" s="10" t="s">
        <v>332</v>
      </c>
      <c r="C1165" s="10" t="s">
        <v>45</v>
      </c>
      <c r="D1165" s="10">
        <v>70816</v>
      </c>
      <c r="E1165" s="10" t="s">
        <v>6</v>
      </c>
      <c r="F1165" s="10">
        <v>437</v>
      </c>
    </row>
    <row r="1166" spans="1:6" x14ac:dyDescent="0.2">
      <c r="A1166" s="10" t="s">
        <v>329</v>
      </c>
      <c r="B1166" s="10" t="s">
        <v>338</v>
      </c>
      <c r="C1166" s="10" t="s">
        <v>46</v>
      </c>
      <c r="D1166" s="10">
        <v>70458</v>
      </c>
      <c r="E1166" s="10" t="s">
        <v>6</v>
      </c>
      <c r="F1166" s="10">
        <v>1937</v>
      </c>
    </row>
    <row r="1167" spans="1:6" x14ac:dyDescent="0.2">
      <c r="A1167" s="10" t="s">
        <v>329</v>
      </c>
      <c r="B1167" s="10" t="s">
        <v>338</v>
      </c>
      <c r="C1167" s="10" t="s">
        <v>46</v>
      </c>
      <c r="D1167" s="10">
        <v>70471</v>
      </c>
      <c r="E1167" s="10" t="s">
        <v>6</v>
      </c>
      <c r="F1167" s="10">
        <v>2092</v>
      </c>
    </row>
    <row r="1168" spans="1:6" x14ac:dyDescent="0.2">
      <c r="A1168" s="10" t="s">
        <v>329</v>
      </c>
      <c r="B1168" s="10" t="s">
        <v>338</v>
      </c>
      <c r="C1168" s="10" t="s">
        <v>46</v>
      </c>
      <c r="D1168" s="10">
        <v>70433</v>
      </c>
      <c r="E1168" s="10" t="s">
        <v>6</v>
      </c>
      <c r="F1168" s="10">
        <v>2381</v>
      </c>
    </row>
    <row r="1169" spans="1:6" x14ac:dyDescent="0.2">
      <c r="A1169" s="10" t="s">
        <v>329</v>
      </c>
      <c r="B1169" s="10" t="s">
        <v>339</v>
      </c>
      <c r="C1169" s="10" t="s">
        <v>46</v>
      </c>
      <c r="D1169" s="10">
        <v>70301</v>
      </c>
      <c r="E1169" s="10" t="s">
        <v>6</v>
      </c>
      <c r="F1169" s="10">
        <v>566</v>
      </c>
    </row>
    <row r="1170" spans="1:6" x14ac:dyDescent="0.2">
      <c r="A1170" s="10" t="s">
        <v>329</v>
      </c>
      <c r="B1170" s="10" t="s">
        <v>340</v>
      </c>
      <c r="C1170" s="10" t="s">
        <v>46</v>
      </c>
      <c r="D1170" s="10">
        <v>70068</v>
      </c>
      <c r="E1170" s="10" t="s">
        <v>6</v>
      </c>
      <c r="F1170" s="10">
        <v>1063</v>
      </c>
    </row>
    <row r="1171" spans="1:6" x14ac:dyDescent="0.2">
      <c r="A1171" s="10" t="s">
        <v>329</v>
      </c>
      <c r="B1171" s="10" t="s">
        <v>341</v>
      </c>
      <c r="C1171" s="10" t="s">
        <v>46</v>
      </c>
      <c r="D1171" s="10">
        <v>70737</v>
      </c>
      <c r="E1171" s="10" t="s">
        <v>6</v>
      </c>
      <c r="F1171" s="10">
        <v>3465</v>
      </c>
    </row>
    <row r="1172" spans="1:6" x14ac:dyDescent="0.2">
      <c r="A1172" s="10" t="s">
        <v>329</v>
      </c>
      <c r="B1172" s="10" t="s">
        <v>342</v>
      </c>
      <c r="C1172" s="10" t="s">
        <v>47</v>
      </c>
      <c r="D1172" s="10">
        <v>70503</v>
      </c>
      <c r="E1172" s="10" t="s">
        <v>6</v>
      </c>
      <c r="F1172" s="10">
        <v>3295</v>
      </c>
    </row>
    <row r="1173" spans="1:6" x14ac:dyDescent="0.2">
      <c r="A1173" s="10" t="s">
        <v>329</v>
      </c>
      <c r="B1173" s="10" t="s">
        <v>343</v>
      </c>
      <c r="C1173" s="10" t="s">
        <v>47</v>
      </c>
      <c r="D1173" s="10">
        <v>71291</v>
      </c>
      <c r="E1173" s="10" t="s">
        <v>6</v>
      </c>
      <c r="F1173" s="10">
        <v>2201</v>
      </c>
    </row>
    <row r="1174" spans="1:6" x14ac:dyDescent="0.2">
      <c r="A1174" s="10" t="s">
        <v>329</v>
      </c>
      <c r="B1174" s="10" t="s">
        <v>342</v>
      </c>
      <c r="C1174" s="10" t="s">
        <v>47</v>
      </c>
      <c r="D1174" s="10">
        <v>70501</v>
      </c>
      <c r="E1174" s="10" t="s">
        <v>6</v>
      </c>
      <c r="F1174" s="10">
        <v>3528</v>
      </c>
    </row>
    <row r="1175" spans="1:6" x14ac:dyDescent="0.2">
      <c r="A1175" s="10" t="s">
        <v>329</v>
      </c>
      <c r="B1175" s="10" t="s">
        <v>344</v>
      </c>
      <c r="C1175" s="10" t="s">
        <v>47</v>
      </c>
      <c r="D1175" s="10">
        <v>70560</v>
      </c>
      <c r="E1175" s="10" t="s">
        <v>6</v>
      </c>
      <c r="F1175" s="10">
        <v>814</v>
      </c>
    </row>
    <row r="1176" spans="1:6" x14ac:dyDescent="0.2">
      <c r="A1176" s="10" t="s">
        <v>329</v>
      </c>
      <c r="B1176" s="10" t="s">
        <v>342</v>
      </c>
      <c r="C1176" s="10" t="s">
        <v>47</v>
      </c>
      <c r="D1176" s="10">
        <v>70508</v>
      </c>
      <c r="E1176" s="10" t="s">
        <v>6</v>
      </c>
      <c r="F1176" s="10">
        <v>2369</v>
      </c>
    </row>
    <row r="1177" spans="1:6" x14ac:dyDescent="0.2">
      <c r="A1177" s="10" t="s">
        <v>329</v>
      </c>
      <c r="B1177" s="10" t="s">
        <v>345</v>
      </c>
      <c r="C1177" s="10" t="s">
        <v>47</v>
      </c>
      <c r="D1177" s="10">
        <v>70360</v>
      </c>
      <c r="E1177" s="10" t="s">
        <v>8</v>
      </c>
      <c r="F1177" s="10">
        <v>636</v>
      </c>
    </row>
    <row r="1178" spans="1:6" x14ac:dyDescent="0.2">
      <c r="A1178" s="10" t="s">
        <v>329</v>
      </c>
      <c r="B1178" s="10" t="s">
        <v>345</v>
      </c>
      <c r="C1178" s="10" t="s">
        <v>47</v>
      </c>
      <c r="D1178" s="10">
        <v>70360</v>
      </c>
      <c r="E1178" s="10" t="s">
        <v>6</v>
      </c>
      <c r="F1178" s="10">
        <v>4067</v>
      </c>
    </row>
    <row r="1179" spans="1:6" x14ac:dyDescent="0.2">
      <c r="A1179" s="10" t="s">
        <v>329</v>
      </c>
      <c r="B1179" s="10" t="s">
        <v>342</v>
      </c>
      <c r="C1179" s="10" t="s">
        <v>47</v>
      </c>
      <c r="D1179" s="10">
        <v>70503</v>
      </c>
      <c r="E1179" s="10" t="s">
        <v>8</v>
      </c>
      <c r="F1179" s="10">
        <v>928</v>
      </c>
    </row>
    <row r="1180" spans="1:6" x14ac:dyDescent="0.2">
      <c r="A1180" s="10" t="s">
        <v>329</v>
      </c>
      <c r="B1180" s="10" t="s">
        <v>346</v>
      </c>
      <c r="C1180" s="10" t="s">
        <v>47</v>
      </c>
      <c r="D1180" s="10">
        <v>70615</v>
      </c>
      <c r="E1180" s="10" t="s">
        <v>6</v>
      </c>
      <c r="F1180" s="10">
        <v>1146</v>
      </c>
    </row>
    <row r="1181" spans="1:6" x14ac:dyDescent="0.2">
      <c r="A1181" s="10" t="s">
        <v>329</v>
      </c>
      <c r="B1181" s="10" t="s">
        <v>347</v>
      </c>
      <c r="C1181" s="10" t="s">
        <v>47</v>
      </c>
      <c r="D1181" s="10">
        <v>70726</v>
      </c>
      <c r="E1181" s="10" t="s">
        <v>6</v>
      </c>
      <c r="F1181" s="10">
        <v>2108</v>
      </c>
    </row>
    <row r="1182" spans="1:6" x14ac:dyDescent="0.2">
      <c r="A1182" s="10" t="s">
        <v>329</v>
      </c>
      <c r="B1182" s="10" t="s">
        <v>343</v>
      </c>
      <c r="C1182" s="10" t="s">
        <v>47</v>
      </c>
      <c r="D1182" s="10">
        <v>71201</v>
      </c>
      <c r="E1182" s="10" t="s">
        <v>6</v>
      </c>
      <c r="F1182" s="10">
        <v>2114</v>
      </c>
    </row>
    <row r="1183" spans="1:6" x14ac:dyDescent="0.2">
      <c r="A1183" s="10" t="s">
        <v>329</v>
      </c>
      <c r="B1183" s="10" t="s">
        <v>346</v>
      </c>
      <c r="C1183" s="10" t="s">
        <v>47</v>
      </c>
      <c r="D1183" s="10">
        <v>70601</v>
      </c>
      <c r="E1183" s="10" t="s">
        <v>6</v>
      </c>
      <c r="F1183" s="10">
        <v>2257</v>
      </c>
    </row>
    <row r="1184" spans="1:6" x14ac:dyDescent="0.2">
      <c r="A1184" s="10" t="s">
        <v>348</v>
      </c>
      <c r="B1184" s="10" t="s">
        <v>157</v>
      </c>
      <c r="C1184" s="10" t="s">
        <v>45</v>
      </c>
      <c r="D1184" s="10">
        <v>2145</v>
      </c>
      <c r="E1184" s="10" t="s">
        <v>5</v>
      </c>
      <c r="F1184" s="10">
        <v>2891</v>
      </c>
    </row>
    <row r="1185" spans="1:6" x14ac:dyDescent="0.2">
      <c r="A1185" s="10" t="s">
        <v>348</v>
      </c>
      <c r="B1185" s="10" t="s">
        <v>157</v>
      </c>
      <c r="C1185" s="10" t="s">
        <v>45</v>
      </c>
      <c r="D1185" s="10">
        <v>1803</v>
      </c>
      <c r="E1185" s="10" t="s">
        <v>5</v>
      </c>
      <c r="F1185" s="10">
        <v>75</v>
      </c>
    </row>
    <row r="1186" spans="1:6" x14ac:dyDescent="0.2">
      <c r="A1186" s="10" t="s">
        <v>348</v>
      </c>
      <c r="B1186" s="10" t="s">
        <v>157</v>
      </c>
      <c r="C1186" s="10" t="s">
        <v>45</v>
      </c>
      <c r="D1186" s="10">
        <v>2140</v>
      </c>
      <c r="E1186" s="10" t="s">
        <v>10</v>
      </c>
      <c r="F1186" s="10">
        <v>522</v>
      </c>
    </row>
    <row r="1187" spans="1:6" x14ac:dyDescent="0.2">
      <c r="A1187" s="10" t="s">
        <v>348</v>
      </c>
      <c r="B1187" s="10" t="s">
        <v>157</v>
      </c>
      <c r="C1187" s="10" t="s">
        <v>45</v>
      </c>
      <c r="D1187" s="10">
        <v>2138</v>
      </c>
      <c r="E1187" s="10" t="s">
        <v>9</v>
      </c>
      <c r="F1187" s="10">
        <v>419</v>
      </c>
    </row>
    <row r="1188" spans="1:6" x14ac:dyDescent="0.2">
      <c r="A1188" s="10" t="s">
        <v>348</v>
      </c>
      <c r="B1188" s="10" t="s">
        <v>157</v>
      </c>
      <c r="C1188" s="10" t="s">
        <v>45</v>
      </c>
      <c r="D1188" s="10">
        <v>1824</v>
      </c>
      <c r="E1188" s="10" t="s">
        <v>5</v>
      </c>
      <c r="F1188" s="10">
        <v>910</v>
      </c>
    </row>
    <row r="1189" spans="1:6" x14ac:dyDescent="0.2">
      <c r="A1189" s="10" t="s">
        <v>348</v>
      </c>
      <c r="B1189" s="10" t="s">
        <v>157</v>
      </c>
      <c r="C1189" s="10" t="s">
        <v>45</v>
      </c>
      <c r="D1189" s="10">
        <v>1803</v>
      </c>
      <c r="E1189" s="10" t="s">
        <v>10</v>
      </c>
      <c r="F1189" s="10">
        <v>713</v>
      </c>
    </row>
    <row r="1190" spans="1:6" x14ac:dyDescent="0.2">
      <c r="A1190" s="10" t="s">
        <v>348</v>
      </c>
      <c r="B1190" s="10" t="s">
        <v>157</v>
      </c>
      <c r="C1190" s="10" t="s">
        <v>45</v>
      </c>
      <c r="D1190" s="10">
        <v>2138</v>
      </c>
      <c r="E1190" s="10" t="s">
        <v>5</v>
      </c>
      <c r="F1190" s="10">
        <v>2161</v>
      </c>
    </row>
    <row r="1191" spans="1:6" x14ac:dyDescent="0.2">
      <c r="A1191" s="10" t="s">
        <v>348</v>
      </c>
      <c r="B1191" s="10" t="s">
        <v>157</v>
      </c>
      <c r="C1191" s="10" t="s">
        <v>45</v>
      </c>
      <c r="D1191" s="10">
        <v>2467</v>
      </c>
      <c r="E1191" s="10" t="s">
        <v>10</v>
      </c>
      <c r="F1191" s="10">
        <v>1248</v>
      </c>
    </row>
    <row r="1192" spans="1:6" x14ac:dyDescent="0.2">
      <c r="A1192" s="10" t="s">
        <v>348</v>
      </c>
      <c r="B1192" s="10" t="s">
        <v>157</v>
      </c>
      <c r="C1192" s="10" t="s">
        <v>45</v>
      </c>
      <c r="D1192" s="10">
        <v>1801</v>
      </c>
      <c r="E1192" s="10" t="s">
        <v>5</v>
      </c>
      <c r="F1192" s="10">
        <v>1107</v>
      </c>
    </row>
    <row r="1193" spans="1:6" x14ac:dyDescent="0.2">
      <c r="A1193" s="10" t="s">
        <v>348</v>
      </c>
      <c r="B1193" s="10" t="s">
        <v>157</v>
      </c>
      <c r="C1193" s="10" t="s">
        <v>45</v>
      </c>
      <c r="D1193" s="10">
        <v>1701</v>
      </c>
      <c r="E1193" s="10" t="s">
        <v>5</v>
      </c>
      <c r="F1193" s="10">
        <v>1905</v>
      </c>
    </row>
    <row r="1194" spans="1:6" x14ac:dyDescent="0.2">
      <c r="A1194" s="10" t="s">
        <v>348</v>
      </c>
      <c r="B1194" s="10" t="s">
        <v>157</v>
      </c>
      <c r="C1194" s="10" t="s">
        <v>45</v>
      </c>
      <c r="D1194" s="10">
        <v>1720</v>
      </c>
      <c r="E1194" s="10" t="s">
        <v>5</v>
      </c>
      <c r="F1194" s="10">
        <v>1066</v>
      </c>
    </row>
    <row r="1195" spans="1:6" x14ac:dyDescent="0.2">
      <c r="A1195" s="10" t="s">
        <v>348</v>
      </c>
      <c r="B1195" s="10" t="s">
        <v>157</v>
      </c>
      <c r="C1195" s="10" t="s">
        <v>45</v>
      </c>
      <c r="D1195" s="10">
        <v>1867</v>
      </c>
      <c r="E1195" s="10" t="s">
        <v>5</v>
      </c>
      <c r="F1195" s="10">
        <v>633</v>
      </c>
    </row>
    <row r="1196" spans="1:6" x14ac:dyDescent="0.2">
      <c r="A1196" s="10" t="s">
        <v>348</v>
      </c>
      <c r="B1196" s="10" t="s">
        <v>349</v>
      </c>
      <c r="C1196" s="10" t="s">
        <v>45</v>
      </c>
      <c r="D1196" s="10">
        <v>2110</v>
      </c>
      <c r="E1196" s="10" t="s">
        <v>9</v>
      </c>
      <c r="F1196" s="10">
        <v>438</v>
      </c>
    </row>
    <row r="1197" spans="1:6" x14ac:dyDescent="0.2">
      <c r="A1197" s="10" t="s">
        <v>348</v>
      </c>
      <c r="B1197" s="10" t="s">
        <v>349</v>
      </c>
      <c r="C1197" s="10" t="s">
        <v>45</v>
      </c>
      <c r="D1197" s="10">
        <v>2108</v>
      </c>
      <c r="E1197" s="10" t="s">
        <v>9</v>
      </c>
      <c r="F1197" s="10">
        <v>105</v>
      </c>
    </row>
    <row r="1198" spans="1:6" x14ac:dyDescent="0.2">
      <c r="A1198" s="10" t="s">
        <v>348</v>
      </c>
      <c r="B1198" s="10" t="s">
        <v>349</v>
      </c>
      <c r="C1198" s="10" t="s">
        <v>45</v>
      </c>
      <c r="D1198" s="10">
        <v>2116</v>
      </c>
      <c r="E1198" s="10" t="s">
        <v>10</v>
      </c>
      <c r="F1198" s="10">
        <v>1123</v>
      </c>
    </row>
    <row r="1199" spans="1:6" x14ac:dyDescent="0.2">
      <c r="A1199" s="10" t="s">
        <v>348</v>
      </c>
      <c r="B1199" s="10" t="s">
        <v>349</v>
      </c>
      <c r="C1199" s="10" t="s">
        <v>45</v>
      </c>
      <c r="D1199" s="10">
        <v>2125</v>
      </c>
      <c r="E1199" s="10" t="s">
        <v>7</v>
      </c>
      <c r="F1199" s="10">
        <v>976</v>
      </c>
    </row>
    <row r="1200" spans="1:6" x14ac:dyDescent="0.2">
      <c r="A1200" s="10" t="s">
        <v>348</v>
      </c>
      <c r="B1200" s="10" t="s">
        <v>349</v>
      </c>
      <c r="C1200" s="10" t="s">
        <v>45</v>
      </c>
      <c r="D1200" s="10">
        <v>2135</v>
      </c>
      <c r="E1200" s="10" t="s">
        <v>5</v>
      </c>
      <c r="F1200" s="10">
        <v>831</v>
      </c>
    </row>
    <row r="1201" spans="1:6" x14ac:dyDescent="0.2">
      <c r="A1201" s="10" t="s">
        <v>348</v>
      </c>
      <c r="B1201" s="10" t="s">
        <v>349</v>
      </c>
      <c r="C1201" s="10" t="s">
        <v>45</v>
      </c>
      <c r="D1201" s="10">
        <v>2199</v>
      </c>
      <c r="E1201" s="10" t="s">
        <v>9</v>
      </c>
      <c r="F1201" s="10">
        <v>1379</v>
      </c>
    </row>
    <row r="1202" spans="1:6" x14ac:dyDescent="0.2">
      <c r="A1202" s="10" t="s">
        <v>348</v>
      </c>
      <c r="B1202" s="10" t="s">
        <v>350</v>
      </c>
      <c r="C1202" s="10" t="s">
        <v>45</v>
      </c>
      <c r="D1202" s="10">
        <v>1035</v>
      </c>
      <c r="E1202" s="10" t="s">
        <v>5</v>
      </c>
      <c r="F1202" s="10">
        <v>823</v>
      </c>
    </row>
    <row r="1203" spans="1:6" x14ac:dyDescent="0.2">
      <c r="A1203" s="10" t="s">
        <v>348</v>
      </c>
      <c r="B1203" s="10" t="s">
        <v>349</v>
      </c>
      <c r="C1203" s="10" t="s">
        <v>45</v>
      </c>
      <c r="D1203" s="10">
        <v>2122</v>
      </c>
      <c r="E1203" s="10" t="s">
        <v>5</v>
      </c>
      <c r="F1203" s="10">
        <v>1370</v>
      </c>
    </row>
    <row r="1204" spans="1:6" x14ac:dyDescent="0.2">
      <c r="A1204" s="10" t="s">
        <v>348</v>
      </c>
      <c r="B1204" s="10" t="s">
        <v>349</v>
      </c>
      <c r="C1204" s="10" t="s">
        <v>45</v>
      </c>
      <c r="D1204" s="10">
        <v>2108</v>
      </c>
      <c r="E1204" s="10" t="s">
        <v>5</v>
      </c>
      <c r="F1204" s="10">
        <v>83</v>
      </c>
    </row>
    <row r="1205" spans="1:6" x14ac:dyDescent="0.2">
      <c r="A1205" s="10" t="s">
        <v>348</v>
      </c>
      <c r="B1205" s="10" t="s">
        <v>157</v>
      </c>
      <c r="C1205" s="10" t="s">
        <v>45</v>
      </c>
      <c r="D1205" s="10">
        <v>1752</v>
      </c>
      <c r="E1205" s="10" t="s">
        <v>5</v>
      </c>
      <c r="F1205" s="10">
        <v>550</v>
      </c>
    </row>
    <row r="1206" spans="1:6" x14ac:dyDescent="0.2">
      <c r="A1206" s="10" t="s">
        <v>348</v>
      </c>
      <c r="B1206" s="10" t="s">
        <v>157</v>
      </c>
      <c r="C1206" s="10" t="s">
        <v>45</v>
      </c>
      <c r="D1206" s="10">
        <v>1752</v>
      </c>
      <c r="E1206" s="10" t="s">
        <v>7</v>
      </c>
      <c r="F1206" s="10">
        <v>1680</v>
      </c>
    </row>
    <row r="1207" spans="1:6" x14ac:dyDescent="0.2">
      <c r="A1207" s="10" t="s">
        <v>348</v>
      </c>
      <c r="B1207" s="10" t="s">
        <v>157</v>
      </c>
      <c r="C1207" s="10" t="s">
        <v>45</v>
      </c>
      <c r="D1207" s="10">
        <v>2452</v>
      </c>
      <c r="E1207" s="10" t="s">
        <v>5</v>
      </c>
      <c r="F1207" s="10">
        <v>3777</v>
      </c>
    </row>
    <row r="1208" spans="1:6" x14ac:dyDescent="0.2">
      <c r="A1208" s="10" t="s">
        <v>348</v>
      </c>
      <c r="B1208" s="10" t="s">
        <v>157</v>
      </c>
      <c r="C1208" s="10" t="s">
        <v>45</v>
      </c>
      <c r="D1208" s="10">
        <v>1760</v>
      </c>
      <c r="E1208" s="10" t="s">
        <v>5</v>
      </c>
      <c r="F1208" s="10">
        <v>1568</v>
      </c>
    </row>
    <row r="1209" spans="1:6" x14ac:dyDescent="0.2">
      <c r="A1209" s="10" t="s">
        <v>348</v>
      </c>
      <c r="B1209" s="10" t="s">
        <v>351</v>
      </c>
      <c r="C1209" s="10" t="s">
        <v>46</v>
      </c>
      <c r="D1209" s="10">
        <v>1020</v>
      </c>
      <c r="E1209" s="10" t="s">
        <v>5</v>
      </c>
      <c r="F1209" s="10">
        <v>2832</v>
      </c>
    </row>
    <row r="1210" spans="1:6" x14ac:dyDescent="0.2">
      <c r="A1210" s="10" t="s">
        <v>348</v>
      </c>
      <c r="B1210" s="10" t="s">
        <v>352</v>
      </c>
      <c r="C1210" s="10" t="s">
        <v>46</v>
      </c>
      <c r="D1210" s="10">
        <v>2703</v>
      </c>
      <c r="E1210" s="10" t="s">
        <v>5</v>
      </c>
      <c r="F1210" s="10">
        <v>1443</v>
      </c>
    </row>
    <row r="1211" spans="1:6" x14ac:dyDescent="0.2">
      <c r="A1211" s="10" t="s">
        <v>348</v>
      </c>
      <c r="B1211" s="10" t="s">
        <v>353</v>
      </c>
      <c r="C1211" s="10" t="s">
        <v>46</v>
      </c>
      <c r="D1211" s="10">
        <v>2184</v>
      </c>
      <c r="E1211" s="10" t="s">
        <v>5</v>
      </c>
      <c r="F1211" s="10">
        <v>366</v>
      </c>
    </row>
    <row r="1212" spans="1:6" x14ac:dyDescent="0.2">
      <c r="A1212" s="10" t="s">
        <v>348</v>
      </c>
      <c r="B1212" s="10" t="s">
        <v>353</v>
      </c>
      <c r="C1212" s="10" t="s">
        <v>46</v>
      </c>
      <c r="D1212" s="10">
        <v>2494</v>
      </c>
      <c r="E1212" s="10" t="s">
        <v>5</v>
      </c>
      <c r="F1212" s="10">
        <v>800</v>
      </c>
    </row>
    <row r="1213" spans="1:6" x14ac:dyDescent="0.2">
      <c r="A1213" s="10" t="s">
        <v>348</v>
      </c>
      <c r="B1213" s="10" t="s">
        <v>353</v>
      </c>
      <c r="C1213" s="10" t="s">
        <v>46</v>
      </c>
      <c r="D1213" s="10">
        <v>2019</v>
      </c>
      <c r="E1213" s="10" t="s">
        <v>5</v>
      </c>
      <c r="F1213" s="10">
        <v>4289</v>
      </c>
    </row>
    <row r="1214" spans="1:6" x14ac:dyDescent="0.2">
      <c r="A1214" s="10" t="s">
        <v>348</v>
      </c>
      <c r="B1214" s="10" t="s">
        <v>354</v>
      </c>
      <c r="C1214" s="10" t="s">
        <v>46</v>
      </c>
      <c r="D1214" s="10">
        <v>1230</v>
      </c>
      <c r="E1214" s="10" t="s">
        <v>5</v>
      </c>
      <c r="F1214" s="10">
        <v>649</v>
      </c>
    </row>
    <row r="1215" spans="1:6" x14ac:dyDescent="0.2">
      <c r="A1215" s="10" t="s">
        <v>348</v>
      </c>
      <c r="B1215" s="10" t="s">
        <v>353</v>
      </c>
      <c r="C1215" s="10" t="s">
        <v>46</v>
      </c>
      <c r="D1215" s="10">
        <v>2062</v>
      </c>
      <c r="E1215" s="10" t="s">
        <v>5</v>
      </c>
      <c r="F1215" s="10">
        <v>2116</v>
      </c>
    </row>
    <row r="1216" spans="1:6" x14ac:dyDescent="0.2">
      <c r="A1216" s="10" t="s">
        <v>348</v>
      </c>
      <c r="B1216" s="10" t="s">
        <v>353</v>
      </c>
      <c r="C1216" s="10" t="s">
        <v>46</v>
      </c>
      <c r="D1216" s="10">
        <v>2026</v>
      </c>
      <c r="E1216" s="10" t="s">
        <v>5</v>
      </c>
      <c r="F1216" s="10">
        <v>148</v>
      </c>
    </row>
    <row r="1217" spans="1:6" x14ac:dyDescent="0.2">
      <c r="A1217" s="10" t="s">
        <v>348</v>
      </c>
      <c r="B1217" s="10" t="s">
        <v>353</v>
      </c>
      <c r="C1217" s="10" t="s">
        <v>46</v>
      </c>
      <c r="D1217" s="10">
        <v>2482</v>
      </c>
      <c r="E1217" s="10" t="s">
        <v>9</v>
      </c>
      <c r="F1217" s="10">
        <v>277</v>
      </c>
    </row>
    <row r="1218" spans="1:6" x14ac:dyDescent="0.2">
      <c r="A1218" s="10" t="s">
        <v>348</v>
      </c>
      <c r="B1218" s="10" t="s">
        <v>354</v>
      </c>
      <c r="C1218" s="10" t="s">
        <v>46</v>
      </c>
      <c r="D1218" s="10">
        <v>1201</v>
      </c>
      <c r="E1218" s="10" t="s">
        <v>5</v>
      </c>
      <c r="F1218" s="10">
        <v>778</v>
      </c>
    </row>
    <row r="1219" spans="1:6" x14ac:dyDescent="0.2">
      <c r="A1219" s="10" t="s">
        <v>348</v>
      </c>
      <c r="B1219" s="10" t="s">
        <v>351</v>
      </c>
      <c r="C1219" s="10" t="s">
        <v>46</v>
      </c>
      <c r="D1219" s="10">
        <v>1085</v>
      </c>
      <c r="E1219" s="10" t="s">
        <v>5</v>
      </c>
      <c r="F1219" s="10">
        <v>1817</v>
      </c>
    </row>
    <row r="1220" spans="1:6" x14ac:dyDescent="0.2">
      <c r="A1220" s="10" t="s">
        <v>348</v>
      </c>
      <c r="B1220" s="10" t="s">
        <v>353</v>
      </c>
      <c r="C1220" s="10" t="s">
        <v>46</v>
      </c>
      <c r="D1220" s="10">
        <v>2026</v>
      </c>
      <c r="E1220" s="10" t="s">
        <v>10</v>
      </c>
      <c r="F1220" s="10">
        <v>1285</v>
      </c>
    </row>
    <row r="1221" spans="1:6" x14ac:dyDescent="0.2">
      <c r="A1221" s="10" t="s">
        <v>348</v>
      </c>
      <c r="B1221" s="10" t="s">
        <v>355</v>
      </c>
      <c r="C1221" s="10" t="s">
        <v>46</v>
      </c>
      <c r="D1221" s="10">
        <v>2360</v>
      </c>
      <c r="E1221" s="10" t="s">
        <v>5</v>
      </c>
      <c r="F1221" s="10">
        <v>503</v>
      </c>
    </row>
    <row r="1222" spans="1:6" x14ac:dyDescent="0.2">
      <c r="A1222" s="10" t="s">
        <v>348</v>
      </c>
      <c r="B1222" s="10" t="s">
        <v>353</v>
      </c>
      <c r="C1222" s="10" t="s">
        <v>46</v>
      </c>
      <c r="D1222" s="10">
        <v>2482</v>
      </c>
      <c r="E1222" s="10" t="s">
        <v>10</v>
      </c>
      <c r="F1222" s="10">
        <v>84</v>
      </c>
    </row>
    <row r="1223" spans="1:6" x14ac:dyDescent="0.2">
      <c r="A1223" s="10" t="s">
        <v>348</v>
      </c>
      <c r="B1223" s="10" t="s">
        <v>355</v>
      </c>
      <c r="C1223" s="10" t="s">
        <v>46</v>
      </c>
      <c r="D1223" s="10">
        <v>2339</v>
      </c>
      <c r="E1223" s="10" t="s">
        <v>7</v>
      </c>
      <c r="F1223" s="10">
        <v>758</v>
      </c>
    </row>
    <row r="1224" spans="1:6" x14ac:dyDescent="0.2">
      <c r="A1224" s="10" t="s">
        <v>348</v>
      </c>
      <c r="B1224" s="10" t="s">
        <v>355</v>
      </c>
      <c r="C1224" s="10" t="s">
        <v>46</v>
      </c>
      <c r="D1224" s="10">
        <v>2359</v>
      </c>
      <c r="E1224" s="10" t="s">
        <v>5</v>
      </c>
      <c r="F1224" s="10">
        <v>2244</v>
      </c>
    </row>
    <row r="1225" spans="1:6" x14ac:dyDescent="0.2">
      <c r="A1225" s="10" t="s">
        <v>348</v>
      </c>
      <c r="B1225" s="10" t="s">
        <v>352</v>
      </c>
      <c r="C1225" s="10" t="s">
        <v>46</v>
      </c>
      <c r="D1225" s="10">
        <v>2048</v>
      </c>
      <c r="E1225" s="10" t="s">
        <v>5</v>
      </c>
      <c r="F1225" s="10">
        <v>1517</v>
      </c>
    </row>
    <row r="1226" spans="1:6" x14ac:dyDescent="0.2">
      <c r="A1226" s="10" t="s">
        <v>348</v>
      </c>
      <c r="B1226" s="10" t="s">
        <v>351</v>
      </c>
      <c r="C1226" s="10" t="s">
        <v>46</v>
      </c>
      <c r="D1226" s="10">
        <v>1089</v>
      </c>
      <c r="E1226" s="10" t="s">
        <v>5</v>
      </c>
      <c r="F1226" s="10">
        <v>1198</v>
      </c>
    </row>
    <row r="1227" spans="1:6" x14ac:dyDescent="0.2">
      <c r="A1227" s="10" t="s">
        <v>348</v>
      </c>
      <c r="B1227" s="10" t="s">
        <v>353</v>
      </c>
      <c r="C1227" s="10" t="s">
        <v>46</v>
      </c>
      <c r="D1227" s="10">
        <v>2446</v>
      </c>
      <c r="E1227" s="10" t="s">
        <v>10</v>
      </c>
      <c r="F1227" s="10">
        <v>179</v>
      </c>
    </row>
    <row r="1228" spans="1:6" x14ac:dyDescent="0.2">
      <c r="A1228" s="10" t="s">
        <v>348</v>
      </c>
      <c r="B1228" s="10" t="s">
        <v>351</v>
      </c>
      <c r="C1228" s="10" t="s">
        <v>46</v>
      </c>
      <c r="D1228" s="10">
        <v>1010</v>
      </c>
      <c r="E1228" s="10" t="s">
        <v>5</v>
      </c>
      <c r="F1228" s="10">
        <v>2734</v>
      </c>
    </row>
    <row r="1229" spans="1:6" x14ac:dyDescent="0.2">
      <c r="A1229" s="10" t="s">
        <v>348</v>
      </c>
      <c r="B1229" s="10" t="s">
        <v>352</v>
      </c>
      <c r="C1229" s="10" t="s">
        <v>46</v>
      </c>
      <c r="D1229" s="10">
        <v>2771</v>
      </c>
      <c r="E1229" s="10" t="s">
        <v>5</v>
      </c>
      <c r="F1229" s="10">
        <v>517</v>
      </c>
    </row>
    <row r="1230" spans="1:6" x14ac:dyDescent="0.2">
      <c r="A1230" s="10" t="s">
        <v>348</v>
      </c>
      <c r="B1230" s="10" t="s">
        <v>352</v>
      </c>
      <c r="C1230" s="10" t="s">
        <v>46</v>
      </c>
      <c r="D1230" s="10">
        <v>2747</v>
      </c>
      <c r="E1230" s="10" t="s">
        <v>7</v>
      </c>
      <c r="F1230" s="10">
        <v>1245</v>
      </c>
    </row>
    <row r="1231" spans="1:6" x14ac:dyDescent="0.2">
      <c r="A1231" s="10" t="s">
        <v>348</v>
      </c>
      <c r="B1231" s="10" t="s">
        <v>352</v>
      </c>
      <c r="C1231" s="10" t="s">
        <v>46</v>
      </c>
      <c r="D1231" s="10">
        <v>2719</v>
      </c>
      <c r="E1231" s="10" t="s">
        <v>5</v>
      </c>
      <c r="F1231" s="10">
        <v>494</v>
      </c>
    </row>
    <row r="1232" spans="1:6" x14ac:dyDescent="0.2">
      <c r="A1232" s="10" t="s">
        <v>348</v>
      </c>
      <c r="B1232" s="10" t="s">
        <v>352</v>
      </c>
      <c r="C1232" s="10" t="s">
        <v>46</v>
      </c>
      <c r="D1232" s="10">
        <v>2767</v>
      </c>
      <c r="E1232" s="10" t="s">
        <v>5</v>
      </c>
      <c r="F1232" s="10">
        <v>2936</v>
      </c>
    </row>
    <row r="1233" spans="1:6" x14ac:dyDescent="0.2">
      <c r="A1233" s="10" t="s">
        <v>348</v>
      </c>
      <c r="B1233" s="10" t="s">
        <v>352</v>
      </c>
      <c r="C1233" s="10" t="s">
        <v>46</v>
      </c>
      <c r="D1233" s="10">
        <v>2721</v>
      </c>
      <c r="E1233" s="10" t="s">
        <v>5</v>
      </c>
      <c r="F1233" s="10">
        <v>2393</v>
      </c>
    </row>
    <row r="1234" spans="1:6" x14ac:dyDescent="0.2">
      <c r="A1234" s="10" t="s">
        <v>348</v>
      </c>
      <c r="B1234" s="10" t="s">
        <v>355</v>
      </c>
      <c r="C1234" s="10" t="s">
        <v>46</v>
      </c>
      <c r="D1234" s="10">
        <v>2571</v>
      </c>
      <c r="E1234" s="10" t="s">
        <v>5</v>
      </c>
      <c r="F1234" s="10">
        <v>263</v>
      </c>
    </row>
    <row r="1235" spans="1:6" x14ac:dyDescent="0.2">
      <c r="A1235" s="10" t="s">
        <v>348</v>
      </c>
      <c r="B1235" s="10" t="s">
        <v>355</v>
      </c>
      <c r="C1235" s="10" t="s">
        <v>46</v>
      </c>
      <c r="D1235" s="10">
        <v>2301</v>
      </c>
      <c r="E1235" s="10" t="s">
        <v>5</v>
      </c>
      <c r="F1235" s="10">
        <v>218</v>
      </c>
    </row>
    <row r="1236" spans="1:6" x14ac:dyDescent="0.2">
      <c r="A1236" s="10" t="s">
        <v>348</v>
      </c>
      <c r="B1236" s="10" t="s">
        <v>353</v>
      </c>
      <c r="C1236" s="10" t="s">
        <v>46</v>
      </c>
      <c r="D1236" s="10">
        <v>2191</v>
      </c>
      <c r="E1236" s="10" t="s">
        <v>5</v>
      </c>
      <c r="F1236" s="10">
        <v>1491</v>
      </c>
    </row>
    <row r="1237" spans="1:6" x14ac:dyDescent="0.2">
      <c r="A1237" s="10" t="s">
        <v>348</v>
      </c>
      <c r="B1237" s="10" t="s">
        <v>356</v>
      </c>
      <c r="C1237" s="10" t="s">
        <v>47</v>
      </c>
      <c r="D1237" s="10">
        <v>2540</v>
      </c>
      <c r="E1237" s="10" t="s">
        <v>5</v>
      </c>
      <c r="F1237" s="10">
        <v>523</v>
      </c>
    </row>
    <row r="1238" spans="1:6" x14ac:dyDescent="0.2">
      <c r="A1238" s="10" t="s">
        <v>348</v>
      </c>
      <c r="B1238" s="10" t="s">
        <v>328</v>
      </c>
      <c r="C1238" s="10" t="s">
        <v>47</v>
      </c>
      <c r="D1238" s="10">
        <v>1301</v>
      </c>
      <c r="E1238" s="10" t="s">
        <v>5</v>
      </c>
      <c r="F1238" s="10">
        <v>34</v>
      </c>
    </row>
    <row r="1239" spans="1:6" x14ac:dyDescent="0.2">
      <c r="A1239" s="10" t="s">
        <v>348</v>
      </c>
      <c r="B1239" s="10" t="s">
        <v>357</v>
      </c>
      <c r="C1239" s="10" t="s">
        <v>47</v>
      </c>
      <c r="D1239" s="10">
        <v>1915</v>
      </c>
      <c r="E1239" s="10" t="s">
        <v>5</v>
      </c>
      <c r="F1239" s="10">
        <v>663</v>
      </c>
    </row>
    <row r="1240" spans="1:6" x14ac:dyDescent="0.2">
      <c r="A1240" s="10" t="s">
        <v>348</v>
      </c>
      <c r="B1240" s="10" t="s">
        <v>357</v>
      </c>
      <c r="C1240" s="10" t="s">
        <v>47</v>
      </c>
      <c r="D1240" s="10">
        <v>1940</v>
      </c>
      <c r="E1240" s="10" t="s">
        <v>10</v>
      </c>
      <c r="F1240" s="10">
        <v>247</v>
      </c>
    </row>
    <row r="1241" spans="1:6" x14ac:dyDescent="0.2">
      <c r="A1241" s="10" t="s">
        <v>348</v>
      </c>
      <c r="B1241" s="10" t="s">
        <v>357</v>
      </c>
      <c r="C1241" s="10" t="s">
        <v>47</v>
      </c>
      <c r="D1241" s="10">
        <v>1845</v>
      </c>
      <c r="E1241" s="10" t="s">
        <v>5</v>
      </c>
      <c r="F1241" s="10">
        <v>1380</v>
      </c>
    </row>
    <row r="1242" spans="1:6" x14ac:dyDescent="0.2">
      <c r="A1242" s="10" t="s">
        <v>348</v>
      </c>
      <c r="B1242" s="10" t="s">
        <v>357</v>
      </c>
      <c r="C1242" s="10" t="s">
        <v>47</v>
      </c>
      <c r="D1242" s="10">
        <v>1923</v>
      </c>
      <c r="E1242" s="10" t="s">
        <v>5</v>
      </c>
      <c r="F1242" s="10">
        <v>1696</v>
      </c>
    </row>
    <row r="1243" spans="1:6" x14ac:dyDescent="0.2">
      <c r="A1243" s="10" t="s">
        <v>348</v>
      </c>
      <c r="B1243" s="10" t="s">
        <v>358</v>
      </c>
      <c r="C1243" s="10" t="s">
        <v>47</v>
      </c>
      <c r="D1243" s="10">
        <v>1757</v>
      </c>
      <c r="E1243" s="10" t="s">
        <v>5</v>
      </c>
      <c r="F1243" s="10">
        <v>1202</v>
      </c>
    </row>
    <row r="1244" spans="1:6" x14ac:dyDescent="0.2">
      <c r="A1244" s="10" t="s">
        <v>348</v>
      </c>
      <c r="B1244" s="10" t="s">
        <v>358</v>
      </c>
      <c r="C1244" s="10" t="s">
        <v>47</v>
      </c>
      <c r="D1244" s="10">
        <v>1581</v>
      </c>
      <c r="E1244" s="10" t="s">
        <v>5</v>
      </c>
      <c r="F1244" s="10">
        <v>1685</v>
      </c>
    </row>
    <row r="1245" spans="1:6" x14ac:dyDescent="0.2">
      <c r="A1245" s="10" t="s">
        <v>348</v>
      </c>
      <c r="B1245" s="10" t="s">
        <v>357</v>
      </c>
      <c r="C1245" s="10" t="s">
        <v>47</v>
      </c>
      <c r="D1245" s="10">
        <v>1970</v>
      </c>
      <c r="E1245" s="10" t="s">
        <v>5</v>
      </c>
      <c r="F1245" s="10">
        <v>536</v>
      </c>
    </row>
    <row r="1246" spans="1:6" x14ac:dyDescent="0.2">
      <c r="A1246" s="10" t="s">
        <v>348</v>
      </c>
      <c r="B1246" s="10" t="s">
        <v>358</v>
      </c>
      <c r="C1246" s="10" t="s">
        <v>47</v>
      </c>
      <c r="D1246" s="10">
        <v>1440</v>
      </c>
      <c r="E1246" s="10" t="s">
        <v>5</v>
      </c>
      <c r="F1246" s="10">
        <v>1078</v>
      </c>
    </row>
    <row r="1247" spans="1:6" x14ac:dyDescent="0.2">
      <c r="A1247" s="10" t="s">
        <v>348</v>
      </c>
      <c r="B1247" s="10" t="s">
        <v>357</v>
      </c>
      <c r="C1247" s="10" t="s">
        <v>47</v>
      </c>
      <c r="D1247" s="10">
        <v>1906</v>
      </c>
      <c r="E1247" s="10" t="s">
        <v>5</v>
      </c>
      <c r="F1247" s="10">
        <v>1172</v>
      </c>
    </row>
    <row r="1248" spans="1:6" x14ac:dyDescent="0.2">
      <c r="A1248" s="10" t="s">
        <v>348</v>
      </c>
      <c r="B1248" s="10" t="s">
        <v>358</v>
      </c>
      <c r="C1248" s="10" t="s">
        <v>47</v>
      </c>
      <c r="D1248" s="10">
        <v>1566</v>
      </c>
      <c r="E1248" s="10" t="s">
        <v>5</v>
      </c>
      <c r="F1248" s="10">
        <v>1050</v>
      </c>
    </row>
    <row r="1249" spans="1:6" x14ac:dyDescent="0.2">
      <c r="A1249" s="10" t="s">
        <v>348</v>
      </c>
      <c r="B1249" s="10" t="s">
        <v>358</v>
      </c>
      <c r="C1249" s="10" t="s">
        <v>47</v>
      </c>
      <c r="D1249" s="10">
        <v>1453</v>
      </c>
      <c r="E1249" s="10" t="s">
        <v>5</v>
      </c>
      <c r="F1249" s="10">
        <v>791</v>
      </c>
    </row>
    <row r="1250" spans="1:6" x14ac:dyDescent="0.2">
      <c r="A1250" s="10" t="s">
        <v>348</v>
      </c>
      <c r="B1250" s="10" t="s">
        <v>358</v>
      </c>
      <c r="C1250" s="10" t="s">
        <v>47</v>
      </c>
      <c r="D1250" s="10">
        <v>1501</v>
      </c>
      <c r="E1250" s="10" t="s">
        <v>5</v>
      </c>
      <c r="F1250" s="10">
        <v>1187</v>
      </c>
    </row>
    <row r="1251" spans="1:6" x14ac:dyDescent="0.2">
      <c r="A1251" s="10" t="s">
        <v>348</v>
      </c>
      <c r="B1251" s="10" t="s">
        <v>356</v>
      </c>
      <c r="C1251" s="10" t="s">
        <v>47</v>
      </c>
      <c r="D1251" s="10">
        <v>2601</v>
      </c>
      <c r="E1251" s="10" t="s">
        <v>5</v>
      </c>
      <c r="F1251" s="10">
        <v>1797</v>
      </c>
    </row>
    <row r="1252" spans="1:6" x14ac:dyDescent="0.2">
      <c r="A1252" s="10" t="s">
        <v>348</v>
      </c>
      <c r="B1252" s="10" t="s">
        <v>358</v>
      </c>
      <c r="C1252" s="10" t="s">
        <v>47</v>
      </c>
      <c r="D1252" s="10">
        <v>1545</v>
      </c>
      <c r="E1252" s="10" t="s">
        <v>5</v>
      </c>
      <c r="F1252" s="10">
        <v>819</v>
      </c>
    </row>
    <row r="1253" spans="1:6" x14ac:dyDescent="0.2">
      <c r="A1253" s="10" t="s">
        <v>348</v>
      </c>
      <c r="B1253" s="10" t="s">
        <v>356</v>
      </c>
      <c r="C1253" s="10" t="s">
        <v>47</v>
      </c>
      <c r="D1253" s="10">
        <v>2653</v>
      </c>
      <c r="E1253" s="10" t="s">
        <v>5</v>
      </c>
      <c r="F1253" s="10">
        <v>515</v>
      </c>
    </row>
    <row r="1254" spans="1:6" x14ac:dyDescent="0.2">
      <c r="A1254" s="10" t="s">
        <v>348</v>
      </c>
      <c r="B1254" s="10" t="s">
        <v>358</v>
      </c>
      <c r="C1254" s="10" t="s">
        <v>47</v>
      </c>
      <c r="D1254" s="10">
        <v>1605</v>
      </c>
      <c r="E1254" s="10" t="s">
        <v>5</v>
      </c>
      <c r="F1254" s="10">
        <v>933</v>
      </c>
    </row>
    <row r="1255" spans="1:6" x14ac:dyDescent="0.2">
      <c r="A1255" s="10" t="s">
        <v>359</v>
      </c>
      <c r="B1255" s="10" t="s">
        <v>360</v>
      </c>
      <c r="C1255" s="10" t="s">
        <v>45</v>
      </c>
      <c r="D1255" s="10">
        <v>20716</v>
      </c>
      <c r="E1255" s="10" t="s">
        <v>5</v>
      </c>
      <c r="F1255" s="10">
        <v>1296</v>
      </c>
    </row>
    <row r="1256" spans="1:6" x14ac:dyDescent="0.2">
      <c r="A1256" s="10" t="s">
        <v>359</v>
      </c>
      <c r="B1256" s="10" t="s">
        <v>361</v>
      </c>
      <c r="C1256" s="10" t="s">
        <v>45</v>
      </c>
      <c r="D1256" s="10">
        <v>21921</v>
      </c>
      <c r="E1256" s="10" t="s">
        <v>5</v>
      </c>
      <c r="F1256" s="10">
        <v>1501</v>
      </c>
    </row>
    <row r="1257" spans="1:6" x14ac:dyDescent="0.2">
      <c r="A1257" s="10" t="s">
        <v>359</v>
      </c>
      <c r="B1257" s="10" t="s">
        <v>360</v>
      </c>
      <c r="C1257" s="10" t="s">
        <v>45</v>
      </c>
      <c r="D1257" s="10">
        <v>20720</v>
      </c>
      <c r="E1257" s="10" t="s">
        <v>6</v>
      </c>
      <c r="F1257" s="10">
        <v>2995</v>
      </c>
    </row>
    <row r="1258" spans="1:6" x14ac:dyDescent="0.2">
      <c r="A1258" s="10" t="s">
        <v>359</v>
      </c>
      <c r="B1258" s="10" t="s">
        <v>362</v>
      </c>
      <c r="C1258" s="10" t="s">
        <v>45</v>
      </c>
      <c r="D1258" s="10">
        <v>20603</v>
      </c>
      <c r="E1258" s="10" t="s">
        <v>6</v>
      </c>
      <c r="F1258" s="10">
        <v>879</v>
      </c>
    </row>
    <row r="1259" spans="1:6" x14ac:dyDescent="0.2">
      <c r="A1259" s="10" t="s">
        <v>359</v>
      </c>
      <c r="B1259" s="10" t="s">
        <v>360</v>
      </c>
      <c r="C1259" s="10" t="s">
        <v>45</v>
      </c>
      <c r="D1259" s="10">
        <v>20706</v>
      </c>
      <c r="E1259" s="10" t="s">
        <v>5</v>
      </c>
      <c r="F1259" s="10">
        <v>988</v>
      </c>
    </row>
    <row r="1260" spans="1:6" x14ac:dyDescent="0.2">
      <c r="A1260" s="10" t="s">
        <v>359</v>
      </c>
      <c r="B1260" s="10" t="s">
        <v>360</v>
      </c>
      <c r="C1260" s="10" t="s">
        <v>45</v>
      </c>
      <c r="D1260" s="10">
        <v>20745</v>
      </c>
      <c r="E1260" s="10" t="s">
        <v>5</v>
      </c>
      <c r="F1260" s="10">
        <v>360</v>
      </c>
    </row>
    <row r="1261" spans="1:6" x14ac:dyDescent="0.2">
      <c r="A1261" s="10" t="s">
        <v>359</v>
      </c>
      <c r="B1261" s="10" t="s">
        <v>360</v>
      </c>
      <c r="C1261" s="10" t="s">
        <v>45</v>
      </c>
      <c r="D1261" s="10">
        <v>20774</v>
      </c>
      <c r="E1261" s="10" t="s">
        <v>5</v>
      </c>
      <c r="F1261" s="10">
        <v>1625</v>
      </c>
    </row>
    <row r="1262" spans="1:6" x14ac:dyDescent="0.2">
      <c r="A1262" s="10" t="s">
        <v>359</v>
      </c>
      <c r="B1262" s="10" t="s">
        <v>360</v>
      </c>
      <c r="C1262" s="10" t="s">
        <v>45</v>
      </c>
      <c r="D1262" s="10">
        <v>20782</v>
      </c>
      <c r="E1262" s="10" t="s">
        <v>5</v>
      </c>
      <c r="F1262" s="10">
        <v>906</v>
      </c>
    </row>
    <row r="1263" spans="1:6" x14ac:dyDescent="0.2">
      <c r="A1263" s="10" t="s">
        <v>359</v>
      </c>
      <c r="B1263" s="10" t="s">
        <v>363</v>
      </c>
      <c r="C1263" s="10" t="s">
        <v>45</v>
      </c>
      <c r="D1263" s="10">
        <v>21212</v>
      </c>
      <c r="E1263" s="10" t="s">
        <v>5</v>
      </c>
      <c r="F1263" s="10">
        <v>878</v>
      </c>
    </row>
    <row r="1264" spans="1:6" x14ac:dyDescent="0.2">
      <c r="A1264" s="10" t="s">
        <v>359</v>
      </c>
      <c r="B1264" s="10" t="s">
        <v>82</v>
      </c>
      <c r="C1264" s="10" t="s">
        <v>45</v>
      </c>
      <c r="D1264" s="10">
        <v>21740</v>
      </c>
      <c r="E1264" s="10" t="s">
        <v>5</v>
      </c>
      <c r="F1264" s="10">
        <v>754</v>
      </c>
    </row>
    <row r="1265" spans="1:6" x14ac:dyDescent="0.2">
      <c r="A1265" s="10" t="s">
        <v>359</v>
      </c>
      <c r="B1265" s="10" t="s">
        <v>362</v>
      </c>
      <c r="C1265" s="10" t="s">
        <v>45</v>
      </c>
      <c r="D1265" s="10">
        <v>20601</v>
      </c>
      <c r="E1265" s="10" t="s">
        <v>5</v>
      </c>
      <c r="F1265" s="10">
        <v>2048</v>
      </c>
    </row>
    <row r="1266" spans="1:6" x14ac:dyDescent="0.2">
      <c r="A1266" s="10" t="s">
        <v>359</v>
      </c>
      <c r="B1266" s="10" t="s">
        <v>360</v>
      </c>
      <c r="C1266" s="10" t="s">
        <v>45</v>
      </c>
      <c r="D1266" s="10">
        <v>20740</v>
      </c>
      <c r="E1266" s="10" t="s">
        <v>5</v>
      </c>
      <c r="F1266" s="10">
        <v>506</v>
      </c>
    </row>
    <row r="1267" spans="1:6" x14ac:dyDescent="0.2">
      <c r="A1267" s="10" t="s">
        <v>359</v>
      </c>
      <c r="B1267" s="10" t="s">
        <v>364</v>
      </c>
      <c r="C1267" s="10" t="s">
        <v>45</v>
      </c>
      <c r="D1267" s="10">
        <v>21014</v>
      </c>
      <c r="E1267" s="10" t="s">
        <v>6</v>
      </c>
      <c r="F1267" s="10">
        <v>1210</v>
      </c>
    </row>
    <row r="1268" spans="1:6" x14ac:dyDescent="0.2">
      <c r="A1268" s="10" t="s">
        <v>359</v>
      </c>
      <c r="B1268" s="10" t="s">
        <v>364</v>
      </c>
      <c r="C1268" s="10" t="s">
        <v>45</v>
      </c>
      <c r="D1268" s="10">
        <v>21014</v>
      </c>
      <c r="E1268" s="10" t="s">
        <v>5</v>
      </c>
      <c r="F1268" s="10">
        <v>188</v>
      </c>
    </row>
    <row r="1269" spans="1:6" x14ac:dyDescent="0.2">
      <c r="A1269" s="10" t="s">
        <v>359</v>
      </c>
      <c r="B1269" s="10" t="s">
        <v>82</v>
      </c>
      <c r="C1269" s="10" t="s">
        <v>45</v>
      </c>
      <c r="D1269" s="10">
        <v>21740</v>
      </c>
      <c r="E1269" s="10" t="s">
        <v>7</v>
      </c>
      <c r="F1269" s="10">
        <v>1597</v>
      </c>
    </row>
    <row r="1270" spans="1:6" x14ac:dyDescent="0.2">
      <c r="A1270" s="10" t="s">
        <v>359</v>
      </c>
      <c r="B1270" s="10" t="s">
        <v>360</v>
      </c>
      <c r="C1270" s="10" t="s">
        <v>45</v>
      </c>
      <c r="D1270" s="10">
        <v>20715</v>
      </c>
      <c r="E1270" s="10" t="s">
        <v>6</v>
      </c>
      <c r="F1270" s="10">
        <v>561</v>
      </c>
    </row>
    <row r="1271" spans="1:6" x14ac:dyDescent="0.2">
      <c r="A1271" s="10" t="s">
        <v>359</v>
      </c>
      <c r="B1271" s="10" t="s">
        <v>360</v>
      </c>
      <c r="C1271" s="10" t="s">
        <v>45</v>
      </c>
      <c r="D1271" s="10">
        <v>20707</v>
      </c>
      <c r="E1271" s="10" t="s">
        <v>5</v>
      </c>
      <c r="F1271" s="10">
        <v>2479</v>
      </c>
    </row>
    <row r="1272" spans="1:6" x14ac:dyDescent="0.2">
      <c r="A1272" s="10" t="s">
        <v>359</v>
      </c>
      <c r="B1272" s="10" t="s">
        <v>360</v>
      </c>
      <c r="C1272" s="10" t="s">
        <v>45</v>
      </c>
      <c r="D1272" s="10">
        <v>20735</v>
      </c>
      <c r="E1272" s="10" t="s">
        <v>5</v>
      </c>
      <c r="F1272" s="10">
        <v>1377</v>
      </c>
    </row>
    <row r="1273" spans="1:6" x14ac:dyDescent="0.2">
      <c r="A1273" s="10" t="s">
        <v>359</v>
      </c>
      <c r="B1273" s="10" t="s">
        <v>365</v>
      </c>
      <c r="C1273" s="10" t="s">
        <v>46</v>
      </c>
      <c r="D1273" s="10">
        <v>21204</v>
      </c>
      <c r="E1273" s="10" t="s">
        <v>9</v>
      </c>
      <c r="F1273" s="10">
        <v>885</v>
      </c>
    </row>
    <row r="1274" spans="1:6" x14ac:dyDescent="0.2">
      <c r="A1274" s="10" t="s">
        <v>359</v>
      </c>
      <c r="B1274" s="10" t="s">
        <v>365</v>
      </c>
      <c r="C1274" s="10" t="s">
        <v>46</v>
      </c>
      <c r="D1274" s="10">
        <v>21224</v>
      </c>
      <c r="E1274" s="10" t="s">
        <v>5</v>
      </c>
      <c r="F1274" s="10">
        <v>1059</v>
      </c>
    </row>
    <row r="1275" spans="1:6" x14ac:dyDescent="0.2">
      <c r="A1275" s="10" t="s">
        <v>359</v>
      </c>
      <c r="B1275" s="10" t="s">
        <v>74</v>
      </c>
      <c r="C1275" s="10" t="s">
        <v>46</v>
      </c>
      <c r="D1275" s="10">
        <v>20852</v>
      </c>
      <c r="E1275" s="10" t="s">
        <v>5</v>
      </c>
      <c r="F1275" s="10">
        <v>2752</v>
      </c>
    </row>
    <row r="1276" spans="1:6" x14ac:dyDescent="0.2">
      <c r="A1276" s="10" t="s">
        <v>359</v>
      </c>
      <c r="B1276" s="10" t="s">
        <v>365</v>
      </c>
      <c r="C1276" s="10" t="s">
        <v>46</v>
      </c>
      <c r="D1276" s="10">
        <v>21208</v>
      </c>
      <c r="E1276" s="10" t="s">
        <v>5</v>
      </c>
      <c r="F1276" s="10">
        <v>306</v>
      </c>
    </row>
    <row r="1277" spans="1:6" x14ac:dyDescent="0.2">
      <c r="A1277" s="10" t="s">
        <v>359</v>
      </c>
      <c r="B1277" s="10" t="s">
        <v>366</v>
      </c>
      <c r="C1277" s="10" t="s">
        <v>46</v>
      </c>
      <c r="D1277" s="10">
        <v>21146</v>
      </c>
      <c r="E1277" s="10" t="s">
        <v>6</v>
      </c>
      <c r="F1277" s="10">
        <v>1980</v>
      </c>
    </row>
    <row r="1278" spans="1:6" x14ac:dyDescent="0.2">
      <c r="A1278" s="10" t="s">
        <v>359</v>
      </c>
      <c r="B1278" s="10" t="s">
        <v>366</v>
      </c>
      <c r="C1278" s="10" t="s">
        <v>46</v>
      </c>
      <c r="D1278" s="10">
        <v>21076</v>
      </c>
      <c r="E1278" s="10" t="s">
        <v>5</v>
      </c>
      <c r="F1278" s="10">
        <v>1165</v>
      </c>
    </row>
    <row r="1279" spans="1:6" x14ac:dyDescent="0.2">
      <c r="A1279" s="10" t="s">
        <v>359</v>
      </c>
      <c r="B1279" s="10" t="s">
        <v>366</v>
      </c>
      <c r="C1279" s="10" t="s">
        <v>46</v>
      </c>
      <c r="D1279" s="10">
        <v>21060</v>
      </c>
      <c r="E1279" s="10" t="s">
        <v>6</v>
      </c>
      <c r="F1279" s="10">
        <v>1264</v>
      </c>
    </row>
    <row r="1280" spans="1:6" x14ac:dyDescent="0.2">
      <c r="A1280" s="10" t="s">
        <v>359</v>
      </c>
      <c r="B1280" s="10" t="s">
        <v>74</v>
      </c>
      <c r="C1280" s="10" t="s">
        <v>46</v>
      </c>
      <c r="D1280" s="10">
        <v>20817</v>
      </c>
      <c r="E1280" s="10" t="s">
        <v>9</v>
      </c>
      <c r="F1280" s="10">
        <v>1557</v>
      </c>
    </row>
    <row r="1281" spans="1:6" x14ac:dyDescent="0.2">
      <c r="A1281" s="10" t="s">
        <v>359</v>
      </c>
      <c r="B1281" s="10" t="s">
        <v>367</v>
      </c>
      <c r="C1281" s="10" t="s">
        <v>46</v>
      </c>
      <c r="D1281" s="10">
        <v>21702</v>
      </c>
      <c r="E1281" s="10" t="s">
        <v>5</v>
      </c>
      <c r="F1281" s="10">
        <v>2850</v>
      </c>
    </row>
    <row r="1282" spans="1:6" x14ac:dyDescent="0.2">
      <c r="A1282" s="10" t="s">
        <v>359</v>
      </c>
      <c r="B1282" s="10" t="s">
        <v>365</v>
      </c>
      <c r="C1282" s="10" t="s">
        <v>46</v>
      </c>
      <c r="D1282" s="10">
        <v>21286</v>
      </c>
      <c r="E1282" s="10" t="s">
        <v>5</v>
      </c>
      <c r="F1282" s="10">
        <v>1303</v>
      </c>
    </row>
    <row r="1283" spans="1:6" x14ac:dyDescent="0.2">
      <c r="A1283" s="10" t="s">
        <v>359</v>
      </c>
      <c r="B1283" s="10" t="s">
        <v>241</v>
      </c>
      <c r="C1283" s="10" t="s">
        <v>46</v>
      </c>
      <c r="D1283" s="10">
        <v>21157</v>
      </c>
      <c r="E1283" s="10" t="s">
        <v>5</v>
      </c>
      <c r="F1283" s="10">
        <v>1561</v>
      </c>
    </row>
    <row r="1284" spans="1:6" x14ac:dyDescent="0.2">
      <c r="A1284" s="10" t="s">
        <v>359</v>
      </c>
      <c r="B1284" s="10" t="s">
        <v>365</v>
      </c>
      <c r="C1284" s="10" t="s">
        <v>46</v>
      </c>
      <c r="D1284" s="10">
        <v>21093</v>
      </c>
      <c r="E1284" s="10" t="s">
        <v>6</v>
      </c>
      <c r="F1284" s="10">
        <v>585</v>
      </c>
    </row>
    <row r="1285" spans="1:6" x14ac:dyDescent="0.2">
      <c r="A1285" s="10" t="s">
        <v>359</v>
      </c>
      <c r="B1285" s="10" t="s">
        <v>365</v>
      </c>
      <c r="C1285" s="10" t="s">
        <v>46</v>
      </c>
      <c r="D1285" s="10">
        <v>21234</v>
      </c>
      <c r="E1285" s="10" t="s">
        <v>6</v>
      </c>
      <c r="F1285" s="10">
        <v>1684</v>
      </c>
    </row>
    <row r="1286" spans="1:6" x14ac:dyDescent="0.2">
      <c r="A1286" s="10" t="s">
        <v>359</v>
      </c>
      <c r="B1286" s="10" t="s">
        <v>74</v>
      </c>
      <c r="C1286" s="10" t="s">
        <v>46</v>
      </c>
      <c r="D1286" s="10">
        <v>20906</v>
      </c>
      <c r="E1286" s="10" t="s">
        <v>5</v>
      </c>
      <c r="F1286" s="10">
        <v>1565</v>
      </c>
    </row>
    <row r="1287" spans="1:6" x14ac:dyDescent="0.2">
      <c r="A1287" s="10" t="s">
        <v>359</v>
      </c>
      <c r="B1287" s="10" t="s">
        <v>74</v>
      </c>
      <c r="C1287" s="10" t="s">
        <v>46</v>
      </c>
      <c r="D1287" s="10">
        <v>20876</v>
      </c>
      <c r="E1287" s="10" t="s">
        <v>5</v>
      </c>
      <c r="F1287" s="10">
        <v>3221</v>
      </c>
    </row>
    <row r="1288" spans="1:6" x14ac:dyDescent="0.2">
      <c r="A1288" s="10" t="s">
        <v>359</v>
      </c>
      <c r="B1288" s="10" t="s">
        <v>74</v>
      </c>
      <c r="C1288" s="10" t="s">
        <v>46</v>
      </c>
      <c r="D1288" s="10">
        <v>20815</v>
      </c>
      <c r="E1288" s="10" t="s">
        <v>9</v>
      </c>
      <c r="F1288" s="10">
        <v>736</v>
      </c>
    </row>
    <row r="1289" spans="1:6" x14ac:dyDescent="0.2">
      <c r="A1289" s="10" t="s">
        <v>359</v>
      </c>
      <c r="B1289" s="10" t="s">
        <v>74</v>
      </c>
      <c r="C1289" s="10" t="s">
        <v>46</v>
      </c>
      <c r="D1289" s="10">
        <v>20814</v>
      </c>
      <c r="E1289" s="10" t="s">
        <v>10</v>
      </c>
      <c r="F1289" s="10">
        <v>337</v>
      </c>
    </row>
    <row r="1290" spans="1:6" x14ac:dyDescent="0.2">
      <c r="A1290" s="10" t="s">
        <v>359</v>
      </c>
      <c r="B1290" s="10" t="s">
        <v>365</v>
      </c>
      <c r="C1290" s="10" t="s">
        <v>46</v>
      </c>
      <c r="D1290" s="10">
        <v>21236</v>
      </c>
      <c r="E1290" s="10" t="s">
        <v>5</v>
      </c>
      <c r="F1290" s="10">
        <v>1155</v>
      </c>
    </row>
    <row r="1291" spans="1:6" x14ac:dyDescent="0.2">
      <c r="A1291" s="10" t="s">
        <v>359</v>
      </c>
      <c r="B1291" s="10" t="s">
        <v>365</v>
      </c>
      <c r="C1291" s="10" t="s">
        <v>46</v>
      </c>
      <c r="D1291" s="10">
        <v>21208</v>
      </c>
      <c r="E1291" s="10" t="s">
        <v>10</v>
      </c>
      <c r="F1291" s="10">
        <v>1142</v>
      </c>
    </row>
    <row r="1292" spans="1:6" x14ac:dyDescent="0.2">
      <c r="A1292" s="10" t="s">
        <v>359</v>
      </c>
      <c r="B1292" s="10" t="s">
        <v>365</v>
      </c>
      <c r="C1292" s="10" t="s">
        <v>46</v>
      </c>
      <c r="D1292" s="10">
        <v>21093</v>
      </c>
      <c r="E1292" s="10" t="s">
        <v>5</v>
      </c>
      <c r="F1292" s="10">
        <v>892</v>
      </c>
    </row>
    <row r="1293" spans="1:6" x14ac:dyDescent="0.2">
      <c r="A1293" s="10" t="s">
        <v>359</v>
      </c>
      <c r="B1293" s="10" t="s">
        <v>365</v>
      </c>
      <c r="C1293" s="10" t="s">
        <v>46</v>
      </c>
      <c r="D1293" s="10">
        <v>21136</v>
      </c>
      <c r="E1293" s="10" t="s">
        <v>6</v>
      </c>
      <c r="F1293" s="10">
        <v>4505</v>
      </c>
    </row>
    <row r="1294" spans="1:6" x14ac:dyDescent="0.2">
      <c r="A1294" s="10" t="s">
        <v>359</v>
      </c>
      <c r="B1294" s="10" t="s">
        <v>74</v>
      </c>
      <c r="C1294" s="10" t="s">
        <v>46</v>
      </c>
      <c r="D1294" s="10">
        <v>20904</v>
      </c>
      <c r="E1294" s="10" t="s">
        <v>6</v>
      </c>
      <c r="F1294" s="10">
        <v>658</v>
      </c>
    </row>
    <row r="1295" spans="1:6" x14ac:dyDescent="0.2">
      <c r="A1295" s="10" t="s">
        <v>359</v>
      </c>
      <c r="B1295" s="10" t="s">
        <v>74</v>
      </c>
      <c r="C1295" s="10" t="s">
        <v>46</v>
      </c>
      <c r="D1295" s="10">
        <v>20878</v>
      </c>
      <c r="E1295" s="10" t="s">
        <v>5</v>
      </c>
      <c r="F1295" s="10">
        <v>982</v>
      </c>
    </row>
    <row r="1296" spans="1:6" x14ac:dyDescent="0.2">
      <c r="A1296" s="10" t="s">
        <v>359</v>
      </c>
      <c r="B1296" s="10" t="s">
        <v>367</v>
      </c>
      <c r="C1296" s="10" t="s">
        <v>46</v>
      </c>
      <c r="D1296" s="10">
        <v>21704</v>
      </c>
      <c r="E1296" s="10" t="s">
        <v>5</v>
      </c>
      <c r="F1296" s="10">
        <v>867</v>
      </c>
    </row>
    <row r="1297" spans="1:6" x14ac:dyDescent="0.2">
      <c r="A1297" s="10" t="s">
        <v>359</v>
      </c>
      <c r="B1297" s="10" t="s">
        <v>365</v>
      </c>
      <c r="C1297" s="10" t="s">
        <v>46</v>
      </c>
      <c r="D1297" s="10">
        <v>21228</v>
      </c>
      <c r="E1297" s="10" t="s">
        <v>6</v>
      </c>
      <c r="F1297" s="10">
        <v>685</v>
      </c>
    </row>
    <row r="1298" spans="1:6" x14ac:dyDescent="0.2">
      <c r="A1298" s="10" t="s">
        <v>359</v>
      </c>
      <c r="B1298" s="10" t="s">
        <v>365</v>
      </c>
      <c r="C1298" s="10" t="s">
        <v>46</v>
      </c>
      <c r="D1298" s="10">
        <v>21228</v>
      </c>
      <c r="E1298" s="10" t="s">
        <v>5</v>
      </c>
      <c r="F1298" s="10">
        <v>1148</v>
      </c>
    </row>
    <row r="1299" spans="1:6" x14ac:dyDescent="0.2">
      <c r="A1299" s="10" t="s">
        <v>359</v>
      </c>
      <c r="B1299" s="10" t="s">
        <v>365</v>
      </c>
      <c r="C1299" s="10" t="s">
        <v>46</v>
      </c>
      <c r="D1299" s="10">
        <v>21237</v>
      </c>
      <c r="E1299" s="10" t="s">
        <v>6</v>
      </c>
      <c r="F1299" s="10">
        <v>377</v>
      </c>
    </row>
    <row r="1300" spans="1:6" x14ac:dyDescent="0.2">
      <c r="A1300" s="10" t="s">
        <v>359</v>
      </c>
      <c r="B1300" s="10" t="s">
        <v>365</v>
      </c>
      <c r="C1300" s="10" t="s">
        <v>46</v>
      </c>
      <c r="D1300" s="10">
        <v>21227</v>
      </c>
      <c r="E1300" s="10" t="s">
        <v>6</v>
      </c>
      <c r="F1300" s="10">
        <v>1681</v>
      </c>
    </row>
    <row r="1301" spans="1:6" x14ac:dyDescent="0.2">
      <c r="A1301" s="10" t="s">
        <v>359</v>
      </c>
      <c r="B1301" s="10" t="s">
        <v>368</v>
      </c>
      <c r="C1301" s="10" t="s">
        <v>46</v>
      </c>
      <c r="D1301" s="10">
        <v>21601</v>
      </c>
      <c r="E1301" s="10" t="s">
        <v>5</v>
      </c>
      <c r="F1301" s="10">
        <v>1184</v>
      </c>
    </row>
    <row r="1302" spans="1:6" x14ac:dyDescent="0.2">
      <c r="A1302" s="10" t="s">
        <v>359</v>
      </c>
      <c r="B1302" s="10" t="s">
        <v>74</v>
      </c>
      <c r="C1302" s="10" t="s">
        <v>46</v>
      </c>
      <c r="D1302" s="10">
        <v>20877</v>
      </c>
      <c r="E1302" s="10" t="s">
        <v>6</v>
      </c>
      <c r="F1302" s="10">
        <v>1720</v>
      </c>
    </row>
    <row r="1303" spans="1:6" x14ac:dyDescent="0.2">
      <c r="A1303" s="10" t="s">
        <v>359</v>
      </c>
      <c r="B1303" s="10" t="s">
        <v>366</v>
      </c>
      <c r="C1303" s="10" t="s">
        <v>46</v>
      </c>
      <c r="D1303" s="10">
        <v>21401</v>
      </c>
      <c r="E1303" s="10" t="s">
        <v>6</v>
      </c>
      <c r="F1303" s="10">
        <v>1535</v>
      </c>
    </row>
    <row r="1304" spans="1:6" x14ac:dyDescent="0.2">
      <c r="A1304" s="10" t="s">
        <v>359</v>
      </c>
      <c r="B1304" s="10" t="s">
        <v>366</v>
      </c>
      <c r="C1304" s="10" t="s">
        <v>46</v>
      </c>
      <c r="D1304" s="10">
        <v>21401</v>
      </c>
      <c r="E1304" s="10" t="s">
        <v>5</v>
      </c>
      <c r="F1304" s="10">
        <v>1387</v>
      </c>
    </row>
    <row r="1305" spans="1:6" x14ac:dyDescent="0.2">
      <c r="A1305" s="10" t="s">
        <v>359</v>
      </c>
      <c r="B1305" s="10" t="s">
        <v>74</v>
      </c>
      <c r="C1305" s="10" t="s">
        <v>46</v>
      </c>
      <c r="D1305" s="10">
        <v>20815</v>
      </c>
      <c r="E1305" s="10" t="s">
        <v>5</v>
      </c>
      <c r="F1305" s="10">
        <v>103</v>
      </c>
    </row>
    <row r="1306" spans="1:6" x14ac:dyDescent="0.2">
      <c r="A1306" s="10" t="s">
        <v>359</v>
      </c>
      <c r="B1306" s="10" t="s">
        <v>366</v>
      </c>
      <c r="C1306" s="10" t="s">
        <v>46</v>
      </c>
      <c r="D1306" s="10">
        <v>21401</v>
      </c>
      <c r="E1306" s="10" t="s">
        <v>10</v>
      </c>
      <c r="F1306" s="10">
        <v>2690</v>
      </c>
    </row>
    <row r="1307" spans="1:6" x14ac:dyDescent="0.2">
      <c r="A1307" s="10" t="s">
        <v>359</v>
      </c>
      <c r="B1307" s="10" t="s">
        <v>298</v>
      </c>
      <c r="C1307" s="10" t="s">
        <v>47</v>
      </c>
      <c r="D1307" s="10">
        <v>21043</v>
      </c>
      <c r="E1307" s="10" t="s">
        <v>5</v>
      </c>
      <c r="F1307" s="10">
        <v>1908</v>
      </c>
    </row>
    <row r="1308" spans="1:6" x14ac:dyDescent="0.2">
      <c r="A1308" s="10" t="s">
        <v>359</v>
      </c>
      <c r="B1308" s="10" t="s">
        <v>369</v>
      </c>
      <c r="C1308" s="10" t="s">
        <v>47</v>
      </c>
      <c r="D1308" s="10">
        <v>21801</v>
      </c>
      <c r="E1308" s="10" t="s">
        <v>5</v>
      </c>
      <c r="F1308" s="10">
        <v>1595</v>
      </c>
    </row>
    <row r="1309" spans="1:6" x14ac:dyDescent="0.2">
      <c r="A1309" s="10" t="s">
        <v>359</v>
      </c>
      <c r="B1309" s="10" t="s">
        <v>358</v>
      </c>
      <c r="C1309" s="10" t="s">
        <v>47</v>
      </c>
      <c r="D1309" s="10">
        <v>21842</v>
      </c>
      <c r="E1309" s="10" t="s">
        <v>5</v>
      </c>
      <c r="F1309" s="10">
        <v>1544</v>
      </c>
    </row>
    <row r="1310" spans="1:6" x14ac:dyDescent="0.2">
      <c r="A1310" s="10" t="s">
        <v>359</v>
      </c>
      <c r="B1310" s="10" t="s">
        <v>298</v>
      </c>
      <c r="C1310" s="10" t="s">
        <v>47</v>
      </c>
      <c r="D1310" s="10">
        <v>21046</v>
      </c>
      <c r="E1310" s="10" t="s">
        <v>5</v>
      </c>
      <c r="F1310" s="10">
        <v>923</v>
      </c>
    </row>
    <row r="1311" spans="1:6" x14ac:dyDescent="0.2">
      <c r="A1311" s="10" t="s">
        <v>359</v>
      </c>
      <c r="B1311" s="10" t="s">
        <v>370</v>
      </c>
      <c r="C1311" s="10" t="s">
        <v>47</v>
      </c>
      <c r="D1311" s="10">
        <v>20678</v>
      </c>
      <c r="E1311" s="10" t="s">
        <v>6</v>
      </c>
      <c r="F1311" s="10">
        <v>2136</v>
      </c>
    </row>
    <row r="1312" spans="1:6" x14ac:dyDescent="0.2">
      <c r="A1312" s="10" t="s">
        <v>359</v>
      </c>
      <c r="B1312" s="10" t="s">
        <v>371</v>
      </c>
      <c r="C1312" s="10" t="s">
        <v>47</v>
      </c>
      <c r="D1312" s="10">
        <v>21502</v>
      </c>
      <c r="E1312" s="10" t="s">
        <v>5</v>
      </c>
      <c r="F1312" s="10">
        <v>444</v>
      </c>
    </row>
    <row r="1313" spans="1:6" x14ac:dyDescent="0.2">
      <c r="A1313" s="10" t="s">
        <v>359</v>
      </c>
      <c r="B1313" s="10" t="s">
        <v>372</v>
      </c>
      <c r="C1313" s="10" t="s">
        <v>47</v>
      </c>
      <c r="D1313" s="10">
        <v>20619</v>
      </c>
      <c r="E1313" s="10" t="s">
        <v>5</v>
      </c>
      <c r="F1313" s="10">
        <v>963</v>
      </c>
    </row>
    <row r="1314" spans="1:6" x14ac:dyDescent="0.2">
      <c r="A1314" s="10" t="s">
        <v>373</v>
      </c>
      <c r="B1314" s="10" t="s">
        <v>374</v>
      </c>
      <c r="C1314" s="10" t="s">
        <v>46</v>
      </c>
      <c r="D1314" s="10">
        <v>4005</v>
      </c>
      <c r="E1314" s="10" t="s">
        <v>5</v>
      </c>
      <c r="F1314" s="10">
        <v>553</v>
      </c>
    </row>
    <row r="1315" spans="1:6" x14ac:dyDescent="0.2">
      <c r="A1315" s="10" t="s">
        <v>373</v>
      </c>
      <c r="B1315" s="10" t="s">
        <v>375</v>
      </c>
      <c r="C1315" s="10" t="s">
        <v>46</v>
      </c>
      <c r="D1315" s="10">
        <v>4074</v>
      </c>
      <c r="E1315" s="10" t="s">
        <v>8</v>
      </c>
      <c r="F1315" s="10">
        <v>886</v>
      </c>
    </row>
    <row r="1316" spans="1:6" x14ac:dyDescent="0.2">
      <c r="A1316" s="10" t="s">
        <v>373</v>
      </c>
      <c r="B1316" s="10" t="s">
        <v>375</v>
      </c>
      <c r="C1316" s="10" t="s">
        <v>46</v>
      </c>
      <c r="D1316" s="10">
        <v>4011</v>
      </c>
      <c r="E1316" s="10" t="s">
        <v>5</v>
      </c>
      <c r="F1316" s="10">
        <v>408</v>
      </c>
    </row>
    <row r="1317" spans="1:6" x14ac:dyDescent="0.2">
      <c r="A1317" s="10" t="s">
        <v>373</v>
      </c>
      <c r="B1317" s="10" t="s">
        <v>375</v>
      </c>
      <c r="C1317" s="10" t="s">
        <v>46</v>
      </c>
      <c r="D1317" s="10">
        <v>4062</v>
      </c>
      <c r="E1317" s="10" t="s">
        <v>5</v>
      </c>
      <c r="F1317" s="10">
        <v>665</v>
      </c>
    </row>
    <row r="1318" spans="1:6" x14ac:dyDescent="0.2">
      <c r="A1318" s="10" t="s">
        <v>373</v>
      </c>
      <c r="B1318" s="10" t="s">
        <v>375</v>
      </c>
      <c r="C1318" s="10" t="s">
        <v>46</v>
      </c>
      <c r="D1318" s="10">
        <v>4105</v>
      </c>
      <c r="E1318" s="10" t="s">
        <v>5</v>
      </c>
      <c r="F1318" s="10">
        <v>209</v>
      </c>
    </row>
    <row r="1319" spans="1:6" x14ac:dyDescent="0.2">
      <c r="A1319" s="10" t="s">
        <v>373</v>
      </c>
      <c r="B1319" s="10" t="s">
        <v>375</v>
      </c>
      <c r="C1319" s="10" t="s">
        <v>46</v>
      </c>
      <c r="D1319" s="10">
        <v>4106</v>
      </c>
      <c r="E1319" s="10" t="s">
        <v>5</v>
      </c>
      <c r="F1319" s="10">
        <v>404</v>
      </c>
    </row>
    <row r="1320" spans="1:6" x14ac:dyDescent="0.2">
      <c r="A1320" s="10" t="s">
        <v>373</v>
      </c>
      <c r="B1320" s="10" t="s">
        <v>307</v>
      </c>
      <c r="C1320" s="10" t="s">
        <v>46</v>
      </c>
      <c r="D1320" s="10">
        <v>4841</v>
      </c>
      <c r="E1320" s="10" t="s">
        <v>5</v>
      </c>
      <c r="F1320" s="10">
        <v>730</v>
      </c>
    </row>
    <row r="1321" spans="1:6" x14ac:dyDescent="0.2">
      <c r="A1321" s="10" t="s">
        <v>373</v>
      </c>
      <c r="B1321" s="10" t="s">
        <v>376</v>
      </c>
      <c r="C1321" s="10" t="s">
        <v>47</v>
      </c>
      <c r="D1321" s="10">
        <v>4240</v>
      </c>
      <c r="E1321" s="10" t="s">
        <v>5</v>
      </c>
      <c r="F1321" s="10">
        <v>612</v>
      </c>
    </row>
    <row r="1322" spans="1:6" x14ac:dyDescent="0.2">
      <c r="A1322" s="10" t="s">
        <v>373</v>
      </c>
      <c r="B1322" s="10" t="s">
        <v>376</v>
      </c>
      <c r="C1322" s="10" t="s">
        <v>47</v>
      </c>
      <c r="D1322" s="10">
        <v>4210</v>
      </c>
      <c r="E1322" s="10" t="s">
        <v>7</v>
      </c>
      <c r="F1322" s="10">
        <v>1153</v>
      </c>
    </row>
    <row r="1323" spans="1:6" x14ac:dyDescent="0.2">
      <c r="A1323" s="10" t="s">
        <v>373</v>
      </c>
      <c r="B1323" s="10" t="s">
        <v>377</v>
      </c>
      <c r="C1323" s="10" t="s">
        <v>47</v>
      </c>
      <c r="D1323" s="10">
        <v>4901</v>
      </c>
      <c r="E1323" s="10" t="s">
        <v>5</v>
      </c>
      <c r="F1323" s="10">
        <v>1131</v>
      </c>
    </row>
    <row r="1324" spans="1:6" x14ac:dyDescent="0.2">
      <c r="A1324" s="10" t="s">
        <v>373</v>
      </c>
      <c r="B1324" s="10" t="s">
        <v>377</v>
      </c>
      <c r="C1324" s="10" t="s">
        <v>47</v>
      </c>
      <c r="D1324" s="10">
        <v>4330</v>
      </c>
      <c r="E1324" s="10" t="s">
        <v>5</v>
      </c>
      <c r="F1324" s="10">
        <v>986</v>
      </c>
    </row>
    <row r="1325" spans="1:6" x14ac:dyDescent="0.2">
      <c r="A1325" s="10" t="s">
        <v>373</v>
      </c>
      <c r="B1325" s="10" t="s">
        <v>378</v>
      </c>
      <c r="C1325" s="10" t="s">
        <v>47</v>
      </c>
      <c r="D1325" s="10">
        <v>4401</v>
      </c>
      <c r="E1325" s="10" t="s">
        <v>5</v>
      </c>
      <c r="F1325" s="10">
        <v>833</v>
      </c>
    </row>
    <row r="1326" spans="1:6" x14ac:dyDescent="0.2">
      <c r="A1326" s="10" t="s">
        <v>379</v>
      </c>
      <c r="B1326" s="10" t="s">
        <v>380</v>
      </c>
      <c r="C1326" s="10" t="s">
        <v>45</v>
      </c>
      <c r="D1326" s="10">
        <v>48386</v>
      </c>
      <c r="E1326" s="10" t="s">
        <v>7</v>
      </c>
      <c r="F1326" s="10">
        <v>1261</v>
      </c>
    </row>
    <row r="1327" spans="1:6" x14ac:dyDescent="0.2">
      <c r="A1327" s="10" t="s">
        <v>379</v>
      </c>
      <c r="B1327" s="10" t="s">
        <v>178</v>
      </c>
      <c r="C1327" s="10" t="s">
        <v>45</v>
      </c>
      <c r="D1327" s="10">
        <v>48162</v>
      </c>
      <c r="E1327" s="10" t="s">
        <v>5</v>
      </c>
      <c r="F1327" s="10">
        <v>931</v>
      </c>
    </row>
    <row r="1328" spans="1:6" x14ac:dyDescent="0.2">
      <c r="A1328" s="10" t="s">
        <v>379</v>
      </c>
      <c r="B1328" s="10" t="s">
        <v>67</v>
      </c>
      <c r="C1328" s="10" t="s">
        <v>45</v>
      </c>
      <c r="D1328" s="10">
        <v>49014</v>
      </c>
      <c r="E1328" s="10" t="s">
        <v>5</v>
      </c>
      <c r="F1328" s="10">
        <v>1335</v>
      </c>
    </row>
    <row r="1329" spans="1:6" x14ac:dyDescent="0.2">
      <c r="A1329" s="10" t="s">
        <v>379</v>
      </c>
      <c r="B1329" s="10" t="s">
        <v>380</v>
      </c>
      <c r="C1329" s="10" t="s">
        <v>45</v>
      </c>
      <c r="D1329" s="10">
        <v>48017</v>
      </c>
      <c r="E1329" s="10" t="s">
        <v>5</v>
      </c>
      <c r="F1329" s="10">
        <v>1450</v>
      </c>
    </row>
    <row r="1330" spans="1:6" x14ac:dyDescent="0.2">
      <c r="A1330" s="10" t="s">
        <v>379</v>
      </c>
      <c r="B1330" s="10" t="s">
        <v>381</v>
      </c>
      <c r="C1330" s="10" t="s">
        <v>45</v>
      </c>
      <c r="D1330" s="10">
        <v>48446</v>
      </c>
      <c r="E1330" s="10" t="s">
        <v>6</v>
      </c>
      <c r="F1330" s="10">
        <v>1019</v>
      </c>
    </row>
    <row r="1331" spans="1:6" x14ac:dyDescent="0.2">
      <c r="A1331" s="10" t="s">
        <v>379</v>
      </c>
      <c r="B1331" s="10" t="s">
        <v>192</v>
      </c>
      <c r="C1331" s="10" t="s">
        <v>45</v>
      </c>
      <c r="D1331" s="10">
        <v>48706</v>
      </c>
      <c r="E1331" s="10" t="s">
        <v>8</v>
      </c>
      <c r="F1331" s="10">
        <v>1460</v>
      </c>
    </row>
    <row r="1332" spans="1:6" x14ac:dyDescent="0.2">
      <c r="A1332" s="10" t="s">
        <v>379</v>
      </c>
      <c r="B1332" s="10" t="s">
        <v>380</v>
      </c>
      <c r="C1332" s="10" t="s">
        <v>45</v>
      </c>
      <c r="D1332" s="10">
        <v>48390</v>
      </c>
      <c r="E1332" s="10" t="s">
        <v>5</v>
      </c>
      <c r="F1332" s="10">
        <v>965</v>
      </c>
    </row>
    <row r="1333" spans="1:6" x14ac:dyDescent="0.2">
      <c r="A1333" s="10" t="s">
        <v>379</v>
      </c>
      <c r="B1333" s="10" t="s">
        <v>380</v>
      </c>
      <c r="C1333" s="10" t="s">
        <v>45</v>
      </c>
      <c r="D1333" s="10">
        <v>48346</v>
      </c>
      <c r="E1333" s="10" t="s">
        <v>6</v>
      </c>
      <c r="F1333" s="10">
        <v>1063</v>
      </c>
    </row>
    <row r="1334" spans="1:6" x14ac:dyDescent="0.2">
      <c r="A1334" s="10" t="s">
        <v>379</v>
      </c>
      <c r="B1334" s="10" t="s">
        <v>382</v>
      </c>
      <c r="C1334" s="10" t="s">
        <v>45</v>
      </c>
      <c r="D1334" s="10">
        <v>48104</v>
      </c>
      <c r="E1334" s="10" t="s">
        <v>7</v>
      </c>
      <c r="F1334" s="10">
        <v>772</v>
      </c>
    </row>
    <row r="1335" spans="1:6" x14ac:dyDescent="0.2">
      <c r="A1335" s="10" t="s">
        <v>379</v>
      </c>
      <c r="B1335" s="10" t="s">
        <v>380</v>
      </c>
      <c r="C1335" s="10" t="s">
        <v>45</v>
      </c>
      <c r="D1335" s="10">
        <v>48336</v>
      </c>
      <c r="E1335" s="10" t="s">
        <v>7</v>
      </c>
      <c r="F1335" s="10">
        <v>1588</v>
      </c>
    </row>
    <row r="1336" spans="1:6" x14ac:dyDescent="0.2">
      <c r="A1336" s="10" t="s">
        <v>379</v>
      </c>
      <c r="B1336" s="10" t="s">
        <v>382</v>
      </c>
      <c r="C1336" s="10" t="s">
        <v>45</v>
      </c>
      <c r="D1336" s="10">
        <v>48104</v>
      </c>
      <c r="E1336" s="10" t="s">
        <v>8</v>
      </c>
      <c r="F1336" s="10">
        <v>285</v>
      </c>
    </row>
    <row r="1337" spans="1:6" x14ac:dyDescent="0.2">
      <c r="A1337" s="10" t="s">
        <v>379</v>
      </c>
      <c r="B1337" s="10" t="s">
        <v>192</v>
      </c>
      <c r="C1337" s="10" t="s">
        <v>45</v>
      </c>
      <c r="D1337" s="10">
        <v>48706</v>
      </c>
      <c r="E1337" s="10" t="s">
        <v>5</v>
      </c>
      <c r="F1337" s="10">
        <v>801</v>
      </c>
    </row>
    <row r="1338" spans="1:6" x14ac:dyDescent="0.2">
      <c r="A1338" s="10" t="s">
        <v>379</v>
      </c>
      <c r="B1338" s="10" t="s">
        <v>380</v>
      </c>
      <c r="C1338" s="10" t="s">
        <v>45</v>
      </c>
      <c r="D1338" s="10">
        <v>48374</v>
      </c>
      <c r="E1338" s="10" t="s">
        <v>5</v>
      </c>
      <c r="F1338" s="10">
        <v>4504</v>
      </c>
    </row>
    <row r="1339" spans="1:6" x14ac:dyDescent="0.2">
      <c r="A1339" s="10" t="s">
        <v>379</v>
      </c>
      <c r="B1339" s="10" t="s">
        <v>380</v>
      </c>
      <c r="C1339" s="10" t="s">
        <v>45</v>
      </c>
      <c r="D1339" s="10">
        <v>48334</v>
      </c>
      <c r="E1339" s="10" t="s">
        <v>6</v>
      </c>
      <c r="F1339" s="10">
        <v>474</v>
      </c>
    </row>
    <row r="1340" spans="1:6" x14ac:dyDescent="0.2">
      <c r="A1340" s="10" t="s">
        <v>379</v>
      </c>
      <c r="B1340" s="10" t="s">
        <v>380</v>
      </c>
      <c r="C1340" s="10" t="s">
        <v>45</v>
      </c>
      <c r="D1340" s="10">
        <v>48326</v>
      </c>
      <c r="E1340" s="10" t="s">
        <v>5</v>
      </c>
      <c r="F1340" s="10">
        <v>1056</v>
      </c>
    </row>
    <row r="1341" spans="1:6" x14ac:dyDescent="0.2">
      <c r="A1341" s="10" t="s">
        <v>379</v>
      </c>
      <c r="B1341" s="10" t="s">
        <v>380</v>
      </c>
      <c r="C1341" s="10" t="s">
        <v>45</v>
      </c>
      <c r="D1341" s="10">
        <v>48309</v>
      </c>
      <c r="E1341" s="10" t="s">
        <v>10</v>
      </c>
      <c r="F1341" s="10">
        <v>927</v>
      </c>
    </row>
    <row r="1342" spans="1:6" x14ac:dyDescent="0.2">
      <c r="A1342" s="10" t="s">
        <v>379</v>
      </c>
      <c r="B1342" s="10" t="s">
        <v>380</v>
      </c>
      <c r="C1342" s="10" t="s">
        <v>45</v>
      </c>
      <c r="D1342" s="10">
        <v>48307</v>
      </c>
      <c r="E1342" s="10" t="s">
        <v>5</v>
      </c>
      <c r="F1342" s="10">
        <v>835</v>
      </c>
    </row>
    <row r="1343" spans="1:6" x14ac:dyDescent="0.2">
      <c r="A1343" s="10" t="s">
        <v>379</v>
      </c>
      <c r="B1343" s="10" t="s">
        <v>380</v>
      </c>
      <c r="C1343" s="10" t="s">
        <v>45</v>
      </c>
      <c r="D1343" s="10">
        <v>48071</v>
      </c>
      <c r="E1343" s="10" t="s">
        <v>7</v>
      </c>
      <c r="F1343" s="10">
        <v>1571</v>
      </c>
    </row>
    <row r="1344" spans="1:6" x14ac:dyDescent="0.2">
      <c r="A1344" s="10" t="s">
        <v>379</v>
      </c>
      <c r="B1344" s="10" t="s">
        <v>380</v>
      </c>
      <c r="C1344" s="10" t="s">
        <v>45</v>
      </c>
      <c r="D1344" s="10">
        <v>48302</v>
      </c>
      <c r="E1344" s="10" t="s">
        <v>5</v>
      </c>
      <c r="F1344" s="10">
        <v>1073</v>
      </c>
    </row>
    <row r="1345" spans="1:6" x14ac:dyDescent="0.2">
      <c r="A1345" s="10" t="s">
        <v>379</v>
      </c>
      <c r="B1345" s="10" t="s">
        <v>380</v>
      </c>
      <c r="C1345" s="10" t="s">
        <v>45</v>
      </c>
      <c r="D1345" s="10">
        <v>48237</v>
      </c>
      <c r="E1345" s="10" t="s">
        <v>6</v>
      </c>
      <c r="F1345" s="10">
        <v>1160</v>
      </c>
    </row>
    <row r="1346" spans="1:6" x14ac:dyDescent="0.2">
      <c r="A1346" s="10" t="s">
        <v>379</v>
      </c>
      <c r="B1346" s="10" t="s">
        <v>382</v>
      </c>
      <c r="C1346" s="10" t="s">
        <v>45</v>
      </c>
      <c r="D1346" s="10">
        <v>48104</v>
      </c>
      <c r="E1346" s="10" t="s">
        <v>10</v>
      </c>
      <c r="F1346" s="10">
        <v>2016</v>
      </c>
    </row>
    <row r="1347" spans="1:6" x14ac:dyDescent="0.2">
      <c r="A1347" s="10" t="s">
        <v>379</v>
      </c>
      <c r="B1347" s="10" t="s">
        <v>380</v>
      </c>
      <c r="C1347" s="10" t="s">
        <v>45</v>
      </c>
      <c r="D1347" s="10">
        <v>48009</v>
      </c>
      <c r="E1347" s="10" t="s">
        <v>10</v>
      </c>
      <c r="F1347" s="10">
        <v>569</v>
      </c>
    </row>
    <row r="1348" spans="1:6" x14ac:dyDescent="0.2">
      <c r="A1348" s="10" t="s">
        <v>379</v>
      </c>
      <c r="B1348" s="10" t="s">
        <v>382</v>
      </c>
      <c r="C1348" s="10" t="s">
        <v>45</v>
      </c>
      <c r="D1348" s="10">
        <v>48103</v>
      </c>
      <c r="E1348" s="10" t="s">
        <v>7</v>
      </c>
      <c r="F1348" s="10">
        <v>602</v>
      </c>
    </row>
    <row r="1349" spans="1:6" x14ac:dyDescent="0.2">
      <c r="A1349" s="10" t="s">
        <v>379</v>
      </c>
      <c r="B1349" s="10" t="s">
        <v>382</v>
      </c>
      <c r="C1349" s="10" t="s">
        <v>45</v>
      </c>
      <c r="D1349" s="10">
        <v>48103</v>
      </c>
      <c r="E1349" s="10" t="s">
        <v>5</v>
      </c>
      <c r="F1349" s="10">
        <v>1521</v>
      </c>
    </row>
    <row r="1350" spans="1:6" x14ac:dyDescent="0.2">
      <c r="A1350" s="10" t="s">
        <v>379</v>
      </c>
      <c r="B1350" s="10" t="s">
        <v>380</v>
      </c>
      <c r="C1350" s="10" t="s">
        <v>45</v>
      </c>
      <c r="D1350" s="10">
        <v>48307</v>
      </c>
      <c r="E1350" s="10" t="s">
        <v>7</v>
      </c>
      <c r="F1350" s="10">
        <v>852</v>
      </c>
    </row>
    <row r="1351" spans="1:6" x14ac:dyDescent="0.2">
      <c r="A1351" s="10" t="s">
        <v>379</v>
      </c>
      <c r="B1351" s="10" t="s">
        <v>380</v>
      </c>
      <c r="C1351" s="10" t="s">
        <v>45</v>
      </c>
      <c r="D1351" s="10">
        <v>48375</v>
      </c>
      <c r="E1351" s="10" t="s">
        <v>7</v>
      </c>
      <c r="F1351" s="10">
        <v>1072</v>
      </c>
    </row>
    <row r="1352" spans="1:6" x14ac:dyDescent="0.2">
      <c r="A1352" s="10" t="s">
        <v>379</v>
      </c>
      <c r="B1352" s="10" t="s">
        <v>383</v>
      </c>
      <c r="C1352" s="10" t="s">
        <v>46</v>
      </c>
      <c r="D1352" s="10">
        <v>49424</v>
      </c>
      <c r="E1352" s="10" t="s">
        <v>5</v>
      </c>
      <c r="F1352" s="10">
        <v>1232</v>
      </c>
    </row>
    <row r="1353" spans="1:6" x14ac:dyDescent="0.2">
      <c r="A1353" s="10" t="s">
        <v>379</v>
      </c>
      <c r="B1353" s="10" t="s">
        <v>384</v>
      </c>
      <c r="C1353" s="10" t="s">
        <v>46</v>
      </c>
      <c r="D1353" s="10">
        <v>49009</v>
      </c>
      <c r="E1353" s="10" t="s">
        <v>6</v>
      </c>
      <c r="F1353" s="10">
        <v>3159</v>
      </c>
    </row>
    <row r="1354" spans="1:6" x14ac:dyDescent="0.2">
      <c r="A1354" s="10" t="s">
        <v>379</v>
      </c>
      <c r="B1354" s="10" t="s">
        <v>385</v>
      </c>
      <c r="C1354" s="10" t="s">
        <v>46</v>
      </c>
      <c r="D1354" s="10">
        <v>49444</v>
      </c>
      <c r="E1354" s="10" t="s">
        <v>5</v>
      </c>
      <c r="F1354" s="10">
        <v>1888</v>
      </c>
    </row>
    <row r="1355" spans="1:6" x14ac:dyDescent="0.2">
      <c r="A1355" s="10" t="s">
        <v>379</v>
      </c>
      <c r="B1355" s="10" t="s">
        <v>383</v>
      </c>
      <c r="C1355" s="10" t="s">
        <v>46</v>
      </c>
      <c r="D1355" s="10">
        <v>49417</v>
      </c>
      <c r="E1355" s="10" t="s">
        <v>5</v>
      </c>
      <c r="F1355" s="10">
        <v>1366</v>
      </c>
    </row>
    <row r="1356" spans="1:6" x14ac:dyDescent="0.2">
      <c r="A1356" s="10" t="s">
        <v>379</v>
      </c>
      <c r="B1356" s="10" t="s">
        <v>386</v>
      </c>
      <c r="C1356" s="10" t="s">
        <v>46</v>
      </c>
      <c r="D1356" s="10">
        <v>48532</v>
      </c>
      <c r="E1356" s="10" t="s">
        <v>8</v>
      </c>
      <c r="F1356" s="10">
        <v>49</v>
      </c>
    </row>
    <row r="1357" spans="1:6" x14ac:dyDescent="0.2">
      <c r="A1357" s="10" t="s">
        <v>379</v>
      </c>
      <c r="B1357" s="10" t="s">
        <v>387</v>
      </c>
      <c r="C1357" s="10" t="s">
        <v>46</v>
      </c>
      <c r="D1357" s="10">
        <v>48640</v>
      </c>
      <c r="E1357" s="10" t="s">
        <v>8</v>
      </c>
      <c r="F1357" s="10">
        <v>575</v>
      </c>
    </row>
    <row r="1358" spans="1:6" x14ac:dyDescent="0.2">
      <c r="A1358" s="10" t="s">
        <v>379</v>
      </c>
      <c r="B1358" s="10" t="s">
        <v>386</v>
      </c>
      <c r="C1358" s="10" t="s">
        <v>46</v>
      </c>
      <c r="D1358" s="10">
        <v>48439</v>
      </c>
      <c r="E1358" s="10" t="s">
        <v>5</v>
      </c>
      <c r="F1358" s="10">
        <v>356</v>
      </c>
    </row>
    <row r="1359" spans="1:6" x14ac:dyDescent="0.2">
      <c r="A1359" s="10" t="s">
        <v>379</v>
      </c>
      <c r="B1359" s="10" t="s">
        <v>288</v>
      </c>
      <c r="C1359" s="10" t="s">
        <v>46</v>
      </c>
      <c r="D1359" s="10">
        <v>48059</v>
      </c>
      <c r="E1359" s="10" t="s">
        <v>5</v>
      </c>
      <c r="F1359" s="10">
        <v>883</v>
      </c>
    </row>
    <row r="1360" spans="1:6" x14ac:dyDescent="0.2">
      <c r="A1360" s="10" t="s">
        <v>379</v>
      </c>
      <c r="B1360" s="10" t="s">
        <v>384</v>
      </c>
      <c r="C1360" s="10" t="s">
        <v>46</v>
      </c>
      <c r="D1360" s="10">
        <v>49002</v>
      </c>
      <c r="E1360" s="10" t="s">
        <v>6</v>
      </c>
      <c r="F1360" s="10">
        <v>958</v>
      </c>
    </row>
    <row r="1361" spans="1:6" x14ac:dyDescent="0.2">
      <c r="A1361" s="10" t="s">
        <v>379</v>
      </c>
      <c r="B1361" s="10" t="s">
        <v>388</v>
      </c>
      <c r="C1361" s="10" t="s">
        <v>46</v>
      </c>
      <c r="D1361" s="10">
        <v>48116</v>
      </c>
      <c r="E1361" s="10" t="s">
        <v>5</v>
      </c>
      <c r="F1361" s="10">
        <v>2245</v>
      </c>
    </row>
    <row r="1362" spans="1:6" x14ac:dyDescent="0.2">
      <c r="A1362" s="10" t="s">
        <v>379</v>
      </c>
      <c r="B1362" s="10" t="s">
        <v>285</v>
      </c>
      <c r="C1362" s="10" t="s">
        <v>46</v>
      </c>
      <c r="D1362" s="10">
        <v>49202</v>
      </c>
      <c r="E1362" s="10" t="s">
        <v>7</v>
      </c>
      <c r="F1362" s="10">
        <v>2165</v>
      </c>
    </row>
    <row r="1363" spans="1:6" x14ac:dyDescent="0.2">
      <c r="A1363" s="10" t="s">
        <v>379</v>
      </c>
      <c r="B1363" s="10" t="s">
        <v>387</v>
      </c>
      <c r="C1363" s="10" t="s">
        <v>46</v>
      </c>
      <c r="D1363" s="10">
        <v>48642</v>
      </c>
      <c r="E1363" s="10" t="s">
        <v>5</v>
      </c>
      <c r="F1363" s="10">
        <v>810</v>
      </c>
    </row>
    <row r="1364" spans="1:6" x14ac:dyDescent="0.2">
      <c r="A1364" s="10" t="s">
        <v>379</v>
      </c>
      <c r="B1364" s="10" t="s">
        <v>388</v>
      </c>
      <c r="C1364" s="10" t="s">
        <v>46</v>
      </c>
      <c r="D1364" s="10">
        <v>48116</v>
      </c>
      <c r="E1364" s="10" t="s">
        <v>8</v>
      </c>
      <c r="F1364" s="10">
        <v>1022</v>
      </c>
    </row>
    <row r="1365" spans="1:6" x14ac:dyDescent="0.2">
      <c r="A1365" s="10" t="s">
        <v>379</v>
      </c>
      <c r="B1365" s="10" t="s">
        <v>386</v>
      </c>
      <c r="C1365" s="10" t="s">
        <v>46</v>
      </c>
      <c r="D1365" s="10">
        <v>48507</v>
      </c>
      <c r="E1365" s="10" t="s">
        <v>6</v>
      </c>
      <c r="F1365" s="10">
        <v>948</v>
      </c>
    </row>
    <row r="1366" spans="1:6" x14ac:dyDescent="0.2">
      <c r="A1366" s="10" t="s">
        <v>379</v>
      </c>
      <c r="B1366" s="10" t="s">
        <v>384</v>
      </c>
      <c r="C1366" s="10" t="s">
        <v>46</v>
      </c>
      <c r="D1366" s="10">
        <v>49008</v>
      </c>
      <c r="E1366" s="10" t="s">
        <v>8</v>
      </c>
      <c r="F1366" s="10">
        <v>112</v>
      </c>
    </row>
    <row r="1367" spans="1:6" x14ac:dyDescent="0.2">
      <c r="A1367" s="10" t="s">
        <v>379</v>
      </c>
      <c r="B1367" s="10" t="s">
        <v>389</v>
      </c>
      <c r="C1367" s="10" t="s">
        <v>46</v>
      </c>
      <c r="D1367" s="10">
        <v>49022</v>
      </c>
      <c r="E1367" s="10" t="s">
        <v>5</v>
      </c>
      <c r="F1367" s="10">
        <v>651</v>
      </c>
    </row>
    <row r="1368" spans="1:6" x14ac:dyDescent="0.2">
      <c r="A1368" s="10" t="s">
        <v>379</v>
      </c>
      <c r="B1368" s="10" t="s">
        <v>390</v>
      </c>
      <c r="C1368" s="10" t="s">
        <v>46</v>
      </c>
      <c r="D1368" s="10">
        <v>49242</v>
      </c>
      <c r="E1368" s="10" t="s">
        <v>8</v>
      </c>
      <c r="F1368" s="10">
        <v>553</v>
      </c>
    </row>
    <row r="1369" spans="1:6" x14ac:dyDescent="0.2">
      <c r="A1369" s="10" t="s">
        <v>379</v>
      </c>
      <c r="B1369" s="10" t="s">
        <v>391</v>
      </c>
      <c r="C1369" s="10" t="s">
        <v>47</v>
      </c>
      <c r="D1369" s="10">
        <v>48911</v>
      </c>
      <c r="E1369" s="10" t="s">
        <v>7</v>
      </c>
      <c r="F1369" s="10">
        <v>701</v>
      </c>
    </row>
    <row r="1370" spans="1:6" x14ac:dyDescent="0.2">
      <c r="A1370" s="10" t="s">
        <v>379</v>
      </c>
      <c r="B1370" s="10" t="s">
        <v>392</v>
      </c>
      <c r="C1370" s="10" t="s">
        <v>47</v>
      </c>
      <c r="D1370" s="10">
        <v>49770</v>
      </c>
      <c r="E1370" s="10" t="s">
        <v>7</v>
      </c>
      <c r="F1370" s="10">
        <v>981</v>
      </c>
    </row>
    <row r="1371" spans="1:6" x14ac:dyDescent="0.2">
      <c r="A1371" s="10" t="s">
        <v>379</v>
      </c>
      <c r="B1371" s="10" t="s">
        <v>393</v>
      </c>
      <c r="C1371" s="10" t="s">
        <v>47</v>
      </c>
      <c r="D1371" s="10">
        <v>48035</v>
      </c>
      <c r="E1371" s="10" t="s">
        <v>7</v>
      </c>
      <c r="F1371" s="10">
        <v>520</v>
      </c>
    </row>
    <row r="1372" spans="1:6" x14ac:dyDescent="0.2">
      <c r="A1372" s="10" t="s">
        <v>379</v>
      </c>
      <c r="B1372" s="10" t="s">
        <v>394</v>
      </c>
      <c r="C1372" s="10" t="s">
        <v>47</v>
      </c>
      <c r="D1372" s="10">
        <v>48917</v>
      </c>
      <c r="E1372" s="10" t="s">
        <v>8</v>
      </c>
      <c r="F1372" s="10">
        <v>421</v>
      </c>
    </row>
    <row r="1373" spans="1:6" x14ac:dyDescent="0.2">
      <c r="A1373" s="10" t="s">
        <v>379</v>
      </c>
      <c r="B1373" s="10" t="s">
        <v>170</v>
      </c>
      <c r="C1373" s="10" t="s">
        <v>47</v>
      </c>
      <c r="D1373" s="10">
        <v>49512</v>
      </c>
      <c r="E1373" s="10" t="s">
        <v>8</v>
      </c>
      <c r="F1373" s="10">
        <v>133</v>
      </c>
    </row>
    <row r="1374" spans="1:6" x14ac:dyDescent="0.2">
      <c r="A1374" s="10" t="s">
        <v>379</v>
      </c>
      <c r="B1374" s="10" t="s">
        <v>395</v>
      </c>
      <c r="C1374" s="10" t="s">
        <v>47</v>
      </c>
      <c r="D1374" s="10">
        <v>48183</v>
      </c>
      <c r="E1374" s="10" t="s">
        <v>6</v>
      </c>
      <c r="F1374" s="10">
        <v>1247</v>
      </c>
    </row>
    <row r="1375" spans="1:6" x14ac:dyDescent="0.2">
      <c r="A1375" s="10" t="s">
        <v>379</v>
      </c>
      <c r="B1375" s="10" t="s">
        <v>395</v>
      </c>
      <c r="C1375" s="10" t="s">
        <v>47</v>
      </c>
      <c r="D1375" s="10">
        <v>48195</v>
      </c>
      <c r="E1375" s="10" t="s">
        <v>7</v>
      </c>
      <c r="F1375" s="10">
        <v>1261</v>
      </c>
    </row>
    <row r="1376" spans="1:6" x14ac:dyDescent="0.2">
      <c r="A1376" s="10" t="s">
        <v>379</v>
      </c>
      <c r="B1376" s="10" t="s">
        <v>396</v>
      </c>
      <c r="C1376" s="10" t="s">
        <v>47</v>
      </c>
      <c r="D1376" s="10">
        <v>49684</v>
      </c>
      <c r="E1376" s="10" t="s">
        <v>5</v>
      </c>
      <c r="F1376" s="10">
        <v>1636</v>
      </c>
    </row>
    <row r="1377" spans="1:6" x14ac:dyDescent="0.2">
      <c r="A1377" s="10" t="s">
        <v>379</v>
      </c>
      <c r="B1377" s="10" t="s">
        <v>396</v>
      </c>
      <c r="C1377" s="10" t="s">
        <v>47</v>
      </c>
      <c r="D1377" s="10">
        <v>49686</v>
      </c>
      <c r="E1377" s="10" t="s">
        <v>8</v>
      </c>
      <c r="F1377" s="10">
        <v>487</v>
      </c>
    </row>
    <row r="1378" spans="1:6" x14ac:dyDescent="0.2">
      <c r="A1378" s="10" t="s">
        <v>379</v>
      </c>
      <c r="B1378" s="10" t="s">
        <v>170</v>
      </c>
      <c r="C1378" s="10" t="s">
        <v>47</v>
      </c>
      <c r="D1378" s="10">
        <v>49512</v>
      </c>
      <c r="E1378" s="10" t="s">
        <v>7</v>
      </c>
      <c r="F1378" s="10">
        <v>1512</v>
      </c>
    </row>
    <row r="1379" spans="1:6" x14ac:dyDescent="0.2">
      <c r="A1379" s="10" t="s">
        <v>379</v>
      </c>
      <c r="B1379" s="10" t="s">
        <v>395</v>
      </c>
      <c r="C1379" s="10" t="s">
        <v>47</v>
      </c>
      <c r="D1379" s="10">
        <v>48124</v>
      </c>
      <c r="E1379" s="10" t="s">
        <v>5</v>
      </c>
      <c r="F1379" s="10">
        <v>2065</v>
      </c>
    </row>
    <row r="1380" spans="1:6" x14ac:dyDescent="0.2">
      <c r="A1380" s="10" t="s">
        <v>379</v>
      </c>
      <c r="B1380" s="10" t="s">
        <v>395</v>
      </c>
      <c r="C1380" s="10" t="s">
        <v>47</v>
      </c>
      <c r="D1380" s="10">
        <v>48150</v>
      </c>
      <c r="E1380" s="10" t="s">
        <v>6</v>
      </c>
      <c r="F1380" s="10">
        <v>1121</v>
      </c>
    </row>
    <row r="1381" spans="1:6" x14ac:dyDescent="0.2">
      <c r="A1381" s="10" t="s">
        <v>379</v>
      </c>
      <c r="B1381" s="10" t="s">
        <v>395</v>
      </c>
      <c r="C1381" s="10" t="s">
        <v>47</v>
      </c>
      <c r="D1381" s="10">
        <v>48185</v>
      </c>
      <c r="E1381" s="10" t="s">
        <v>7</v>
      </c>
      <c r="F1381" s="10">
        <v>920</v>
      </c>
    </row>
    <row r="1382" spans="1:6" x14ac:dyDescent="0.2">
      <c r="A1382" s="10" t="s">
        <v>379</v>
      </c>
      <c r="B1382" s="10" t="s">
        <v>397</v>
      </c>
      <c r="C1382" s="10" t="s">
        <v>47</v>
      </c>
      <c r="D1382" s="10">
        <v>48604</v>
      </c>
      <c r="E1382" s="10" t="s">
        <v>5</v>
      </c>
      <c r="F1382" s="10">
        <v>1286</v>
      </c>
    </row>
    <row r="1383" spans="1:6" x14ac:dyDescent="0.2">
      <c r="A1383" s="10" t="s">
        <v>379</v>
      </c>
      <c r="B1383" s="10" t="s">
        <v>393</v>
      </c>
      <c r="C1383" s="10" t="s">
        <v>47</v>
      </c>
      <c r="D1383" s="10">
        <v>48021</v>
      </c>
      <c r="E1383" s="10" t="s">
        <v>6</v>
      </c>
      <c r="F1383" s="10">
        <v>1403</v>
      </c>
    </row>
    <row r="1384" spans="1:6" x14ac:dyDescent="0.2">
      <c r="A1384" s="10" t="s">
        <v>379</v>
      </c>
      <c r="B1384" s="10" t="s">
        <v>398</v>
      </c>
      <c r="C1384" s="10" t="s">
        <v>47</v>
      </c>
      <c r="D1384" s="10">
        <v>49221</v>
      </c>
      <c r="E1384" s="10" t="s">
        <v>5</v>
      </c>
      <c r="F1384" s="10">
        <v>1353</v>
      </c>
    </row>
    <row r="1385" spans="1:6" x14ac:dyDescent="0.2">
      <c r="A1385" s="10" t="s">
        <v>379</v>
      </c>
      <c r="B1385" s="10" t="s">
        <v>391</v>
      </c>
      <c r="C1385" s="10" t="s">
        <v>47</v>
      </c>
      <c r="D1385" s="10">
        <v>48864</v>
      </c>
      <c r="E1385" s="10" t="s">
        <v>8</v>
      </c>
      <c r="F1385" s="10">
        <v>163</v>
      </c>
    </row>
    <row r="1386" spans="1:6" x14ac:dyDescent="0.2">
      <c r="A1386" s="10" t="s">
        <v>379</v>
      </c>
      <c r="B1386" s="10" t="s">
        <v>397</v>
      </c>
      <c r="C1386" s="10" t="s">
        <v>47</v>
      </c>
      <c r="D1386" s="10">
        <v>48604</v>
      </c>
      <c r="E1386" s="10" t="s">
        <v>7</v>
      </c>
      <c r="F1386" s="10">
        <v>255</v>
      </c>
    </row>
    <row r="1387" spans="1:6" x14ac:dyDescent="0.2">
      <c r="A1387" s="10" t="s">
        <v>379</v>
      </c>
      <c r="B1387" s="10" t="s">
        <v>393</v>
      </c>
      <c r="C1387" s="10" t="s">
        <v>47</v>
      </c>
      <c r="D1387" s="10">
        <v>48038</v>
      </c>
      <c r="E1387" s="10" t="s">
        <v>9</v>
      </c>
      <c r="F1387" s="10">
        <v>953</v>
      </c>
    </row>
    <row r="1388" spans="1:6" x14ac:dyDescent="0.2">
      <c r="A1388" s="10" t="s">
        <v>379</v>
      </c>
      <c r="B1388" s="10" t="s">
        <v>393</v>
      </c>
      <c r="C1388" s="10" t="s">
        <v>47</v>
      </c>
      <c r="D1388" s="10">
        <v>48051</v>
      </c>
      <c r="E1388" s="10" t="s">
        <v>5</v>
      </c>
      <c r="F1388" s="10">
        <v>2866</v>
      </c>
    </row>
    <row r="1389" spans="1:6" x14ac:dyDescent="0.2">
      <c r="A1389" s="10" t="s">
        <v>379</v>
      </c>
      <c r="B1389" s="10" t="s">
        <v>397</v>
      </c>
      <c r="C1389" s="10" t="s">
        <v>47</v>
      </c>
      <c r="D1389" s="10">
        <v>48604</v>
      </c>
      <c r="E1389" s="10" t="s">
        <v>8</v>
      </c>
      <c r="F1389" s="10">
        <v>323</v>
      </c>
    </row>
    <row r="1390" spans="1:6" x14ac:dyDescent="0.2">
      <c r="A1390" s="10" t="s">
        <v>379</v>
      </c>
      <c r="B1390" s="10" t="s">
        <v>395</v>
      </c>
      <c r="C1390" s="10" t="s">
        <v>47</v>
      </c>
      <c r="D1390" s="10">
        <v>48230</v>
      </c>
      <c r="E1390" s="10" t="s">
        <v>5</v>
      </c>
      <c r="F1390" s="10">
        <v>1158</v>
      </c>
    </row>
    <row r="1391" spans="1:6" x14ac:dyDescent="0.2">
      <c r="A1391" s="10" t="s">
        <v>379</v>
      </c>
      <c r="B1391" s="10" t="s">
        <v>393</v>
      </c>
      <c r="C1391" s="10" t="s">
        <v>47</v>
      </c>
      <c r="D1391" s="10">
        <v>48313</v>
      </c>
      <c r="E1391" s="10" t="s">
        <v>6</v>
      </c>
      <c r="F1391" s="10">
        <v>2376</v>
      </c>
    </row>
    <row r="1392" spans="1:6" x14ac:dyDescent="0.2">
      <c r="A1392" s="10" t="s">
        <v>379</v>
      </c>
      <c r="B1392" s="10" t="s">
        <v>170</v>
      </c>
      <c r="C1392" s="10" t="s">
        <v>47</v>
      </c>
      <c r="D1392" s="10">
        <v>49316</v>
      </c>
      <c r="E1392" s="10" t="s">
        <v>5</v>
      </c>
      <c r="F1392" s="10">
        <v>265</v>
      </c>
    </row>
    <row r="1393" spans="1:6" x14ac:dyDescent="0.2">
      <c r="A1393" s="10" t="s">
        <v>379</v>
      </c>
      <c r="B1393" s="10" t="s">
        <v>399</v>
      </c>
      <c r="C1393" s="10" t="s">
        <v>47</v>
      </c>
      <c r="D1393" s="10">
        <v>48858</v>
      </c>
      <c r="E1393" s="10" t="s">
        <v>5</v>
      </c>
      <c r="F1393" s="10">
        <v>537</v>
      </c>
    </row>
    <row r="1394" spans="1:6" x14ac:dyDescent="0.2">
      <c r="A1394" s="10" t="s">
        <v>379</v>
      </c>
      <c r="B1394" s="10" t="s">
        <v>170</v>
      </c>
      <c r="C1394" s="10" t="s">
        <v>47</v>
      </c>
      <c r="D1394" s="10">
        <v>49418</v>
      </c>
      <c r="E1394" s="10" t="s">
        <v>5</v>
      </c>
      <c r="F1394" s="10">
        <v>2066</v>
      </c>
    </row>
    <row r="1395" spans="1:6" x14ac:dyDescent="0.2">
      <c r="A1395" s="10" t="s">
        <v>379</v>
      </c>
      <c r="B1395" s="10" t="s">
        <v>395</v>
      </c>
      <c r="C1395" s="10" t="s">
        <v>47</v>
      </c>
      <c r="D1395" s="10">
        <v>48187</v>
      </c>
      <c r="E1395" s="10" t="s">
        <v>7</v>
      </c>
      <c r="F1395" s="10">
        <v>1223</v>
      </c>
    </row>
    <row r="1396" spans="1:6" x14ac:dyDescent="0.2">
      <c r="A1396" s="10" t="s">
        <v>379</v>
      </c>
      <c r="B1396" s="10" t="s">
        <v>395</v>
      </c>
      <c r="C1396" s="10" t="s">
        <v>47</v>
      </c>
      <c r="D1396" s="10">
        <v>48101</v>
      </c>
      <c r="E1396" s="10" t="s">
        <v>5</v>
      </c>
      <c r="F1396" s="10">
        <v>1228</v>
      </c>
    </row>
    <row r="1397" spans="1:6" x14ac:dyDescent="0.2">
      <c r="A1397" s="10" t="s">
        <v>379</v>
      </c>
      <c r="B1397" s="10" t="s">
        <v>170</v>
      </c>
      <c r="C1397" s="10" t="s">
        <v>47</v>
      </c>
      <c r="D1397" s="10">
        <v>49544</v>
      </c>
      <c r="E1397" s="10" t="s">
        <v>6</v>
      </c>
      <c r="F1397" s="10">
        <v>1462</v>
      </c>
    </row>
    <row r="1398" spans="1:6" x14ac:dyDescent="0.2">
      <c r="A1398" s="10" t="s">
        <v>379</v>
      </c>
      <c r="B1398" s="10" t="s">
        <v>391</v>
      </c>
      <c r="C1398" s="10" t="s">
        <v>47</v>
      </c>
      <c r="D1398" s="10">
        <v>48912</v>
      </c>
      <c r="E1398" s="10" t="s">
        <v>5</v>
      </c>
      <c r="F1398" s="10">
        <v>824</v>
      </c>
    </row>
    <row r="1399" spans="1:6" x14ac:dyDescent="0.2">
      <c r="A1399" s="10" t="s">
        <v>379</v>
      </c>
      <c r="B1399" s="10" t="s">
        <v>391</v>
      </c>
      <c r="C1399" s="10" t="s">
        <v>47</v>
      </c>
      <c r="D1399" s="10">
        <v>48864</v>
      </c>
      <c r="E1399" s="10" t="s">
        <v>6</v>
      </c>
      <c r="F1399" s="10">
        <v>2026</v>
      </c>
    </row>
    <row r="1400" spans="1:6" x14ac:dyDescent="0.2">
      <c r="A1400" s="10" t="s">
        <v>379</v>
      </c>
      <c r="B1400" s="10" t="s">
        <v>170</v>
      </c>
      <c r="C1400" s="10" t="s">
        <v>47</v>
      </c>
      <c r="D1400" s="10">
        <v>49512</v>
      </c>
      <c r="E1400" s="10" t="s">
        <v>5</v>
      </c>
      <c r="F1400" s="10">
        <v>1763</v>
      </c>
    </row>
    <row r="1401" spans="1:6" x14ac:dyDescent="0.2">
      <c r="A1401" s="10" t="s">
        <v>379</v>
      </c>
      <c r="B1401" s="10" t="s">
        <v>394</v>
      </c>
      <c r="C1401" s="10" t="s">
        <v>47</v>
      </c>
      <c r="D1401" s="10">
        <v>48917</v>
      </c>
      <c r="E1401" s="10" t="s">
        <v>5</v>
      </c>
      <c r="F1401" s="10">
        <v>1163</v>
      </c>
    </row>
    <row r="1402" spans="1:6" x14ac:dyDescent="0.2">
      <c r="A1402" s="10" t="s">
        <v>379</v>
      </c>
      <c r="B1402" s="10" t="s">
        <v>393</v>
      </c>
      <c r="C1402" s="10" t="s">
        <v>47</v>
      </c>
      <c r="D1402" s="10">
        <v>48312</v>
      </c>
      <c r="E1402" s="10" t="s">
        <v>7</v>
      </c>
      <c r="F1402" s="10">
        <v>782</v>
      </c>
    </row>
    <row r="1403" spans="1:6" x14ac:dyDescent="0.2">
      <c r="A1403" s="10" t="s">
        <v>379</v>
      </c>
      <c r="B1403" s="10" t="s">
        <v>395</v>
      </c>
      <c r="C1403" s="10" t="s">
        <v>47</v>
      </c>
      <c r="D1403" s="10">
        <v>48168</v>
      </c>
      <c r="E1403" s="10" t="s">
        <v>6</v>
      </c>
      <c r="F1403" s="10">
        <v>4179</v>
      </c>
    </row>
    <row r="1404" spans="1:6" x14ac:dyDescent="0.2">
      <c r="A1404" s="10" t="s">
        <v>379</v>
      </c>
      <c r="B1404" s="10" t="s">
        <v>395</v>
      </c>
      <c r="C1404" s="10" t="s">
        <v>47</v>
      </c>
      <c r="D1404" s="10">
        <v>48124</v>
      </c>
      <c r="E1404" s="10" t="s">
        <v>8</v>
      </c>
      <c r="F1404" s="10">
        <v>650</v>
      </c>
    </row>
    <row r="1405" spans="1:6" x14ac:dyDescent="0.2">
      <c r="A1405" s="10" t="s">
        <v>379</v>
      </c>
      <c r="B1405" s="10" t="s">
        <v>170</v>
      </c>
      <c r="C1405" s="10" t="s">
        <v>47</v>
      </c>
      <c r="D1405" s="10">
        <v>49418</v>
      </c>
      <c r="E1405" s="10" t="s">
        <v>7</v>
      </c>
      <c r="F1405" s="10">
        <v>1955</v>
      </c>
    </row>
    <row r="1406" spans="1:6" x14ac:dyDescent="0.2">
      <c r="A1406" s="10" t="s">
        <v>400</v>
      </c>
      <c r="B1406" s="10" t="s">
        <v>401</v>
      </c>
      <c r="C1406" s="10" t="s">
        <v>45</v>
      </c>
      <c r="D1406" s="10">
        <v>55413</v>
      </c>
      <c r="E1406" s="10" t="s">
        <v>6</v>
      </c>
      <c r="F1406" s="10">
        <v>2261</v>
      </c>
    </row>
    <row r="1407" spans="1:6" x14ac:dyDescent="0.2">
      <c r="A1407" s="10" t="s">
        <v>400</v>
      </c>
      <c r="B1407" s="10" t="s">
        <v>401</v>
      </c>
      <c r="C1407" s="10" t="s">
        <v>45</v>
      </c>
      <c r="D1407" s="10">
        <v>55435</v>
      </c>
      <c r="E1407" s="10" t="s">
        <v>5</v>
      </c>
      <c r="F1407" s="10">
        <v>1603</v>
      </c>
    </row>
    <row r="1408" spans="1:6" x14ac:dyDescent="0.2">
      <c r="A1408" s="10" t="s">
        <v>400</v>
      </c>
      <c r="B1408" s="10" t="s">
        <v>402</v>
      </c>
      <c r="C1408" s="10" t="s">
        <v>45</v>
      </c>
      <c r="D1408" s="10">
        <v>55330</v>
      </c>
      <c r="E1408" s="10" t="s">
        <v>7</v>
      </c>
      <c r="F1408" s="10">
        <v>2412</v>
      </c>
    </row>
    <row r="1409" spans="1:6" x14ac:dyDescent="0.2">
      <c r="A1409" s="10" t="s">
        <v>400</v>
      </c>
      <c r="B1409" s="10" t="s">
        <v>403</v>
      </c>
      <c r="C1409" s="10" t="s">
        <v>45</v>
      </c>
      <c r="D1409" s="10">
        <v>55109</v>
      </c>
      <c r="E1409" s="10" t="s">
        <v>7</v>
      </c>
      <c r="F1409" s="10">
        <v>1328</v>
      </c>
    </row>
    <row r="1410" spans="1:6" x14ac:dyDescent="0.2">
      <c r="A1410" s="10" t="s">
        <v>400</v>
      </c>
      <c r="B1410" s="10" t="s">
        <v>403</v>
      </c>
      <c r="C1410" s="10" t="s">
        <v>45</v>
      </c>
      <c r="D1410" s="10">
        <v>55104</v>
      </c>
      <c r="E1410" s="10" t="s">
        <v>7</v>
      </c>
      <c r="F1410" s="10">
        <v>1072</v>
      </c>
    </row>
    <row r="1411" spans="1:6" x14ac:dyDescent="0.2">
      <c r="A1411" s="10" t="s">
        <v>400</v>
      </c>
      <c r="B1411" s="10" t="s">
        <v>403</v>
      </c>
      <c r="C1411" s="10" t="s">
        <v>45</v>
      </c>
      <c r="D1411" s="10">
        <v>55113</v>
      </c>
      <c r="E1411" s="10" t="s">
        <v>6</v>
      </c>
      <c r="F1411" s="10">
        <v>1661</v>
      </c>
    </row>
    <row r="1412" spans="1:6" x14ac:dyDescent="0.2">
      <c r="A1412" s="10" t="s">
        <v>400</v>
      </c>
      <c r="B1412" s="10" t="s">
        <v>404</v>
      </c>
      <c r="C1412" s="10" t="s">
        <v>45</v>
      </c>
      <c r="D1412" s="10">
        <v>56425</v>
      </c>
      <c r="E1412" s="10" t="s">
        <v>7</v>
      </c>
      <c r="F1412" s="10">
        <v>527</v>
      </c>
    </row>
    <row r="1413" spans="1:6" x14ac:dyDescent="0.2">
      <c r="A1413" s="10" t="s">
        <v>400</v>
      </c>
      <c r="B1413" s="10" t="s">
        <v>401</v>
      </c>
      <c r="C1413" s="10" t="s">
        <v>45</v>
      </c>
      <c r="D1413" s="10">
        <v>55416</v>
      </c>
      <c r="E1413" s="10" t="s">
        <v>6</v>
      </c>
      <c r="F1413" s="10">
        <v>797</v>
      </c>
    </row>
    <row r="1414" spans="1:6" x14ac:dyDescent="0.2">
      <c r="A1414" s="10" t="s">
        <v>400</v>
      </c>
      <c r="B1414" s="10" t="s">
        <v>401</v>
      </c>
      <c r="C1414" s="10" t="s">
        <v>45</v>
      </c>
      <c r="D1414" s="10">
        <v>55408</v>
      </c>
      <c r="E1414" s="10" t="s">
        <v>6</v>
      </c>
      <c r="F1414" s="10">
        <v>1242</v>
      </c>
    </row>
    <row r="1415" spans="1:6" x14ac:dyDescent="0.2">
      <c r="A1415" s="10" t="s">
        <v>400</v>
      </c>
      <c r="B1415" s="10" t="s">
        <v>401</v>
      </c>
      <c r="C1415" s="10" t="s">
        <v>45</v>
      </c>
      <c r="D1415" s="10">
        <v>55369</v>
      </c>
      <c r="E1415" s="10" t="s">
        <v>6</v>
      </c>
      <c r="F1415" s="10">
        <v>1775</v>
      </c>
    </row>
    <row r="1416" spans="1:6" x14ac:dyDescent="0.2">
      <c r="A1416" s="10" t="s">
        <v>400</v>
      </c>
      <c r="B1416" s="10" t="s">
        <v>401</v>
      </c>
      <c r="C1416" s="10" t="s">
        <v>45</v>
      </c>
      <c r="D1416" s="10">
        <v>55435</v>
      </c>
      <c r="E1416" s="10" t="s">
        <v>9</v>
      </c>
      <c r="F1416" s="10">
        <v>516</v>
      </c>
    </row>
    <row r="1417" spans="1:6" x14ac:dyDescent="0.2">
      <c r="A1417" s="10" t="s">
        <v>400</v>
      </c>
      <c r="B1417" s="10" t="s">
        <v>401</v>
      </c>
      <c r="C1417" s="10" t="s">
        <v>45</v>
      </c>
      <c r="D1417" s="10">
        <v>55408</v>
      </c>
      <c r="E1417" s="10" t="s">
        <v>10</v>
      </c>
      <c r="F1417" s="10">
        <v>1052</v>
      </c>
    </row>
    <row r="1418" spans="1:6" x14ac:dyDescent="0.2">
      <c r="A1418" s="10" t="s">
        <v>400</v>
      </c>
      <c r="B1418" s="10" t="s">
        <v>401</v>
      </c>
      <c r="C1418" s="10" t="s">
        <v>45</v>
      </c>
      <c r="D1418" s="10">
        <v>55305</v>
      </c>
      <c r="E1418" s="10" t="s">
        <v>5</v>
      </c>
      <c r="F1418" s="10">
        <v>826</v>
      </c>
    </row>
    <row r="1419" spans="1:6" x14ac:dyDescent="0.2">
      <c r="A1419" s="10" t="s">
        <v>400</v>
      </c>
      <c r="B1419" s="10" t="s">
        <v>401</v>
      </c>
      <c r="C1419" s="10" t="s">
        <v>45</v>
      </c>
      <c r="D1419" s="10">
        <v>55435</v>
      </c>
      <c r="E1419" s="10" t="s">
        <v>6</v>
      </c>
      <c r="F1419" s="10">
        <v>406</v>
      </c>
    </row>
    <row r="1420" spans="1:6" x14ac:dyDescent="0.2">
      <c r="A1420" s="10" t="s">
        <v>400</v>
      </c>
      <c r="B1420" s="10" t="s">
        <v>405</v>
      </c>
      <c r="C1420" s="10" t="s">
        <v>45</v>
      </c>
      <c r="D1420" s="10">
        <v>56601</v>
      </c>
      <c r="E1420" s="10" t="s">
        <v>7</v>
      </c>
      <c r="F1420" s="10">
        <v>342</v>
      </c>
    </row>
    <row r="1421" spans="1:6" x14ac:dyDescent="0.2">
      <c r="A1421" s="10" t="s">
        <v>400</v>
      </c>
      <c r="B1421" s="10" t="s">
        <v>403</v>
      </c>
      <c r="C1421" s="10" t="s">
        <v>45</v>
      </c>
      <c r="D1421" s="10">
        <v>55105</v>
      </c>
      <c r="E1421" s="10" t="s">
        <v>10</v>
      </c>
      <c r="F1421" s="10">
        <v>1948</v>
      </c>
    </row>
    <row r="1422" spans="1:6" x14ac:dyDescent="0.2">
      <c r="A1422" s="10" t="s">
        <v>400</v>
      </c>
      <c r="B1422" s="10" t="s">
        <v>401</v>
      </c>
      <c r="C1422" s="10" t="s">
        <v>45</v>
      </c>
      <c r="D1422" s="10">
        <v>55425</v>
      </c>
      <c r="E1422" s="10" t="s">
        <v>10</v>
      </c>
      <c r="F1422" s="10">
        <v>415</v>
      </c>
    </row>
    <row r="1423" spans="1:6" x14ac:dyDescent="0.2">
      <c r="A1423" s="10" t="s">
        <v>400</v>
      </c>
      <c r="B1423" s="10" t="s">
        <v>401</v>
      </c>
      <c r="C1423" s="10" t="s">
        <v>45</v>
      </c>
      <c r="D1423" s="10">
        <v>55369</v>
      </c>
      <c r="E1423" s="10" t="s">
        <v>8</v>
      </c>
      <c r="F1423" s="10">
        <v>717</v>
      </c>
    </row>
    <row r="1424" spans="1:6" x14ac:dyDescent="0.2">
      <c r="A1424" s="10" t="s">
        <v>400</v>
      </c>
      <c r="B1424" s="10" t="s">
        <v>401</v>
      </c>
      <c r="C1424" s="10" t="s">
        <v>45</v>
      </c>
      <c r="D1424" s="10">
        <v>55305</v>
      </c>
      <c r="E1424" s="10" t="s">
        <v>6</v>
      </c>
      <c r="F1424" s="10">
        <v>4535</v>
      </c>
    </row>
    <row r="1425" spans="1:6" x14ac:dyDescent="0.2">
      <c r="A1425" s="10" t="s">
        <v>400</v>
      </c>
      <c r="B1425" s="10" t="s">
        <v>401</v>
      </c>
      <c r="C1425" s="10" t="s">
        <v>45</v>
      </c>
      <c r="D1425" s="10">
        <v>55344</v>
      </c>
      <c r="E1425" s="10" t="s">
        <v>6</v>
      </c>
      <c r="F1425" s="10">
        <v>862</v>
      </c>
    </row>
    <row r="1426" spans="1:6" x14ac:dyDescent="0.2">
      <c r="A1426" s="10" t="s">
        <v>400</v>
      </c>
      <c r="B1426" s="10" t="s">
        <v>401</v>
      </c>
      <c r="C1426" s="10" t="s">
        <v>45</v>
      </c>
      <c r="D1426" s="10">
        <v>55305</v>
      </c>
      <c r="E1426" s="10" t="s">
        <v>9</v>
      </c>
      <c r="F1426" s="10">
        <v>2095</v>
      </c>
    </row>
    <row r="1427" spans="1:6" x14ac:dyDescent="0.2">
      <c r="A1427" s="10" t="s">
        <v>400</v>
      </c>
      <c r="B1427" s="10" t="s">
        <v>401</v>
      </c>
      <c r="C1427" s="10" t="s">
        <v>45</v>
      </c>
      <c r="D1427" s="10">
        <v>55410</v>
      </c>
      <c r="E1427" s="10" t="s">
        <v>10</v>
      </c>
      <c r="F1427" s="10">
        <v>345</v>
      </c>
    </row>
    <row r="1428" spans="1:6" x14ac:dyDescent="0.2">
      <c r="A1428" s="10" t="s">
        <v>400</v>
      </c>
      <c r="B1428" s="10" t="s">
        <v>406</v>
      </c>
      <c r="C1428" s="10" t="s">
        <v>46</v>
      </c>
      <c r="D1428" s="10">
        <v>56001</v>
      </c>
      <c r="E1428" s="10" t="s">
        <v>6</v>
      </c>
      <c r="F1428" s="10">
        <v>3038</v>
      </c>
    </row>
    <row r="1429" spans="1:6" x14ac:dyDescent="0.2">
      <c r="A1429" s="10" t="s">
        <v>400</v>
      </c>
      <c r="B1429" s="10" t="s">
        <v>261</v>
      </c>
      <c r="C1429" s="10" t="s">
        <v>46</v>
      </c>
      <c r="D1429" s="10">
        <v>55379</v>
      </c>
      <c r="E1429" s="10" t="s">
        <v>7</v>
      </c>
      <c r="F1429" s="10">
        <v>417</v>
      </c>
    </row>
    <row r="1430" spans="1:6" x14ac:dyDescent="0.2">
      <c r="A1430" s="10" t="s">
        <v>400</v>
      </c>
      <c r="B1430" s="10" t="s">
        <v>407</v>
      </c>
      <c r="C1430" s="10" t="s">
        <v>46</v>
      </c>
      <c r="D1430" s="10">
        <v>55434</v>
      </c>
      <c r="E1430" s="10" t="s">
        <v>7</v>
      </c>
      <c r="F1430" s="10">
        <v>597</v>
      </c>
    </row>
    <row r="1431" spans="1:6" x14ac:dyDescent="0.2">
      <c r="A1431" s="10" t="s">
        <v>400</v>
      </c>
      <c r="B1431" s="10" t="s">
        <v>261</v>
      </c>
      <c r="C1431" s="10" t="s">
        <v>46</v>
      </c>
      <c r="D1431" s="10">
        <v>55378</v>
      </c>
      <c r="E1431" s="10" t="s">
        <v>7</v>
      </c>
      <c r="F1431" s="10">
        <v>1943</v>
      </c>
    </row>
    <row r="1432" spans="1:6" x14ac:dyDescent="0.2">
      <c r="A1432" s="10" t="s">
        <v>400</v>
      </c>
      <c r="B1432" s="10" t="s">
        <v>407</v>
      </c>
      <c r="C1432" s="10" t="s">
        <v>46</v>
      </c>
      <c r="D1432" s="10">
        <v>55433</v>
      </c>
      <c r="E1432" s="10" t="s">
        <v>7</v>
      </c>
      <c r="F1432" s="10">
        <v>1582</v>
      </c>
    </row>
    <row r="1433" spans="1:6" x14ac:dyDescent="0.2">
      <c r="A1433" s="10" t="s">
        <v>400</v>
      </c>
      <c r="B1433" s="10" t="s">
        <v>407</v>
      </c>
      <c r="C1433" s="10" t="s">
        <v>46</v>
      </c>
      <c r="D1433" s="10">
        <v>55449</v>
      </c>
      <c r="E1433" s="10" t="s">
        <v>7</v>
      </c>
      <c r="F1433" s="10">
        <v>1020</v>
      </c>
    </row>
    <row r="1434" spans="1:6" x14ac:dyDescent="0.2">
      <c r="A1434" s="10" t="s">
        <v>400</v>
      </c>
      <c r="B1434" s="10" t="s">
        <v>408</v>
      </c>
      <c r="C1434" s="10" t="s">
        <v>46</v>
      </c>
      <c r="D1434" s="10">
        <v>56201</v>
      </c>
      <c r="E1434" s="10" t="s">
        <v>7</v>
      </c>
      <c r="F1434" s="10">
        <v>1446</v>
      </c>
    </row>
    <row r="1435" spans="1:6" x14ac:dyDescent="0.2">
      <c r="A1435" s="10" t="s">
        <v>400</v>
      </c>
      <c r="B1435" s="10" t="s">
        <v>144</v>
      </c>
      <c r="C1435" s="10" t="s">
        <v>46</v>
      </c>
      <c r="D1435" s="10">
        <v>56308</v>
      </c>
      <c r="E1435" s="10" t="s">
        <v>7</v>
      </c>
      <c r="F1435" s="10">
        <v>1256</v>
      </c>
    </row>
    <row r="1436" spans="1:6" x14ac:dyDescent="0.2">
      <c r="A1436" s="10" t="s">
        <v>400</v>
      </c>
      <c r="B1436" s="10" t="s">
        <v>409</v>
      </c>
      <c r="C1436" s="10" t="s">
        <v>47</v>
      </c>
      <c r="D1436" s="10">
        <v>55124</v>
      </c>
      <c r="E1436" s="10" t="s">
        <v>8</v>
      </c>
      <c r="F1436" s="10">
        <v>367</v>
      </c>
    </row>
    <row r="1437" spans="1:6" x14ac:dyDescent="0.2">
      <c r="A1437" s="10" t="s">
        <v>400</v>
      </c>
      <c r="B1437" s="10" t="s">
        <v>410</v>
      </c>
      <c r="C1437" s="10" t="s">
        <v>47</v>
      </c>
      <c r="D1437" s="10">
        <v>55362</v>
      </c>
      <c r="E1437" s="10" t="s">
        <v>7</v>
      </c>
      <c r="F1437" s="10">
        <v>1679</v>
      </c>
    </row>
    <row r="1438" spans="1:6" x14ac:dyDescent="0.2">
      <c r="A1438" s="10" t="s">
        <v>400</v>
      </c>
      <c r="B1438" s="10" t="s">
        <v>409</v>
      </c>
      <c r="C1438" s="10" t="s">
        <v>47</v>
      </c>
      <c r="D1438" s="10">
        <v>55121</v>
      </c>
      <c r="E1438" s="10" t="s">
        <v>7</v>
      </c>
      <c r="F1438" s="10">
        <v>375</v>
      </c>
    </row>
    <row r="1439" spans="1:6" x14ac:dyDescent="0.2">
      <c r="A1439" s="10" t="s">
        <v>400</v>
      </c>
      <c r="B1439" s="10" t="s">
        <v>411</v>
      </c>
      <c r="C1439" s="10" t="s">
        <v>47</v>
      </c>
      <c r="D1439" s="10">
        <v>55317</v>
      </c>
      <c r="E1439" s="10" t="s">
        <v>7</v>
      </c>
      <c r="F1439" s="10">
        <v>1312</v>
      </c>
    </row>
    <row r="1440" spans="1:6" x14ac:dyDescent="0.2">
      <c r="A1440" s="10" t="s">
        <v>400</v>
      </c>
      <c r="B1440" s="10" t="s">
        <v>412</v>
      </c>
      <c r="C1440" s="10" t="s">
        <v>47</v>
      </c>
      <c r="D1440" s="10">
        <v>56301</v>
      </c>
      <c r="E1440" s="10" t="s">
        <v>6</v>
      </c>
      <c r="F1440" s="10">
        <v>1162</v>
      </c>
    </row>
    <row r="1441" spans="1:6" x14ac:dyDescent="0.2">
      <c r="A1441" s="10" t="s">
        <v>400</v>
      </c>
      <c r="B1441" s="10" t="s">
        <v>413</v>
      </c>
      <c r="C1441" s="10" t="s">
        <v>47</v>
      </c>
      <c r="D1441" s="10">
        <v>55811</v>
      </c>
      <c r="E1441" s="10" t="s">
        <v>6</v>
      </c>
      <c r="F1441" s="10">
        <v>475</v>
      </c>
    </row>
    <row r="1442" spans="1:6" x14ac:dyDescent="0.2">
      <c r="A1442" s="10" t="s">
        <v>400</v>
      </c>
      <c r="B1442" s="10" t="s">
        <v>409</v>
      </c>
      <c r="C1442" s="10" t="s">
        <v>47</v>
      </c>
      <c r="D1442" s="10">
        <v>55077</v>
      </c>
      <c r="E1442" s="10" t="s">
        <v>7</v>
      </c>
      <c r="F1442" s="10">
        <v>514</v>
      </c>
    </row>
    <row r="1443" spans="1:6" x14ac:dyDescent="0.2">
      <c r="A1443" s="10" t="s">
        <v>400</v>
      </c>
      <c r="B1443" s="10" t="s">
        <v>412</v>
      </c>
      <c r="C1443" s="10" t="s">
        <v>47</v>
      </c>
      <c r="D1443" s="10">
        <v>56301</v>
      </c>
      <c r="E1443" s="10" t="s">
        <v>7</v>
      </c>
      <c r="F1443" s="10">
        <v>1807</v>
      </c>
    </row>
    <row r="1444" spans="1:6" x14ac:dyDescent="0.2">
      <c r="A1444" s="10" t="s">
        <v>400</v>
      </c>
      <c r="B1444" s="10" t="s">
        <v>414</v>
      </c>
      <c r="C1444" s="10" t="s">
        <v>47</v>
      </c>
      <c r="D1444" s="10">
        <v>55901</v>
      </c>
      <c r="E1444" s="10" t="s">
        <v>5</v>
      </c>
      <c r="F1444" s="10">
        <v>516</v>
      </c>
    </row>
    <row r="1445" spans="1:6" x14ac:dyDescent="0.2">
      <c r="A1445" s="10" t="s">
        <v>400</v>
      </c>
      <c r="B1445" s="10" t="s">
        <v>82</v>
      </c>
      <c r="C1445" s="10" t="s">
        <v>47</v>
      </c>
      <c r="D1445" s="10">
        <v>55125</v>
      </c>
      <c r="E1445" s="10" t="s">
        <v>7</v>
      </c>
      <c r="F1445" s="10">
        <v>769</v>
      </c>
    </row>
    <row r="1446" spans="1:6" x14ac:dyDescent="0.2">
      <c r="A1446" s="10" t="s">
        <v>400</v>
      </c>
      <c r="B1446" s="10" t="s">
        <v>409</v>
      </c>
      <c r="C1446" s="10" t="s">
        <v>47</v>
      </c>
      <c r="D1446" s="10">
        <v>55124</v>
      </c>
      <c r="E1446" s="10" t="s">
        <v>5</v>
      </c>
      <c r="F1446" s="10">
        <v>761</v>
      </c>
    </row>
    <row r="1447" spans="1:6" x14ac:dyDescent="0.2">
      <c r="A1447" s="10" t="s">
        <v>400</v>
      </c>
      <c r="B1447" s="10" t="s">
        <v>409</v>
      </c>
      <c r="C1447" s="10" t="s">
        <v>47</v>
      </c>
      <c r="D1447" s="10">
        <v>55124</v>
      </c>
      <c r="E1447" s="10" t="s">
        <v>6</v>
      </c>
      <c r="F1447" s="10">
        <v>817</v>
      </c>
    </row>
    <row r="1448" spans="1:6" x14ac:dyDescent="0.2">
      <c r="A1448" s="10" t="s">
        <v>400</v>
      </c>
      <c r="B1448" s="10" t="s">
        <v>414</v>
      </c>
      <c r="C1448" s="10" t="s">
        <v>47</v>
      </c>
      <c r="D1448" s="10">
        <v>55904</v>
      </c>
      <c r="E1448" s="10" t="s">
        <v>7</v>
      </c>
      <c r="F1448" s="10">
        <v>633</v>
      </c>
    </row>
    <row r="1449" spans="1:6" x14ac:dyDescent="0.2">
      <c r="A1449" s="10" t="s">
        <v>400</v>
      </c>
      <c r="B1449" s="10" t="s">
        <v>207</v>
      </c>
      <c r="C1449" s="10" t="s">
        <v>47</v>
      </c>
      <c r="D1449" s="10">
        <v>56529</v>
      </c>
      <c r="E1449" s="10" t="s">
        <v>7</v>
      </c>
      <c r="F1449" s="10">
        <v>504</v>
      </c>
    </row>
    <row r="1450" spans="1:6" x14ac:dyDescent="0.2">
      <c r="A1450" s="10" t="s">
        <v>400</v>
      </c>
      <c r="B1450" s="10" t="s">
        <v>82</v>
      </c>
      <c r="C1450" s="10" t="s">
        <v>47</v>
      </c>
      <c r="D1450" s="10">
        <v>55082</v>
      </c>
      <c r="E1450" s="10" t="s">
        <v>7</v>
      </c>
      <c r="F1450" s="10">
        <v>684</v>
      </c>
    </row>
    <row r="1451" spans="1:6" x14ac:dyDescent="0.2">
      <c r="A1451" s="10" t="s">
        <v>400</v>
      </c>
      <c r="B1451" s="10" t="s">
        <v>82</v>
      </c>
      <c r="C1451" s="10" t="s">
        <v>47</v>
      </c>
      <c r="D1451" s="10">
        <v>55025</v>
      </c>
      <c r="E1451" s="10" t="s">
        <v>7</v>
      </c>
      <c r="F1451" s="10">
        <v>2462</v>
      </c>
    </row>
    <row r="1452" spans="1:6" x14ac:dyDescent="0.2">
      <c r="A1452" s="10" t="s">
        <v>415</v>
      </c>
      <c r="B1452" s="10" t="s">
        <v>416</v>
      </c>
      <c r="C1452" s="10" t="s">
        <v>45</v>
      </c>
      <c r="D1452" s="10">
        <v>65301</v>
      </c>
      <c r="E1452" s="10" t="s">
        <v>5</v>
      </c>
      <c r="F1452" s="10">
        <v>1422</v>
      </c>
    </row>
    <row r="1453" spans="1:6" x14ac:dyDescent="0.2">
      <c r="A1453" s="10" t="s">
        <v>415</v>
      </c>
      <c r="B1453" s="10" t="s">
        <v>417</v>
      </c>
      <c r="C1453" s="10" t="s">
        <v>45</v>
      </c>
      <c r="D1453" s="10">
        <v>65401</v>
      </c>
      <c r="E1453" s="10" t="s">
        <v>5</v>
      </c>
      <c r="F1453" s="10">
        <v>1174</v>
      </c>
    </row>
    <row r="1454" spans="1:6" x14ac:dyDescent="0.2">
      <c r="A1454" s="10" t="s">
        <v>415</v>
      </c>
      <c r="B1454" s="10" t="s">
        <v>418</v>
      </c>
      <c r="C1454" s="10" t="s">
        <v>45</v>
      </c>
      <c r="D1454" s="10">
        <v>65109</v>
      </c>
      <c r="E1454" s="10" t="s">
        <v>5</v>
      </c>
      <c r="F1454" s="10">
        <v>1286</v>
      </c>
    </row>
    <row r="1455" spans="1:6" x14ac:dyDescent="0.2">
      <c r="A1455" s="10" t="s">
        <v>415</v>
      </c>
      <c r="B1455" s="10" t="s">
        <v>419</v>
      </c>
      <c r="C1455" s="10" t="s">
        <v>45</v>
      </c>
      <c r="D1455" s="10">
        <v>63108</v>
      </c>
      <c r="E1455" s="10" t="s">
        <v>6</v>
      </c>
      <c r="F1455" s="10">
        <v>1554</v>
      </c>
    </row>
    <row r="1456" spans="1:6" x14ac:dyDescent="0.2">
      <c r="A1456" s="10" t="s">
        <v>415</v>
      </c>
      <c r="B1456" s="10" t="s">
        <v>328</v>
      </c>
      <c r="C1456" s="10" t="s">
        <v>45</v>
      </c>
      <c r="D1456" s="10">
        <v>63090</v>
      </c>
      <c r="E1456" s="10" t="s">
        <v>8</v>
      </c>
      <c r="F1456" s="10">
        <v>1030</v>
      </c>
    </row>
    <row r="1457" spans="1:6" x14ac:dyDescent="0.2">
      <c r="A1457" s="10" t="s">
        <v>415</v>
      </c>
      <c r="B1457" s="10" t="s">
        <v>420</v>
      </c>
      <c r="C1457" s="10" t="s">
        <v>45</v>
      </c>
      <c r="D1457" s="10">
        <v>64804</v>
      </c>
      <c r="E1457" s="10" t="s">
        <v>6</v>
      </c>
      <c r="F1457" s="10">
        <v>4910</v>
      </c>
    </row>
    <row r="1458" spans="1:6" x14ac:dyDescent="0.2">
      <c r="A1458" s="10" t="s">
        <v>415</v>
      </c>
      <c r="B1458" s="10" t="s">
        <v>420</v>
      </c>
      <c r="C1458" s="10" t="s">
        <v>45</v>
      </c>
      <c r="D1458" s="10">
        <v>64836</v>
      </c>
      <c r="E1458" s="10" t="s">
        <v>8</v>
      </c>
      <c r="F1458" s="10">
        <v>937</v>
      </c>
    </row>
    <row r="1459" spans="1:6" x14ac:dyDescent="0.2">
      <c r="A1459" s="10" t="s">
        <v>415</v>
      </c>
      <c r="B1459" s="10" t="s">
        <v>328</v>
      </c>
      <c r="C1459" s="10" t="s">
        <v>45</v>
      </c>
      <c r="D1459" s="10">
        <v>63090</v>
      </c>
      <c r="E1459" s="10" t="s">
        <v>7</v>
      </c>
      <c r="F1459" s="10">
        <v>1215</v>
      </c>
    </row>
    <row r="1460" spans="1:6" x14ac:dyDescent="0.2">
      <c r="A1460" s="10" t="s">
        <v>415</v>
      </c>
      <c r="B1460" s="10" t="s">
        <v>421</v>
      </c>
      <c r="C1460" s="10" t="s">
        <v>45</v>
      </c>
      <c r="D1460" s="10">
        <v>63640</v>
      </c>
      <c r="E1460" s="10" t="s">
        <v>7</v>
      </c>
      <c r="F1460" s="10">
        <v>1494</v>
      </c>
    </row>
    <row r="1461" spans="1:6" x14ac:dyDescent="0.2">
      <c r="A1461" s="10" t="s">
        <v>415</v>
      </c>
      <c r="B1461" s="10" t="s">
        <v>420</v>
      </c>
      <c r="C1461" s="10" t="s">
        <v>45</v>
      </c>
      <c r="D1461" s="10">
        <v>64801</v>
      </c>
      <c r="E1461" s="10" t="s">
        <v>8</v>
      </c>
      <c r="F1461" s="10">
        <v>1479</v>
      </c>
    </row>
    <row r="1462" spans="1:6" x14ac:dyDescent="0.2">
      <c r="A1462" s="10" t="s">
        <v>415</v>
      </c>
      <c r="B1462" s="10" t="s">
        <v>419</v>
      </c>
      <c r="C1462" s="10" t="s">
        <v>45</v>
      </c>
      <c r="D1462" s="10">
        <v>63116</v>
      </c>
      <c r="E1462" s="10" t="s">
        <v>6</v>
      </c>
      <c r="F1462" s="10">
        <v>959</v>
      </c>
    </row>
    <row r="1463" spans="1:6" x14ac:dyDescent="0.2">
      <c r="A1463" s="10" t="s">
        <v>415</v>
      </c>
      <c r="B1463" s="10" t="s">
        <v>422</v>
      </c>
      <c r="C1463" s="10" t="s">
        <v>46</v>
      </c>
      <c r="D1463" s="10">
        <v>63376</v>
      </c>
      <c r="E1463" s="10" t="s">
        <v>6</v>
      </c>
      <c r="F1463" s="10">
        <v>1673</v>
      </c>
    </row>
    <row r="1464" spans="1:6" x14ac:dyDescent="0.2">
      <c r="A1464" s="10" t="s">
        <v>415</v>
      </c>
      <c r="B1464" s="10" t="s">
        <v>285</v>
      </c>
      <c r="C1464" s="10" t="s">
        <v>46</v>
      </c>
      <c r="D1464" s="10">
        <v>64112</v>
      </c>
      <c r="E1464" s="10" t="s">
        <v>10</v>
      </c>
      <c r="F1464" s="10">
        <v>3220</v>
      </c>
    </row>
    <row r="1465" spans="1:6" x14ac:dyDescent="0.2">
      <c r="A1465" s="10" t="s">
        <v>415</v>
      </c>
      <c r="B1465" s="10" t="s">
        <v>285</v>
      </c>
      <c r="C1465" s="10" t="s">
        <v>46</v>
      </c>
      <c r="D1465" s="10">
        <v>64055</v>
      </c>
      <c r="E1465" s="10" t="s">
        <v>6</v>
      </c>
      <c r="F1465" s="10">
        <v>1575</v>
      </c>
    </row>
    <row r="1466" spans="1:6" x14ac:dyDescent="0.2">
      <c r="A1466" s="10" t="s">
        <v>415</v>
      </c>
      <c r="B1466" s="10" t="s">
        <v>423</v>
      </c>
      <c r="C1466" s="10" t="s">
        <v>46</v>
      </c>
      <c r="D1466" s="10">
        <v>65804</v>
      </c>
      <c r="E1466" s="10" t="s">
        <v>5</v>
      </c>
      <c r="F1466" s="10">
        <v>2838</v>
      </c>
    </row>
    <row r="1467" spans="1:6" x14ac:dyDescent="0.2">
      <c r="A1467" s="10" t="s">
        <v>415</v>
      </c>
      <c r="B1467" s="10" t="s">
        <v>285</v>
      </c>
      <c r="C1467" s="10" t="s">
        <v>46</v>
      </c>
      <c r="D1467" s="10">
        <v>64081</v>
      </c>
      <c r="E1467" s="10" t="s">
        <v>8</v>
      </c>
      <c r="F1467" s="10">
        <v>1797</v>
      </c>
    </row>
    <row r="1468" spans="1:6" x14ac:dyDescent="0.2">
      <c r="A1468" s="10" t="s">
        <v>415</v>
      </c>
      <c r="B1468" s="10" t="s">
        <v>424</v>
      </c>
      <c r="C1468" s="10" t="s">
        <v>46</v>
      </c>
      <c r="D1468" s="10">
        <v>63901</v>
      </c>
      <c r="E1468" s="10" t="s">
        <v>6</v>
      </c>
      <c r="F1468" s="10">
        <v>1444</v>
      </c>
    </row>
    <row r="1469" spans="1:6" x14ac:dyDescent="0.2">
      <c r="A1469" s="10" t="s">
        <v>415</v>
      </c>
      <c r="B1469" s="10" t="s">
        <v>425</v>
      </c>
      <c r="C1469" s="10" t="s">
        <v>46</v>
      </c>
      <c r="D1469" s="10">
        <v>64151</v>
      </c>
      <c r="E1469" s="10" t="s">
        <v>7</v>
      </c>
      <c r="F1469" s="10">
        <v>1689</v>
      </c>
    </row>
    <row r="1470" spans="1:6" x14ac:dyDescent="0.2">
      <c r="A1470" s="10" t="s">
        <v>415</v>
      </c>
      <c r="B1470" s="10" t="s">
        <v>422</v>
      </c>
      <c r="C1470" s="10" t="s">
        <v>46</v>
      </c>
      <c r="D1470" s="10">
        <v>63385</v>
      </c>
      <c r="E1470" s="10" t="s">
        <v>7</v>
      </c>
      <c r="F1470" s="10">
        <v>584</v>
      </c>
    </row>
    <row r="1471" spans="1:6" x14ac:dyDescent="0.2">
      <c r="A1471" s="10" t="s">
        <v>415</v>
      </c>
      <c r="B1471" s="10" t="s">
        <v>426</v>
      </c>
      <c r="C1471" s="10" t="s">
        <v>46</v>
      </c>
      <c r="D1471" s="10">
        <v>64506</v>
      </c>
      <c r="E1471" s="10" t="s">
        <v>6</v>
      </c>
      <c r="F1471" s="10">
        <v>1926</v>
      </c>
    </row>
    <row r="1472" spans="1:6" x14ac:dyDescent="0.2">
      <c r="A1472" s="10" t="s">
        <v>415</v>
      </c>
      <c r="B1472" s="10" t="s">
        <v>423</v>
      </c>
      <c r="C1472" s="10" t="s">
        <v>46</v>
      </c>
      <c r="D1472" s="10">
        <v>65804</v>
      </c>
      <c r="E1472" s="10" t="s">
        <v>6</v>
      </c>
      <c r="F1472" s="10">
        <v>3432</v>
      </c>
    </row>
    <row r="1473" spans="1:6" x14ac:dyDescent="0.2">
      <c r="A1473" s="10" t="s">
        <v>415</v>
      </c>
      <c r="B1473" s="10" t="s">
        <v>425</v>
      </c>
      <c r="C1473" s="10" t="s">
        <v>46</v>
      </c>
      <c r="D1473" s="10">
        <v>64153</v>
      </c>
      <c r="E1473" s="10" t="s">
        <v>5</v>
      </c>
      <c r="F1473" s="10">
        <v>1332</v>
      </c>
    </row>
    <row r="1474" spans="1:6" x14ac:dyDescent="0.2">
      <c r="A1474" s="10" t="s">
        <v>415</v>
      </c>
      <c r="B1474" s="10" t="s">
        <v>423</v>
      </c>
      <c r="C1474" s="10" t="s">
        <v>46</v>
      </c>
      <c r="D1474" s="10">
        <v>65802</v>
      </c>
      <c r="E1474" s="10" t="s">
        <v>8</v>
      </c>
      <c r="F1474" s="10">
        <v>308</v>
      </c>
    </row>
    <row r="1475" spans="1:6" x14ac:dyDescent="0.2">
      <c r="A1475" s="10" t="s">
        <v>415</v>
      </c>
      <c r="B1475" s="10" t="s">
        <v>285</v>
      </c>
      <c r="C1475" s="10" t="s">
        <v>46</v>
      </c>
      <c r="D1475" s="10">
        <v>64111</v>
      </c>
      <c r="E1475" s="10" t="s">
        <v>6</v>
      </c>
      <c r="F1475" s="10">
        <v>1318</v>
      </c>
    </row>
    <row r="1476" spans="1:6" x14ac:dyDescent="0.2">
      <c r="A1476" s="10" t="s">
        <v>415</v>
      </c>
      <c r="B1476" s="10" t="s">
        <v>422</v>
      </c>
      <c r="C1476" s="10" t="s">
        <v>46</v>
      </c>
      <c r="D1476" s="10">
        <v>63304</v>
      </c>
      <c r="E1476" s="10" t="s">
        <v>7</v>
      </c>
      <c r="F1476" s="10">
        <v>891</v>
      </c>
    </row>
    <row r="1477" spans="1:6" x14ac:dyDescent="0.2">
      <c r="A1477" s="10" t="s">
        <v>415</v>
      </c>
      <c r="B1477" s="10" t="s">
        <v>285</v>
      </c>
      <c r="C1477" s="10" t="s">
        <v>46</v>
      </c>
      <c r="D1477" s="10">
        <v>64081</v>
      </c>
      <c r="E1477" s="10" t="s">
        <v>6</v>
      </c>
      <c r="F1477" s="10">
        <v>1864</v>
      </c>
    </row>
    <row r="1478" spans="1:6" x14ac:dyDescent="0.2">
      <c r="A1478" s="10" t="s">
        <v>415</v>
      </c>
      <c r="B1478" s="10" t="s">
        <v>422</v>
      </c>
      <c r="C1478" s="10" t="s">
        <v>46</v>
      </c>
      <c r="D1478" s="10">
        <v>63366</v>
      </c>
      <c r="E1478" s="10" t="s">
        <v>7</v>
      </c>
      <c r="F1478" s="10">
        <v>1984</v>
      </c>
    </row>
    <row r="1479" spans="1:6" x14ac:dyDescent="0.2">
      <c r="A1479" s="10" t="s">
        <v>415</v>
      </c>
      <c r="B1479" s="10" t="s">
        <v>427</v>
      </c>
      <c r="C1479" s="10" t="s">
        <v>46</v>
      </c>
      <c r="D1479" s="10">
        <v>63701</v>
      </c>
      <c r="E1479" s="10" t="s">
        <v>5</v>
      </c>
      <c r="F1479" s="10">
        <v>2580</v>
      </c>
    </row>
    <row r="1480" spans="1:6" x14ac:dyDescent="0.2">
      <c r="A1480" s="10" t="s">
        <v>415</v>
      </c>
      <c r="B1480" s="10" t="s">
        <v>285</v>
      </c>
      <c r="C1480" s="10" t="s">
        <v>46</v>
      </c>
      <c r="D1480" s="10">
        <v>64014</v>
      </c>
      <c r="E1480" s="10" t="s">
        <v>6</v>
      </c>
      <c r="F1480" s="10">
        <v>2118</v>
      </c>
    </row>
    <row r="1481" spans="1:6" x14ac:dyDescent="0.2">
      <c r="A1481" s="10" t="s">
        <v>415</v>
      </c>
      <c r="B1481" s="10" t="s">
        <v>423</v>
      </c>
      <c r="C1481" s="10" t="s">
        <v>46</v>
      </c>
      <c r="D1481" s="10">
        <v>65807</v>
      </c>
      <c r="E1481" s="10" t="s">
        <v>8</v>
      </c>
      <c r="F1481" s="10">
        <v>1033</v>
      </c>
    </row>
    <row r="1482" spans="1:6" x14ac:dyDescent="0.2">
      <c r="A1482" s="10" t="s">
        <v>415</v>
      </c>
      <c r="B1482" s="10" t="s">
        <v>413</v>
      </c>
      <c r="C1482" s="10" t="s">
        <v>47</v>
      </c>
      <c r="D1482" s="10">
        <v>63132</v>
      </c>
      <c r="E1482" s="10" t="s">
        <v>7</v>
      </c>
      <c r="F1482" s="10">
        <v>1131</v>
      </c>
    </row>
    <row r="1483" spans="1:6" x14ac:dyDescent="0.2">
      <c r="A1483" s="10" t="s">
        <v>415</v>
      </c>
      <c r="B1483" s="10" t="s">
        <v>207</v>
      </c>
      <c r="C1483" s="10" t="s">
        <v>47</v>
      </c>
      <c r="D1483" s="10">
        <v>64157</v>
      </c>
      <c r="E1483" s="10" t="s">
        <v>6</v>
      </c>
      <c r="F1483" s="10">
        <v>1731</v>
      </c>
    </row>
    <row r="1484" spans="1:6" x14ac:dyDescent="0.2">
      <c r="A1484" s="10" t="s">
        <v>415</v>
      </c>
      <c r="B1484" s="10" t="s">
        <v>413</v>
      </c>
      <c r="C1484" s="10" t="s">
        <v>47</v>
      </c>
      <c r="D1484" s="10">
        <v>63026</v>
      </c>
      <c r="E1484" s="10" t="s">
        <v>7</v>
      </c>
      <c r="F1484" s="10">
        <v>1590</v>
      </c>
    </row>
    <row r="1485" spans="1:6" x14ac:dyDescent="0.2">
      <c r="A1485" s="10" t="s">
        <v>415</v>
      </c>
      <c r="B1485" s="10" t="s">
        <v>413</v>
      </c>
      <c r="C1485" s="10" t="s">
        <v>47</v>
      </c>
      <c r="D1485" s="10">
        <v>63122</v>
      </c>
      <c r="E1485" s="10" t="s">
        <v>6</v>
      </c>
      <c r="F1485" s="10">
        <v>799</v>
      </c>
    </row>
    <row r="1486" spans="1:6" x14ac:dyDescent="0.2">
      <c r="A1486" s="10" t="s">
        <v>415</v>
      </c>
      <c r="B1486" s="10" t="s">
        <v>413</v>
      </c>
      <c r="C1486" s="10" t="s">
        <v>47</v>
      </c>
      <c r="D1486" s="10">
        <v>63117</v>
      </c>
      <c r="E1486" s="10" t="s">
        <v>6</v>
      </c>
      <c r="F1486" s="10">
        <v>1266</v>
      </c>
    </row>
    <row r="1487" spans="1:6" x14ac:dyDescent="0.2">
      <c r="A1487" s="10" t="s">
        <v>415</v>
      </c>
      <c r="B1487" s="10" t="s">
        <v>318</v>
      </c>
      <c r="C1487" s="10" t="s">
        <v>47</v>
      </c>
      <c r="D1487" s="10">
        <v>65203</v>
      </c>
      <c r="E1487" s="10" t="s">
        <v>6</v>
      </c>
      <c r="F1487" s="10">
        <v>632</v>
      </c>
    </row>
    <row r="1488" spans="1:6" x14ac:dyDescent="0.2">
      <c r="A1488" s="10" t="s">
        <v>415</v>
      </c>
      <c r="B1488" s="10" t="s">
        <v>413</v>
      </c>
      <c r="C1488" s="10" t="s">
        <v>47</v>
      </c>
      <c r="D1488" s="10">
        <v>63044</v>
      </c>
      <c r="E1488" s="10" t="s">
        <v>6</v>
      </c>
      <c r="F1488" s="10">
        <v>1197</v>
      </c>
    </row>
    <row r="1489" spans="1:6" x14ac:dyDescent="0.2">
      <c r="A1489" s="10" t="s">
        <v>415</v>
      </c>
      <c r="B1489" s="10" t="s">
        <v>207</v>
      </c>
      <c r="C1489" s="10" t="s">
        <v>47</v>
      </c>
      <c r="D1489" s="10">
        <v>64118</v>
      </c>
      <c r="E1489" s="10" t="s">
        <v>6</v>
      </c>
      <c r="F1489" s="10">
        <v>2369</v>
      </c>
    </row>
    <row r="1490" spans="1:6" x14ac:dyDescent="0.2">
      <c r="A1490" s="10" t="s">
        <v>415</v>
      </c>
      <c r="B1490" s="10" t="s">
        <v>413</v>
      </c>
      <c r="C1490" s="10" t="s">
        <v>47</v>
      </c>
      <c r="D1490" s="10">
        <v>63033</v>
      </c>
      <c r="E1490" s="10" t="s">
        <v>7</v>
      </c>
      <c r="F1490" s="10">
        <v>1792</v>
      </c>
    </row>
    <row r="1491" spans="1:6" x14ac:dyDescent="0.2">
      <c r="A1491" s="10" t="s">
        <v>415</v>
      </c>
      <c r="B1491" s="10" t="s">
        <v>413</v>
      </c>
      <c r="C1491" s="10" t="s">
        <v>47</v>
      </c>
      <c r="D1491" s="10">
        <v>63005</v>
      </c>
      <c r="E1491" s="10" t="s">
        <v>7</v>
      </c>
      <c r="F1491" s="10">
        <v>357</v>
      </c>
    </row>
    <row r="1492" spans="1:6" x14ac:dyDescent="0.2">
      <c r="A1492" s="10" t="s">
        <v>415</v>
      </c>
      <c r="B1492" s="10" t="s">
        <v>318</v>
      </c>
      <c r="C1492" s="10" t="s">
        <v>47</v>
      </c>
      <c r="D1492" s="10">
        <v>65201</v>
      </c>
      <c r="E1492" s="10" t="s">
        <v>5</v>
      </c>
      <c r="F1492" s="10">
        <v>1244</v>
      </c>
    </row>
    <row r="1493" spans="1:6" x14ac:dyDescent="0.2">
      <c r="A1493" s="10" t="s">
        <v>415</v>
      </c>
      <c r="B1493" s="10" t="s">
        <v>428</v>
      </c>
      <c r="C1493" s="10" t="s">
        <v>47</v>
      </c>
      <c r="D1493" s="10">
        <v>64083</v>
      </c>
      <c r="E1493" s="10" t="s">
        <v>7</v>
      </c>
      <c r="F1493" s="10">
        <v>1919</v>
      </c>
    </row>
    <row r="1494" spans="1:6" x14ac:dyDescent="0.2">
      <c r="A1494" s="10" t="s">
        <v>415</v>
      </c>
      <c r="B1494" s="10" t="s">
        <v>75</v>
      </c>
      <c r="C1494" s="10" t="s">
        <v>47</v>
      </c>
      <c r="D1494" s="10">
        <v>63010</v>
      </c>
      <c r="E1494" s="10" t="s">
        <v>6</v>
      </c>
      <c r="F1494" s="10">
        <v>1892</v>
      </c>
    </row>
    <row r="1495" spans="1:6" x14ac:dyDescent="0.2">
      <c r="A1495" s="10" t="s">
        <v>415</v>
      </c>
      <c r="B1495" s="10" t="s">
        <v>413</v>
      </c>
      <c r="C1495" s="10" t="s">
        <v>47</v>
      </c>
      <c r="D1495" s="10">
        <v>63011</v>
      </c>
      <c r="E1495" s="10" t="s">
        <v>8</v>
      </c>
      <c r="F1495" s="10">
        <v>1126</v>
      </c>
    </row>
    <row r="1496" spans="1:6" x14ac:dyDescent="0.2">
      <c r="A1496" s="10" t="s">
        <v>415</v>
      </c>
      <c r="B1496" s="10" t="s">
        <v>413</v>
      </c>
      <c r="C1496" s="10" t="s">
        <v>47</v>
      </c>
      <c r="D1496" s="10">
        <v>63119</v>
      </c>
      <c r="E1496" s="10" t="s">
        <v>8</v>
      </c>
      <c r="F1496" s="10">
        <v>485</v>
      </c>
    </row>
    <row r="1497" spans="1:6" x14ac:dyDescent="0.2">
      <c r="A1497" s="10" t="s">
        <v>415</v>
      </c>
      <c r="B1497" s="10" t="s">
        <v>413</v>
      </c>
      <c r="C1497" s="10" t="s">
        <v>47</v>
      </c>
      <c r="D1497" s="10">
        <v>63124</v>
      </c>
      <c r="E1497" s="10" t="s">
        <v>10</v>
      </c>
      <c r="F1497" s="10">
        <v>1020</v>
      </c>
    </row>
    <row r="1498" spans="1:6" x14ac:dyDescent="0.2">
      <c r="A1498" s="10" t="s">
        <v>415</v>
      </c>
      <c r="B1498" s="10" t="s">
        <v>413</v>
      </c>
      <c r="C1498" s="10" t="s">
        <v>47</v>
      </c>
      <c r="D1498" s="10">
        <v>63129</v>
      </c>
      <c r="E1498" s="10" t="s">
        <v>7</v>
      </c>
      <c r="F1498" s="10">
        <v>1055</v>
      </c>
    </row>
    <row r="1499" spans="1:6" x14ac:dyDescent="0.2">
      <c r="A1499" s="10" t="s">
        <v>415</v>
      </c>
      <c r="B1499" s="10" t="s">
        <v>413</v>
      </c>
      <c r="C1499" s="10" t="s">
        <v>47</v>
      </c>
      <c r="D1499" s="10">
        <v>63011</v>
      </c>
      <c r="E1499" s="10" t="s">
        <v>6</v>
      </c>
      <c r="F1499" s="10">
        <v>2729</v>
      </c>
    </row>
    <row r="1500" spans="1:6" x14ac:dyDescent="0.2">
      <c r="A1500" s="10" t="s">
        <v>415</v>
      </c>
      <c r="B1500" s="10" t="s">
        <v>413</v>
      </c>
      <c r="C1500" s="10" t="s">
        <v>47</v>
      </c>
      <c r="D1500" s="10">
        <v>63141</v>
      </c>
      <c r="E1500" s="10" t="s">
        <v>6</v>
      </c>
      <c r="F1500" s="10">
        <v>1273</v>
      </c>
    </row>
    <row r="1501" spans="1:6" x14ac:dyDescent="0.2">
      <c r="A1501" s="10" t="s">
        <v>415</v>
      </c>
      <c r="B1501" s="10" t="s">
        <v>207</v>
      </c>
      <c r="C1501" s="10" t="s">
        <v>47</v>
      </c>
      <c r="D1501" s="10">
        <v>64118</v>
      </c>
      <c r="E1501" s="10" t="s">
        <v>8</v>
      </c>
      <c r="F1501" s="10">
        <v>481</v>
      </c>
    </row>
    <row r="1502" spans="1:6" x14ac:dyDescent="0.2">
      <c r="A1502" s="10" t="s">
        <v>429</v>
      </c>
      <c r="B1502" s="10" t="s">
        <v>430</v>
      </c>
      <c r="C1502" s="10" t="s">
        <v>45</v>
      </c>
      <c r="D1502" s="10">
        <v>38671</v>
      </c>
      <c r="E1502" s="10" t="s">
        <v>6</v>
      </c>
      <c r="F1502" s="10">
        <v>3348</v>
      </c>
    </row>
    <row r="1503" spans="1:6" x14ac:dyDescent="0.2">
      <c r="A1503" s="10" t="s">
        <v>429</v>
      </c>
      <c r="B1503" s="10" t="s">
        <v>82</v>
      </c>
      <c r="C1503" s="10" t="s">
        <v>45</v>
      </c>
      <c r="D1503" s="10">
        <v>38701</v>
      </c>
      <c r="E1503" s="10" t="s">
        <v>6</v>
      </c>
      <c r="F1503" s="10">
        <v>884</v>
      </c>
    </row>
    <row r="1504" spans="1:6" x14ac:dyDescent="0.2">
      <c r="A1504" s="10" t="s">
        <v>429</v>
      </c>
      <c r="B1504" s="10" t="s">
        <v>62</v>
      </c>
      <c r="C1504" s="10" t="s">
        <v>45</v>
      </c>
      <c r="D1504" s="10">
        <v>39110</v>
      </c>
      <c r="E1504" s="10" t="s">
        <v>6</v>
      </c>
      <c r="F1504" s="10">
        <v>5945</v>
      </c>
    </row>
    <row r="1505" spans="1:6" x14ac:dyDescent="0.2">
      <c r="A1505" s="10" t="s">
        <v>429</v>
      </c>
      <c r="B1505" s="10" t="s">
        <v>431</v>
      </c>
      <c r="C1505" s="10" t="s">
        <v>45</v>
      </c>
      <c r="D1505" s="10">
        <v>38655</v>
      </c>
      <c r="E1505" s="10" t="s">
        <v>6</v>
      </c>
      <c r="F1505" s="10">
        <v>2263</v>
      </c>
    </row>
    <row r="1506" spans="1:6" x14ac:dyDescent="0.2">
      <c r="A1506" s="10" t="s">
        <v>429</v>
      </c>
      <c r="B1506" s="10" t="s">
        <v>285</v>
      </c>
      <c r="C1506" s="10" t="s">
        <v>46</v>
      </c>
      <c r="D1506" s="10">
        <v>39581</v>
      </c>
      <c r="E1506" s="10" t="s">
        <v>6</v>
      </c>
      <c r="F1506" s="10">
        <v>2153</v>
      </c>
    </row>
    <row r="1507" spans="1:6" x14ac:dyDescent="0.2">
      <c r="A1507" s="10" t="s">
        <v>429</v>
      </c>
      <c r="B1507" s="10" t="s">
        <v>432</v>
      </c>
      <c r="C1507" s="10" t="s">
        <v>46</v>
      </c>
      <c r="D1507" s="10">
        <v>39204</v>
      </c>
      <c r="E1507" s="10" t="s">
        <v>6</v>
      </c>
      <c r="F1507" s="10">
        <v>745</v>
      </c>
    </row>
    <row r="1508" spans="1:6" x14ac:dyDescent="0.2">
      <c r="A1508" s="10" t="s">
        <v>429</v>
      </c>
      <c r="B1508" s="10" t="s">
        <v>319</v>
      </c>
      <c r="C1508" s="10" t="s">
        <v>46</v>
      </c>
      <c r="D1508" s="10">
        <v>39648</v>
      </c>
      <c r="E1508" s="10" t="s">
        <v>6</v>
      </c>
      <c r="F1508" s="10">
        <v>2334</v>
      </c>
    </row>
    <row r="1509" spans="1:6" x14ac:dyDescent="0.2">
      <c r="A1509" s="10" t="s">
        <v>429</v>
      </c>
      <c r="B1509" s="10" t="s">
        <v>433</v>
      </c>
      <c r="C1509" s="10" t="s">
        <v>46</v>
      </c>
      <c r="D1509" s="10">
        <v>39208</v>
      </c>
      <c r="E1509" s="10" t="s">
        <v>6</v>
      </c>
      <c r="F1509" s="10">
        <v>2003</v>
      </c>
    </row>
    <row r="1510" spans="1:6" x14ac:dyDescent="0.2">
      <c r="A1510" s="10" t="s">
        <v>429</v>
      </c>
      <c r="B1510" s="10" t="s">
        <v>433</v>
      </c>
      <c r="C1510" s="10" t="s">
        <v>46</v>
      </c>
      <c r="D1510" s="10">
        <v>39232</v>
      </c>
      <c r="E1510" s="10" t="s">
        <v>8</v>
      </c>
      <c r="F1510" s="10">
        <v>1669</v>
      </c>
    </row>
    <row r="1511" spans="1:6" x14ac:dyDescent="0.2">
      <c r="A1511" s="10" t="s">
        <v>429</v>
      </c>
      <c r="B1511" s="10" t="s">
        <v>432</v>
      </c>
      <c r="C1511" s="10" t="s">
        <v>46</v>
      </c>
      <c r="D1511" s="10">
        <v>39211</v>
      </c>
      <c r="E1511" s="10" t="s">
        <v>6</v>
      </c>
      <c r="F1511" s="10">
        <v>3435</v>
      </c>
    </row>
    <row r="1512" spans="1:6" x14ac:dyDescent="0.2">
      <c r="A1512" s="10" t="s">
        <v>429</v>
      </c>
      <c r="B1512" s="10" t="s">
        <v>434</v>
      </c>
      <c r="C1512" s="10" t="s">
        <v>46</v>
      </c>
      <c r="D1512" s="10">
        <v>39440</v>
      </c>
      <c r="E1512" s="10" t="s">
        <v>6</v>
      </c>
      <c r="F1512" s="10">
        <v>3034</v>
      </c>
    </row>
    <row r="1513" spans="1:6" x14ac:dyDescent="0.2">
      <c r="A1513" s="10" t="s">
        <v>429</v>
      </c>
      <c r="B1513" s="10" t="s">
        <v>326</v>
      </c>
      <c r="C1513" s="10" t="s">
        <v>46</v>
      </c>
      <c r="D1513" s="10">
        <v>39180</v>
      </c>
      <c r="E1513" s="10" t="s">
        <v>7</v>
      </c>
      <c r="F1513" s="10">
        <v>4536</v>
      </c>
    </row>
    <row r="1514" spans="1:6" x14ac:dyDescent="0.2">
      <c r="A1514" s="10" t="s">
        <v>429</v>
      </c>
      <c r="B1514" s="10" t="s">
        <v>71</v>
      </c>
      <c r="C1514" s="10" t="s">
        <v>46</v>
      </c>
      <c r="D1514" s="10">
        <v>39301</v>
      </c>
      <c r="E1514" s="10" t="s">
        <v>6</v>
      </c>
      <c r="F1514" s="10">
        <v>841</v>
      </c>
    </row>
    <row r="1515" spans="1:6" x14ac:dyDescent="0.2">
      <c r="A1515" s="10" t="s">
        <v>429</v>
      </c>
      <c r="B1515" s="10" t="s">
        <v>152</v>
      </c>
      <c r="C1515" s="10" t="s">
        <v>47</v>
      </c>
      <c r="D1515" s="10">
        <v>39120</v>
      </c>
      <c r="E1515" s="10" t="s">
        <v>6</v>
      </c>
      <c r="F1515" s="10">
        <v>1016</v>
      </c>
    </row>
    <row r="1516" spans="1:6" x14ac:dyDescent="0.2">
      <c r="A1516" s="10" t="s">
        <v>429</v>
      </c>
      <c r="B1516" s="10" t="s">
        <v>435</v>
      </c>
      <c r="C1516" s="10" t="s">
        <v>47</v>
      </c>
      <c r="D1516" s="10">
        <v>39531</v>
      </c>
      <c r="E1516" s="10" t="s">
        <v>6</v>
      </c>
      <c r="F1516" s="10">
        <v>2105</v>
      </c>
    </row>
    <row r="1517" spans="1:6" x14ac:dyDescent="0.2">
      <c r="A1517" s="10" t="s">
        <v>429</v>
      </c>
      <c r="B1517" s="10" t="s">
        <v>436</v>
      </c>
      <c r="C1517" s="10" t="s">
        <v>47</v>
      </c>
      <c r="D1517" s="10">
        <v>39402</v>
      </c>
      <c r="E1517" s="10" t="s">
        <v>6</v>
      </c>
      <c r="F1517" s="10">
        <v>2484</v>
      </c>
    </row>
    <row r="1518" spans="1:6" x14ac:dyDescent="0.2">
      <c r="A1518" s="10" t="s">
        <v>429</v>
      </c>
      <c r="B1518" s="10" t="s">
        <v>76</v>
      </c>
      <c r="C1518" s="10" t="s">
        <v>47</v>
      </c>
      <c r="D1518" s="10">
        <v>38804</v>
      </c>
      <c r="E1518" s="10" t="s">
        <v>7</v>
      </c>
      <c r="F1518" s="10">
        <v>4461</v>
      </c>
    </row>
    <row r="1519" spans="1:6" x14ac:dyDescent="0.2">
      <c r="A1519" s="10" t="s">
        <v>429</v>
      </c>
      <c r="B1519" s="10" t="s">
        <v>435</v>
      </c>
      <c r="C1519" s="10" t="s">
        <v>47</v>
      </c>
      <c r="D1519" s="10">
        <v>39503</v>
      </c>
      <c r="E1519" s="10" t="s">
        <v>6</v>
      </c>
      <c r="F1519" s="10">
        <v>2790</v>
      </c>
    </row>
    <row r="1520" spans="1:6" x14ac:dyDescent="0.2">
      <c r="A1520" s="10" t="s">
        <v>429</v>
      </c>
      <c r="B1520" s="10" t="s">
        <v>435</v>
      </c>
      <c r="C1520" s="10" t="s">
        <v>47</v>
      </c>
      <c r="D1520" s="10">
        <v>39540</v>
      </c>
      <c r="E1520" s="10" t="s">
        <v>6</v>
      </c>
      <c r="F1520" s="10">
        <v>1166</v>
      </c>
    </row>
    <row r="1521" spans="1:6" x14ac:dyDescent="0.2">
      <c r="A1521" s="10" t="s">
        <v>437</v>
      </c>
      <c r="B1521" s="10" t="s">
        <v>438</v>
      </c>
      <c r="C1521" s="10" t="s">
        <v>46</v>
      </c>
      <c r="D1521" s="10">
        <v>59102</v>
      </c>
      <c r="E1521" s="10" t="s">
        <v>6</v>
      </c>
      <c r="F1521" s="10">
        <v>1372</v>
      </c>
    </row>
    <row r="1522" spans="1:6" x14ac:dyDescent="0.2">
      <c r="A1522" s="10" t="s">
        <v>437</v>
      </c>
      <c r="B1522" s="10" t="s">
        <v>439</v>
      </c>
      <c r="C1522" s="10" t="s">
        <v>46</v>
      </c>
      <c r="D1522" s="10">
        <v>59404</v>
      </c>
      <c r="E1522" s="10" t="s">
        <v>5</v>
      </c>
      <c r="F1522" s="10">
        <v>790</v>
      </c>
    </row>
    <row r="1523" spans="1:6" x14ac:dyDescent="0.2">
      <c r="A1523" s="10" t="s">
        <v>437</v>
      </c>
      <c r="B1523" s="10" t="s">
        <v>440</v>
      </c>
      <c r="C1523" s="10" t="s">
        <v>46</v>
      </c>
      <c r="D1523" s="10">
        <v>59701</v>
      </c>
      <c r="E1523" s="10" t="s">
        <v>5</v>
      </c>
      <c r="F1523" s="10">
        <v>337</v>
      </c>
    </row>
    <row r="1524" spans="1:6" x14ac:dyDescent="0.2">
      <c r="A1524" s="10" t="s">
        <v>437</v>
      </c>
      <c r="B1524" s="10" t="s">
        <v>441</v>
      </c>
      <c r="C1524" s="10" t="s">
        <v>46</v>
      </c>
      <c r="D1524" s="10">
        <v>59718</v>
      </c>
      <c r="E1524" s="10" t="s">
        <v>6</v>
      </c>
      <c r="F1524" s="10">
        <v>666</v>
      </c>
    </row>
    <row r="1525" spans="1:6" x14ac:dyDescent="0.2">
      <c r="A1525" s="10" t="s">
        <v>437</v>
      </c>
      <c r="B1525" s="10" t="s">
        <v>442</v>
      </c>
      <c r="C1525" s="10" t="s">
        <v>46</v>
      </c>
      <c r="D1525" s="10">
        <v>59602</v>
      </c>
      <c r="E1525" s="10" t="s">
        <v>5</v>
      </c>
      <c r="F1525" s="10">
        <v>209</v>
      </c>
    </row>
    <row r="1526" spans="1:6" x14ac:dyDescent="0.2">
      <c r="A1526" s="10" t="s">
        <v>437</v>
      </c>
      <c r="B1526" s="10" t="s">
        <v>438</v>
      </c>
      <c r="C1526" s="10" t="s">
        <v>46</v>
      </c>
      <c r="D1526" s="10">
        <v>59105</v>
      </c>
      <c r="E1526" s="10" t="s">
        <v>6</v>
      </c>
      <c r="F1526" s="10">
        <v>853</v>
      </c>
    </row>
    <row r="1527" spans="1:6" x14ac:dyDescent="0.2">
      <c r="A1527" s="10" t="s">
        <v>437</v>
      </c>
      <c r="B1527" s="10" t="s">
        <v>441</v>
      </c>
      <c r="C1527" s="10" t="s">
        <v>46</v>
      </c>
      <c r="D1527" s="10">
        <v>59718</v>
      </c>
      <c r="E1527" s="10" t="s">
        <v>5</v>
      </c>
      <c r="F1527" s="10">
        <v>1511</v>
      </c>
    </row>
    <row r="1528" spans="1:6" x14ac:dyDescent="0.2">
      <c r="A1528" s="10" t="s">
        <v>437</v>
      </c>
      <c r="B1528" s="10" t="s">
        <v>443</v>
      </c>
      <c r="C1528" s="10" t="s">
        <v>47</v>
      </c>
      <c r="D1528" s="10">
        <v>59808</v>
      </c>
      <c r="E1528" s="10" t="s">
        <v>5</v>
      </c>
      <c r="F1528" s="10">
        <v>2132</v>
      </c>
    </row>
    <row r="1529" spans="1:6" x14ac:dyDescent="0.2">
      <c r="A1529" s="10" t="s">
        <v>437</v>
      </c>
      <c r="B1529" s="10" t="s">
        <v>444</v>
      </c>
      <c r="C1529" s="10" t="s">
        <v>47</v>
      </c>
      <c r="D1529" s="10">
        <v>59901</v>
      </c>
      <c r="E1529" s="10" t="s">
        <v>5</v>
      </c>
      <c r="F1529" s="10">
        <v>1024</v>
      </c>
    </row>
    <row r="1530" spans="1:6" x14ac:dyDescent="0.2">
      <c r="A1530" s="10" t="s">
        <v>445</v>
      </c>
      <c r="B1530" s="10" t="s">
        <v>446</v>
      </c>
      <c r="C1530" s="10" t="s">
        <v>45</v>
      </c>
      <c r="D1530" s="10">
        <v>28043</v>
      </c>
      <c r="E1530" s="10" t="s">
        <v>5</v>
      </c>
      <c r="F1530" s="10">
        <v>2583</v>
      </c>
    </row>
    <row r="1531" spans="1:6" x14ac:dyDescent="0.2">
      <c r="A1531" s="10" t="s">
        <v>445</v>
      </c>
      <c r="B1531" s="10" t="s">
        <v>447</v>
      </c>
      <c r="C1531" s="10" t="s">
        <v>45</v>
      </c>
      <c r="D1531" s="10">
        <v>28792</v>
      </c>
      <c r="E1531" s="10" t="s">
        <v>5</v>
      </c>
      <c r="F1531" s="10">
        <v>2436</v>
      </c>
    </row>
    <row r="1532" spans="1:6" x14ac:dyDescent="0.2">
      <c r="A1532" s="10" t="s">
        <v>445</v>
      </c>
      <c r="B1532" s="10" t="s">
        <v>88</v>
      </c>
      <c r="C1532" s="10" t="s">
        <v>45</v>
      </c>
      <c r="D1532" s="10">
        <v>28110</v>
      </c>
      <c r="E1532" s="10" t="s">
        <v>7</v>
      </c>
      <c r="F1532" s="10">
        <v>1537</v>
      </c>
    </row>
    <row r="1533" spans="1:6" x14ac:dyDescent="0.2">
      <c r="A1533" s="10" t="s">
        <v>445</v>
      </c>
      <c r="B1533" s="10" t="s">
        <v>448</v>
      </c>
      <c r="C1533" s="10" t="s">
        <v>45</v>
      </c>
      <c r="D1533" s="10">
        <v>28117</v>
      </c>
      <c r="E1533" s="10" t="s">
        <v>5</v>
      </c>
      <c r="F1533" s="10">
        <v>2173</v>
      </c>
    </row>
    <row r="1534" spans="1:6" x14ac:dyDescent="0.2">
      <c r="A1534" s="10" t="s">
        <v>445</v>
      </c>
      <c r="B1534" s="10" t="s">
        <v>449</v>
      </c>
      <c r="C1534" s="10" t="s">
        <v>45</v>
      </c>
      <c r="D1534" s="10">
        <v>28602</v>
      </c>
      <c r="E1534" s="10" t="s">
        <v>8</v>
      </c>
      <c r="F1534" s="10">
        <v>2379</v>
      </c>
    </row>
    <row r="1535" spans="1:6" x14ac:dyDescent="0.2">
      <c r="A1535" s="10" t="s">
        <v>445</v>
      </c>
      <c r="B1535" s="10" t="s">
        <v>450</v>
      </c>
      <c r="C1535" s="10" t="s">
        <v>45</v>
      </c>
      <c r="D1535" s="10">
        <v>28056</v>
      </c>
      <c r="E1535" s="10" t="s">
        <v>6</v>
      </c>
      <c r="F1535" s="10">
        <v>5219</v>
      </c>
    </row>
    <row r="1536" spans="1:6" x14ac:dyDescent="0.2">
      <c r="A1536" s="10" t="s">
        <v>445</v>
      </c>
      <c r="B1536" s="10" t="s">
        <v>451</v>
      </c>
      <c r="C1536" s="10" t="s">
        <v>45</v>
      </c>
      <c r="D1536" s="10">
        <v>27893</v>
      </c>
      <c r="E1536" s="10" t="s">
        <v>5</v>
      </c>
      <c r="F1536" s="10">
        <v>1197</v>
      </c>
    </row>
    <row r="1537" spans="1:6" x14ac:dyDescent="0.2">
      <c r="A1537" s="10" t="s">
        <v>445</v>
      </c>
      <c r="B1537" s="10" t="s">
        <v>76</v>
      </c>
      <c r="C1537" s="10" t="s">
        <v>45</v>
      </c>
      <c r="D1537" s="10">
        <v>27330</v>
      </c>
      <c r="E1537" s="10" t="s">
        <v>7</v>
      </c>
      <c r="F1537" s="10">
        <v>1349</v>
      </c>
    </row>
    <row r="1538" spans="1:6" x14ac:dyDescent="0.2">
      <c r="A1538" s="10" t="s">
        <v>445</v>
      </c>
      <c r="B1538" s="10" t="s">
        <v>452</v>
      </c>
      <c r="C1538" s="10" t="s">
        <v>45</v>
      </c>
      <c r="D1538" s="10">
        <v>28786</v>
      </c>
      <c r="E1538" s="10" t="s">
        <v>5</v>
      </c>
      <c r="F1538" s="10">
        <v>829</v>
      </c>
    </row>
    <row r="1539" spans="1:6" x14ac:dyDescent="0.2">
      <c r="A1539" s="10" t="s">
        <v>445</v>
      </c>
      <c r="B1539" s="10" t="s">
        <v>453</v>
      </c>
      <c r="C1539" s="10" t="s">
        <v>45</v>
      </c>
      <c r="D1539" s="10">
        <v>28146</v>
      </c>
      <c r="E1539" s="10" t="s">
        <v>5</v>
      </c>
      <c r="F1539" s="10">
        <v>1771</v>
      </c>
    </row>
    <row r="1540" spans="1:6" x14ac:dyDescent="0.2">
      <c r="A1540" s="10" t="s">
        <v>445</v>
      </c>
      <c r="B1540" s="10" t="s">
        <v>375</v>
      </c>
      <c r="C1540" s="10" t="s">
        <v>45</v>
      </c>
      <c r="D1540" s="10">
        <v>28303</v>
      </c>
      <c r="E1540" s="10" t="s">
        <v>6</v>
      </c>
      <c r="F1540" s="10">
        <v>3376</v>
      </c>
    </row>
    <row r="1541" spans="1:6" x14ac:dyDescent="0.2">
      <c r="A1541" s="10" t="s">
        <v>445</v>
      </c>
      <c r="B1541" s="10" t="s">
        <v>454</v>
      </c>
      <c r="C1541" s="10" t="s">
        <v>45</v>
      </c>
      <c r="D1541" s="10">
        <v>27203</v>
      </c>
      <c r="E1541" s="10" t="s">
        <v>5</v>
      </c>
      <c r="F1541" s="10">
        <v>1818</v>
      </c>
    </row>
    <row r="1542" spans="1:6" x14ac:dyDescent="0.2">
      <c r="A1542" s="10" t="s">
        <v>445</v>
      </c>
      <c r="B1542" s="10" t="s">
        <v>375</v>
      </c>
      <c r="C1542" s="10" t="s">
        <v>45</v>
      </c>
      <c r="D1542" s="10">
        <v>28314</v>
      </c>
      <c r="E1542" s="10" t="s">
        <v>5</v>
      </c>
      <c r="F1542" s="10">
        <v>2628</v>
      </c>
    </row>
    <row r="1543" spans="1:6" x14ac:dyDescent="0.2">
      <c r="A1543" s="10" t="s">
        <v>445</v>
      </c>
      <c r="B1543" s="10" t="s">
        <v>448</v>
      </c>
      <c r="C1543" s="10" t="s">
        <v>45</v>
      </c>
      <c r="D1543" s="10">
        <v>28625</v>
      </c>
      <c r="E1543" s="10" t="s">
        <v>5</v>
      </c>
      <c r="F1543" s="10">
        <v>3668</v>
      </c>
    </row>
    <row r="1544" spans="1:6" x14ac:dyDescent="0.2">
      <c r="A1544" s="10" t="s">
        <v>445</v>
      </c>
      <c r="B1544" s="10" t="s">
        <v>455</v>
      </c>
      <c r="C1544" s="10" t="s">
        <v>45</v>
      </c>
      <c r="D1544" s="10">
        <v>28546</v>
      </c>
      <c r="E1544" s="10" t="s">
        <v>5</v>
      </c>
      <c r="F1544" s="10">
        <v>3655</v>
      </c>
    </row>
    <row r="1545" spans="1:6" x14ac:dyDescent="0.2">
      <c r="A1545" s="10" t="s">
        <v>445</v>
      </c>
      <c r="B1545" s="10" t="s">
        <v>453</v>
      </c>
      <c r="C1545" s="10" t="s">
        <v>45</v>
      </c>
      <c r="D1545" s="10">
        <v>28144</v>
      </c>
      <c r="E1545" s="10" t="s">
        <v>6</v>
      </c>
      <c r="F1545" s="10">
        <v>1614</v>
      </c>
    </row>
    <row r="1546" spans="1:6" x14ac:dyDescent="0.2">
      <c r="A1546" s="10" t="s">
        <v>445</v>
      </c>
      <c r="B1546" s="10" t="s">
        <v>449</v>
      </c>
      <c r="C1546" s="10" t="s">
        <v>45</v>
      </c>
      <c r="D1546" s="10">
        <v>28602</v>
      </c>
      <c r="E1546" s="10" t="s">
        <v>6</v>
      </c>
      <c r="F1546" s="10">
        <v>4085</v>
      </c>
    </row>
    <row r="1547" spans="1:6" x14ac:dyDescent="0.2">
      <c r="A1547" s="10" t="s">
        <v>445</v>
      </c>
      <c r="B1547" s="10" t="s">
        <v>456</v>
      </c>
      <c r="C1547" s="10" t="s">
        <v>45</v>
      </c>
      <c r="D1547" s="10">
        <v>28315</v>
      </c>
      <c r="E1547" s="10" t="s">
        <v>5</v>
      </c>
      <c r="F1547" s="10">
        <v>12</v>
      </c>
    </row>
    <row r="1548" spans="1:6" x14ac:dyDescent="0.2">
      <c r="A1548" s="10" t="s">
        <v>445</v>
      </c>
      <c r="B1548" s="10" t="s">
        <v>457</v>
      </c>
      <c r="C1548" s="10" t="s">
        <v>46</v>
      </c>
      <c r="D1548" s="10">
        <v>27526</v>
      </c>
      <c r="E1548" s="10" t="s">
        <v>5</v>
      </c>
      <c r="F1548" s="10">
        <v>2367</v>
      </c>
    </row>
    <row r="1549" spans="1:6" x14ac:dyDescent="0.2">
      <c r="A1549" s="10" t="s">
        <v>445</v>
      </c>
      <c r="B1549" s="10" t="s">
        <v>457</v>
      </c>
      <c r="C1549" s="10" t="s">
        <v>46</v>
      </c>
      <c r="D1549" s="10">
        <v>27609</v>
      </c>
      <c r="E1549" s="10" t="s">
        <v>10</v>
      </c>
      <c r="F1549" s="10">
        <v>249</v>
      </c>
    </row>
    <row r="1550" spans="1:6" x14ac:dyDescent="0.2">
      <c r="A1550" s="10" t="s">
        <v>445</v>
      </c>
      <c r="B1550" s="10" t="s">
        <v>458</v>
      </c>
      <c r="C1550" s="10" t="s">
        <v>46</v>
      </c>
      <c r="D1550" s="10">
        <v>28403</v>
      </c>
      <c r="E1550" s="10" t="s">
        <v>6</v>
      </c>
      <c r="F1550" s="10">
        <v>1133</v>
      </c>
    </row>
    <row r="1551" spans="1:6" x14ac:dyDescent="0.2">
      <c r="A1551" s="10" t="s">
        <v>445</v>
      </c>
      <c r="B1551" s="10" t="s">
        <v>459</v>
      </c>
      <c r="C1551" s="10" t="s">
        <v>46</v>
      </c>
      <c r="D1551" s="10">
        <v>27858</v>
      </c>
      <c r="E1551" s="10" t="s">
        <v>5</v>
      </c>
      <c r="F1551" s="10">
        <v>1530</v>
      </c>
    </row>
    <row r="1552" spans="1:6" x14ac:dyDescent="0.2">
      <c r="A1552" s="10" t="s">
        <v>445</v>
      </c>
      <c r="B1552" s="10" t="s">
        <v>459</v>
      </c>
      <c r="C1552" s="10" t="s">
        <v>46</v>
      </c>
      <c r="D1552" s="10">
        <v>27858</v>
      </c>
      <c r="E1552" s="10" t="s">
        <v>6</v>
      </c>
      <c r="F1552" s="10">
        <v>1768</v>
      </c>
    </row>
    <row r="1553" spans="1:6" x14ac:dyDescent="0.2">
      <c r="A1553" s="10" t="s">
        <v>445</v>
      </c>
      <c r="B1553" s="10" t="s">
        <v>240</v>
      </c>
      <c r="C1553" s="10" t="s">
        <v>46</v>
      </c>
      <c r="D1553" s="10">
        <v>27103</v>
      </c>
      <c r="E1553" s="10" t="s">
        <v>7</v>
      </c>
      <c r="F1553" s="10">
        <v>763</v>
      </c>
    </row>
    <row r="1554" spans="1:6" x14ac:dyDescent="0.2">
      <c r="A1554" s="10" t="s">
        <v>445</v>
      </c>
      <c r="B1554" s="10" t="s">
        <v>240</v>
      </c>
      <c r="C1554" s="10" t="s">
        <v>46</v>
      </c>
      <c r="D1554" s="10">
        <v>27106</v>
      </c>
      <c r="E1554" s="10" t="s">
        <v>6</v>
      </c>
      <c r="F1554" s="10">
        <v>1479</v>
      </c>
    </row>
    <row r="1555" spans="1:6" x14ac:dyDescent="0.2">
      <c r="A1555" s="10" t="s">
        <v>445</v>
      </c>
      <c r="B1555" s="10" t="s">
        <v>457</v>
      </c>
      <c r="C1555" s="10" t="s">
        <v>46</v>
      </c>
      <c r="D1555" s="10">
        <v>27529</v>
      </c>
      <c r="E1555" s="10" t="s">
        <v>5</v>
      </c>
      <c r="F1555" s="10">
        <v>1964</v>
      </c>
    </row>
    <row r="1556" spans="1:6" x14ac:dyDescent="0.2">
      <c r="A1556" s="10" t="s">
        <v>445</v>
      </c>
      <c r="B1556" s="10" t="s">
        <v>457</v>
      </c>
      <c r="C1556" s="10" t="s">
        <v>46</v>
      </c>
      <c r="D1556" s="10">
        <v>27613</v>
      </c>
      <c r="E1556" s="10" t="s">
        <v>6</v>
      </c>
      <c r="F1556" s="10">
        <v>363</v>
      </c>
    </row>
    <row r="1557" spans="1:6" x14ac:dyDescent="0.2">
      <c r="A1557" s="10" t="s">
        <v>445</v>
      </c>
      <c r="B1557" s="10" t="s">
        <v>457</v>
      </c>
      <c r="C1557" s="10" t="s">
        <v>46</v>
      </c>
      <c r="D1557" s="10">
        <v>27518</v>
      </c>
      <c r="E1557" s="10" t="s">
        <v>6</v>
      </c>
      <c r="F1557" s="10">
        <v>1290</v>
      </c>
    </row>
    <row r="1558" spans="1:6" x14ac:dyDescent="0.2">
      <c r="A1558" s="10" t="s">
        <v>445</v>
      </c>
      <c r="B1558" s="10" t="s">
        <v>460</v>
      </c>
      <c r="C1558" s="10" t="s">
        <v>46</v>
      </c>
      <c r="D1558" s="10">
        <v>28801</v>
      </c>
      <c r="E1558" s="10" t="s">
        <v>5</v>
      </c>
      <c r="F1558" s="10">
        <v>1920</v>
      </c>
    </row>
    <row r="1559" spans="1:6" x14ac:dyDescent="0.2">
      <c r="A1559" s="10" t="s">
        <v>445</v>
      </c>
      <c r="B1559" s="10" t="s">
        <v>458</v>
      </c>
      <c r="C1559" s="10" t="s">
        <v>46</v>
      </c>
      <c r="D1559" s="10">
        <v>28412</v>
      </c>
      <c r="E1559" s="10" t="s">
        <v>5</v>
      </c>
      <c r="F1559" s="10">
        <v>786</v>
      </c>
    </row>
    <row r="1560" spans="1:6" x14ac:dyDescent="0.2">
      <c r="A1560" s="10" t="s">
        <v>445</v>
      </c>
      <c r="B1560" s="10" t="s">
        <v>458</v>
      </c>
      <c r="C1560" s="10" t="s">
        <v>46</v>
      </c>
      <c r="D1560" s="10">
        <v>28405</v>
      </c>
      <c r="E1560" s="10" t="s">
        <v>7</v>
      </c>
      <c r="F1560" s="10">
        <v>1174</v>
      </c>
    </row>
    <row r="1561" spans="1:6" x14ac:dyDescent="0.2">
      <c r="A1561" s="10" t="s">
        <v>445</v>
      </c>
      <c r="B1561" s="10" t="s">
        <v>240</v>
      </c>
      <c r="C1561" s="10" t="s">
        <v>46</v>
      </c>
      <c r="D1561" s="10">
        <v>27127</v>
      </c>
      <c r="E1561" s="10" t="s">
        <v>6</v>
      </c>
      <c r="F1561" s="10">
        <v>3182</v>
      </c>
    </row>
    <row r="1562" spans="1:6" x14ac:dyDescent="0.2">
      <c r="A1562" s="10" t="s">
        <v>445</v>
      </c>
      <c r="B1562" s="10" t="s">
        <v>458</v>
      </c>
      <c r="C1562" s="10" t="s">
        <v>46</v>
      </c>
      <c r="D1562" s="10">
        <v>28403</v>
      </c>
      <c r="E1562" s="10" t="s">
        <v>5</v>
      </c>
      <c r="F1562" s="10">
        <v>1509</v>
      </c>
    </row>
    <row r="1563" spans="1:6" x14ac:dyDescent="0.2">
      <c r="A1563" s="10" t="s">
        <v>445</v>
      </c>
      <c r="B1563" s="10" t="s">
        <v>460</v>
      </c>
      <c r="C1563" s="10" t="s">
        <v>46</v>
      </c>
      <c r="D1563" s="10">
        <v>28704</v>
      </c>
      <c r="E1563" s="10" t="s">
        <v>7</v>
      </c>
      <c r="F1563" s="10">
        <v>1715</v>
      </c>
    </row>
    <row r="1564" spans="1:6" x14ac:dyDescent="0.2">
      <c r="A1564" s="10" t="s">
        <v>445</v>
      </c>
      <c r="B1564" s="10" t="s">
        <v>460</v>
      </c>
      <c r="C1564" s="10" t="s">
        <v>46</v>
      </c>
      <c r="D1564" s="10">
        <v>28805</v>
      </c>
      <c r="E1564" s="10" t="s">
        <v>6</v>
      </c>
      <c r="F1564" s="10">
        <v>969</v>
      </c>
    </row>
    <row r="1565" spans="1:6" x14ac:dyDescent="0.2">
      <c r="A1565" s="10" t="s">
        <v>445</v>
      </c>
      <c r="B1565" s="10" t="s">
        <v>457</v>
      </c>
      <c r="C1565" s="10" t="s">
        <v>46</v>
      </c>
      <c r="D1565" s="10">
        <v>27529</v>
      </c>
      <c r="E1565" s="10" t="s">
        <v>7</v>
      </c>
      <c r="F1565" s="10">
        <v>1569</v>
      </c>
    </row>
    <row r="1566" spans="1:6" x14ac:dyDescent="0.2">
      <c r="A1566" s="10" t="s">
        <v>445</v>
      </c>
      <c r="B1566" s="10" t="s">
        <v>457</v>
      </c>
      <c r="C1566" s="10" t="s">
        <v>46</v>
      </c>
      <c r="D1566" s="10">
        <v>27545</v>
      </c>
      <c r="E1566" s="10" t="s">
        <v>7</v>
      </c>
      <c r="F1566" s="10">
        <v>834</v>
      </c>
    </row>
    <row r="1567" spans="1:6" x14ac:dyDescent="0.2">
      <c r="A1567" s="10" t="s">
        <v>445</v>
      </c>
      <c r="B1567" s="10" t="s">
        <v>457</v>
      </c>
      <c r="C1567" s="10" t="s">
        <v>46</v>
      </c>
      <c r="D1567" s="10">
        <v>27617</v>
      </c>
      <c r="E1567" s="10" t="s">
        <v>5</v>
      </c>
      <c r="F1567" s="10">
        <v>117</v>
      </c>
    </row>
    <row r="1568" spans="1:6" x14ac:dyDescent="0.2">
      <c r="A1568" s="10" t="s">
        <v>445</v>
      </c>
      <c r="B1568" s="10" t="s">
        <v>457</v>
      </c>
      <c r="C1568" s="10" t="s">
        <v>46</v>
      </c>
      <c r="D1568" s="10">
        <v>27587</v>
      </c>
      <c r="E1568" s="10" t="s">
        <v>5</v>
      </c>
      <c r="F1568" s="10">
        <v>3372</v>
      </c>
    </row>
    <row r="1569" spans="1:6" x14ac:dyDescent="0.2">
      <c r="A1569" s="10" t="s">
        <v>445</v>
      </c>
      <c r="B1569" s="10" t="s">
        <v>457</v>
      </c>
      <c r="C1569" s="10" t="s">
        <v>46</v>
      </c>
      <c r="D1569" s="10">
        <v>27513</v>
      </c>
      <c r="E1569" s="10" t="s">
        <v>5</v>
      </c>
      <c r="F1569" s="10">
        <v>772</v>
      </c>
    </row>
    <row r="1570" spans="1:6" x14ac:dyDescent="0.2">
      <c r="A1570" s="10" t="s">
        <v>445</v>
      </c>
      <c r="B1570" s="10" t="s">
        <v>457</v>
      </c>
      <c r="C1570" s="10" t="s">
        <v>46</v>
      </c>
      <c r="D1570" s="10">
        <v>27511</v>
      </c>
      <c r="E1570" s="10" t="s">
        <v>5</v>
      </c>
      <c r="F1570" s="10">
        <v>2360</v>
      </c>
    </row>
    <row r="1571" spans="1:6" x14ac:dyDescent="0.2">
      <c r="A1571" s="10" t="s">
        <v>445</v>
      </c>
      <c r="B1571" s="10" t="s">
        <v>457</v>
      </c>
      <c r="C1571" s="10" t="s">
        <v>46</v>
      </c>
      <c r="D1571" s="10">
        <v>27502</v>
      </c>
      <c r="E1571" s="10" t="s">
        <v>7</v>
      </c>
      <c r="F1571" s="10">
        <v>904</v>
      </c>
    </row>
    <row r="1572" spans="1:6" x14ac:dyDescent="0.2">
      <c r="A1572" s="10" t="s">
        <v>445</v>
      </c>
      <c r="B1572" s="10" t="s">
        <v>461</v>
      </c>
      <c r="C1572" s="10" t="s">
        <v>46</v>
      </c>
      <c r="D1572" s="10">
        <v>27889</v>
      </c>
      <c r="E1572" s="10" t="s">
        <v>6</v>
      </c>
      <c r="F1572" s="10">
        <v>1592</v>
      </c>
    </row>
    <row r="1573" spans="1:6" x14ac:dyDescent="0.2">
      <c r="A1573" s="10" t="s">
        <v>445</v>
      </c>
      <c r="B1573" s="10" t="s">
        <v>462</v>
      </c>
      <c r="C1573" s="10" t="s">
        <v>46</v>
      </c>
      <c r="D1573" s="10">
        <v>27909</v>
      </c>
      <c r="E1573" s="10" t="s">
        <v>7</v>
      </c>
      <c r="F1573" s="10">
        <v>1293</v>
      </c>
    </row>
    <row r="1574" spans="1:6" x14ac:dyDescent="0.2">
      <c r="A1574" s="10" t="s">
        <v>445</v>
      </c>
      <c r="B1574" s="10" t="s">
        <v>457</v>
      </c>
      <c r="C1574" s="10" t="s">
        <v>46</v>
      </c>
      <c r="D1574" s="10">
        <v>27609</v>
      </c>
      <c r="E1574" s="10" t="s">
        <v>6</v>
      </c>
      <c r="F1574" s="10">
        <v>536</v>
      </c>
    </row>
    <row r="1575" spans="1:6" x14ac:dyDescent="0.2">
      <c r="A1575" s="10" t="s">
        <v>445</v>
      </c>
      <c r="B1575" s="10" t="s">
        <v>240</v>
      </c>
      <c r="C1575" s="10" t="s">
        <v>46</v>
      </c>
      <c r="D1575" s="10">
        <v>27012</v>
      </c>
      <c r="E1575" s="10" t="s">
        <v>5</v>
      </c>
      <c r="F1575" s="10">
        <v>1862</v>
      </c>
    </row>
    <row r="1576" spans="1:6" x14ac:dyDescent="0.2">
      <c r="A1576" s="10" t="s">
        <v>445</v>
      </c>
      <c r="B1576" s="10" t="s">
        <v>457</v>
      </c>
      <c r="C1576" s="10" t="s">
        <v>46</v>
      </c>
      <c r="D1576" s="10">
        <v>27609</v>
      </c>
      <c r="E1576" s="10" t="s">
        <v>5</v>
      </c>
      <c r="F1576" s="10">
        <v>1142</v>
      </c>
    </row>
    <row r="1577" spans="1:6" x14ac:dyDescent="0.2">
      <c r="A1577" s="10" t="s">
        <v>445</v>
      </c>
      <c r="B1577" s="10" t="s">
        <v>463</v>
      </c>
      <c r="C1577" s="10" t="s">
        <v>46</v>
      </c>
      <c r="D1577" s="10">
        <v>28655</v>
      </c>
      <c r="E1577" s="10" t="s">
        <v>5</v>
      </c>
      <c r="F1577" s="10">
        <v>1291</v>
      </c>
    </row>
    <row r="1578" spans="1:6" x14ac:dyDescent="0.2">
      <c r="A1578" s="10" t="s">
        <v>445</v>
      </c>
      <c r="B1578" s="10" t="s">
        <v>464</v>
      </c>
      <c r="C1578" s="10" t="s">
        <v>46</v>
      </c>
      <c r="D1578" s="10">
        <v>28557</v>
      </c>
      <c r="E1578" s="10" t="s">
        <v>5</v>
      </c>
      <c r="F1578" s="10">
        <v>2795</v>
      </c>
    </row>
    <row r="1579" spans="1:6" x14ac:dyDescent="0.2">
      <c r="A1579" s="10" t="s">
        <v>445</v>
      </c>
      <c r="B1579" s="10" t="s">
        <v>240</v>
      </c>
      <c r="C1579" s="10" t="s">
        <v>46</v>
      </c>
      <c r="D1579" s="10">
        <v>27284</v>
      </c>
      <c r="E1579" s="10" t="s">
        <v>5</v>
      </c>
      <c r="F1579" s="10">
        <v>1405</v>
      </c>
    </row>
    <row r="1580" spans="1:6" x14ac:dyDescent="0.2">
      <c r="A1580" s="10" t="s">
        <v>445</v>
      </c>
      <c r="B1580" s="10" t="s">
        <v>465</v>
      </c>
      <c r="C1580" s="10" t="s">
        <v>46</v>
      </c>
      <c r="D1580" s="10">
        <v>28562</v>
      </c>
      <c r="E1580" s="10" t="s">
        <v>5</v>
      </c>
      <c r="F1580" s="10">
        <v>1555</v>
      </c>
    </row>
    <row r="1581" spans="1:6" x14ac:dyDescent="0.2">
      <c r="A1581" s="10" t="s">
        <v>445</v>
      </c>
      <c r="B1581" s="10" t="s">
        <v>466</v>
      </c>
      <c r="C1581" s="10" t="s">
        <v>47</v>
      </c>
      <c r="D1581" s="10">
        <v>28203</v>
      </c>
      <c r="E1581" s="10" t="s">
        <v>6</v>
      </c>
      <c r="F1581" s="10">
        <v>756</v>
      </c>
    </row>
    <row r="1582" spans="1:6" x14ac:dyDescent="0.2">
      <c r="A1582" s="10" t="s">
        <v>445</v>
      </c>
      <c r="B1582" s="10" t="s">
        <v>467</v>
      </c>
      <c r="C1582" s="10" t="s">
        <v>47</v>
      </c>
      <c r="D1582" s="10">
        <v>27560</v>
      </c>
      <c r="E1582" s="10" t="s">
        <v>6</v>
      </c>
      <c r="F1582" s="10">
        <v>1282</v>
      </c>
    </row>
    <row r="1583" spans="1:6" x14ac:dyDescent="0.2">
      <c r="A1583" s="10" t="s">
        <v>445</v>
      </c>
      <c r="B1583" s="10" t="s">
        <v>467</v>
      </c>
      <c r="C1583" s="10" t="s">
        <v>47</v>
      </c>
      <c r="D1583" s="10">
        <v>27713</v>
      </c>
      <c r="E1583" s="10" t="s">
        <v>8</v>
      </c>
      <c r="F1583" s="10">
        <v>16</v>
      </c>
    </row>
    <row r="1584" spans="1:6" x14ac:dyDescent="0.2">
      <c r="A1584" s="10" t="s">
        <v>445</v>
      </c>
      <c r="B1584" s="10" t="s">
        <v>466</v>
      </c>
      <c r="C1584" s="10" t="s">
        <v>47</v>
      </c>
      <c r="D1584" s="10">
        <v>28273</v>
      </c>
      <c r="E1584" s="10" t="s">
        <v>7</v>
      </c>
      <c r="F1584" s="10">
        <v>4226</v>
      </c>
    </row>
    <row r="1585" spans="1:6" x14ac:dyDescent="0.2">
      <c r="A1585" s="10" t="s">
        <v>445</v>
      </c>
      <c r="B1585" s="10" t="s">
        <v>466</v>
      </c>
      <c r="C1585" s="10" t="s">
        <v>47</v>
      </c>
      <c r="D1585" s="10">
        <v>28205</v>
      </c>
      <c r="E1585" s="10" t="s">
        <v>6</v>
      </c>
      <c r="F1585" s="10">
        <v>1155</v>
      </c>
    </row>
    <row r="1586" spans="1:6" x14ac:dyDescent="0.2">
      <c r="A1586" s="10" t="s">
        <v>445</v>
      </c>
      <c r="B1586" s="10" t="s">
        <v>466</v>
      </c>
      <c r="C1586" s="10" t="s">
        <v>47</v>
      </c>
      <c r="D1586" s="10">
        <v>28105</v>
      </c>
      <c r="E1586" s="10" t="s">
        <v>6</v>
      </c>
      <c r="F1586" s="10">
        <v>1689</v>
      </c>
    </row>
    <row r="1587" spans="1:6" x14ac:dyDescent="0.2">
      <c r="A1587" s="10" t="s">
        <v>445</v>
      </c>
      <c r="B1587" s="10" t="s">
        <v>466</v>
      </c>
      <c r="C1587" s="10" t="s">
        <v>47</v>
      </c>
      <c r="D1587" s="10">
        <v>28078</v>
      </c>
      <c r="E1587" s="10" t="s">
        <v>5</v>
      </c>
      <c r="F1587" s="10">
        <v>1641</v>
      </c>
    </row>
    <row r="1588" spans="1:6" x14ac:dyDescent="0.2">
      <c r="A1588" s="10" t="s">
        <v>445</v>
      </c>
      <c r="B1588" s="10" t="s">
        <v>466</v>
      </c>
      <c r="C1588" s="10" t="s">
        <v>47</v>
      </c>
      <c r="D1588" s="10">
        <v>28078</v>
      </c>
      <c r="E1588" s="10" t="s">
        <v>6</v>
      </c>
      <c r="F1588" s="10">
        <v>252</v>
      </c>
    </row>
    <row r="1589" spans="1:6" x14ac:dyDescent="0.2">
      <c r="A1589" s="10" t="s">
        <v>445</v>
      </c>
      <c r="B1589" s="10" t="s">
        <v>395</v>
      </c>
      <c r="C1589" s="10" t="s">
        <v>47</v>
      </c>
      <c r="D1589" s="10">
        <v>27534</v>
      </c>
      <c r="E1589" s="10" t="s">
        <v>5</v>
      </c>
      <c r="F1589" s="10">
        <v>868</v>
      </c>
    </row>
    <row r="1590" spans="1:6" x14ac:dyDescent="0.2">
      <c r="A1590" s="10" t="s">
        <v>445</v>
      </c>
      <c r="B1590" s="10" t="s">
        <v>468</v>
      </c>
      <c r="C1590" s="10" t="s">
        <v>47</v>
      </c>
      <c r="D1590" s="10">
        <v>27804</v>
      </c>
      <c r="E1590" s="10" t="s">
        <v>6</v>
      </c>
      <c r="F1590" s="10">
        <v>3334</v>
      </c>
    </row>
    <row r="1591" spans="1:6" x14ac:dyDescent="0.2">
      <c r="A1591" s="10" t="s">
        <v>445</v>
      </c>
      <c r="B1591" s="10" t="s">
        <v>395</v>
      </c>
      <c r="C1591" s="10" t="s">
        <v>47</v>
      </c>
      <c r="D1591" s="10">
        <v>27534</v>
      </c>
      <c r="E1591" s="10" t="s">
        <v>6</v>
      </c>
      <c r="F1591" s="10">
        <v>2978</v>
      </c>
    </row>
    <row r="1592" spans="1:6" x14ac:dyDescent="0.2">
      <c r="A1592" s="10" t="s">
        <v>445</v>
      </c>
      <c r="B1592" s="10" t="s">
        <v>467</v>
      </c>
      <c r="C1592" s="10" t="s">
        <v>47</v>
      </c>
      <c r="D1592" s="10">
        <v>27713</v>
      </c>
      <c r="E1592" s="10" t="s">
        <v>10</v>
      </c>
      <c r="F1592" s="10">
        <v>2917</v>
      </c>
    </row>
    <row r="1593" spans="1:6" x14ac:dyDescent="0.2">
      <c r="A1593" s="10" t="s">
        <v>445</v>
      </c>
      <c r="B1593" s="10" t="s">
        <v>466</v>
      </c>
      <c r="C1593" s="10" t="s">
        <v>47</v>
      </c>
      <c r="D1593" s="10">
        <v>28262</v>
      </c>
      <c r="E1593" s="10" t="s">
        <v>6</v>
      </c>
      <c r="F1593" s="10">
        <v>1854</v>
      </c>
    </row>
    <row r="1594" spans="1:6" x14ac:dyDescent="0.2">
      <c r="A1594" s="10" t="s">
        <v>445</v>
      </c>
      <c r="B1594" s="10" t="s">
        <v>469</v>
      </c>
      <c r="C1594" s="10" t="s">
        <v>47</v>
      </c>
      <c r="D1594" s="10">
        <v>27262</v>
      </c>
      <c r="E1594" s="10" t="s">
        <v>6</v>
      </c>
      <c r="F1594" s="10">
        <v>1834</v>
      </c>
    </row>
    <row r="1595" spans="1:6" x14ac:dyDescent="0.2">
      <c r="A1595" s="10" t="s">
        <v>445</v>
      </c>
      <c r="B1595" s="10" t="s">
        <v>466</v>
      </c>
      <c r="C1595" s="10" t="s">
        <v>47</v>
      </c>
      <c r="D1595" s="10">
        <v>28134</v>
      </c>
      <c r="E1595" s="10" t="s">
        <v>6</v>
      </c>
      <c r="F1595" s="10">
        <v>1081</v>
      </c>
    </row>
    <row r="1596" spans="1:6" x14ac:dyDescent="0.2">
      <c r="A1596" s="10" t="s">
        <v>445</v>
      </c>
      <c r="B1596" s="10" t="s">
        <v>470</v>
      </c>
      <c r="C1596" s="10" t="s">
        <v>47</v>
      </c>
      <c r="D1596" s="10">
        <v>27215</v>
      </c>
      <c r="E1596" s="10" t="s">
        <v>6</v>
      </c>
      <c r="F1596" s="10">
        <v>2459</v>
      </c>
    </row>
    <row r="1597" spans="1:6" x14ac:dyDescent="0.2">
      <c r="A1597" s="10" t="s">
        <v>445</v>
      </c>
      <c r="B1597" s="10" t="s">
        <v>469</v>
      </c>
      <c r="C1597" s="10" t="s">
        <v>47</v>
      </c>
      <c r="D1597" s="10">
        <v>27262</v>
      </c>
      <c r="E1597" s="10" t="s">
        <v>5</v>
      </c>
      <c r="F1597" s="10">
        <v>840</v>
      </c>
    </row>
    <row r="1598" spans="1:6" x14ac:dyDescent="0.2">
      <c r="A1598" s="10" t="s">
        <v>445</v>
      </c>
      <c r="B1598" s="10" t="s">
        <v>467</v>
      </c>
      <c r="C1598" s="10" t="s">
        <v>47</v>
      </c>
      <c r="D1598" s="10">
        <v>27704</v>
      </c>
      <c r="E1598" s="10" t="s">
        <v>5</v>
      </c>
      <c r="F1598" s="10">
        <v>1708</v>
      </c>
    </row>
    <row r="1599" spans="1:6" x14ac:dyDescent="0.2">
      <c r="A1599" s="10" t="s">
        <v>445</v>
      </c>
      <c r="B1599" s="10" t="s">
        <v>466</v>
      </c>
      <c r="C1599" s="10" t="s">
        <v>47</v>
      </c>
      <c r="D1599" s="10">
        <v>28210</v>
      </c>
      <c r="E1599" s="10" t="s">
        <v>10</v>
      </c>
      <c r="F1599" s="10">
        <v>197</v>
      </c>
    </row>
    <row r="1600" spans="1:6" x14ac:dyDescent="0.2">
      <c r="A1600" s="10" t="s">
        <v>445</v>
      </c>
      <c r="B1600" s="10" t="s">
        <v>471</v>
      </c>
      <c r="C1600" s="10" t="s">
        <v>47</v>
      </c>
      <c r="D1600" s="10">
        <v>28150</v>
      </c>
      <c r="E1600" s="10" t="s">
        <v>7</v>
      </c>
      <c r="F1600" s="10">
        <v>7744</v>
      </c>
    </row>
    <row r="1601" spans="1:6" x14ac:dyDescent="0.2">
      <c r="A1601" s="10" t="s">
        <v>445</v>
      </c>
      <c r="B1601" s="10" t="s">
        <v>466</v>
      </c>
      <c r="C1601" s="10" t="s">
        <v>47</v>
      </c>
      <c r="D1601" s="10">
        <v>28217</v>
      </c>
      <c r="E1601" s="10" t="s">
        <v>6</v>
      </c>
      <c r="F1601" s="10">
        <v>973</v>
      </c>
    </row>
    <row r="1602" spans="1:6" x14ac:dyDescent="0.2">
      <c r="A1602" s="10" t="s">
        <v>445</v>
      </c>
      <c r="B1602" s="10" t="s">
        <v>469</v>
      </c>
      <c r="C1602" s="10" t="s">
        <v>47</v>
      </c>
      <c r="D1602" s="10">
        <v>27408</v>
      </c>
      <c r="E1602" s="10" t="s">
        <v>6</v>
      </c>
      <c r="F1602" s="10">
        <v>1178</v>
      </c>
    </row>
    <row r="1603" spans="1:6" x14ac:dyDescent="0.2">
      <c r="A1603" s="10" t="s">
        <v>445</v>
      </c>
      <c r="B1603" s="10" t="s">
        <v>467</v>
      </c>
      <c r="C1603" s="10" t="s">
        <v>47</v>
      </c>
      <c r="D1603" s="10">
        <v>27707</v>
      </c>
      <c r="E1603" s="10" t="s">
        <v>6</v>
      </c>
      <c r="F1603" s="10">
        <v>689</v>
      </c>
    </row>
    <row r="1604" spans="1:6" x14ac:dyDescent="0.2">
      <c r="A1604" s="10" t="s">
        <v>445</v>
      </c>
      <c r="B1604" s="10" t="s">
        <v>112</v>
      </c>
      <c r="C1604" s="10" t="s">
        <v>47</v>
      </c>
      <c r="D1604" s="10">
        <v>27514</v>
      </c>
      <c r="E1604" s="10" t="s">
        <v>5</v>
      </c>
      <c r="F1604" s="10">
        <v>654</v>
      </c>
    </row>
    <row r="1605" spans="1:6" x14ac:dyDescent="0.2">
      <c r="A1605" s="10" t="s">
        <v>445</v>
      </c>
      <c r="B1605" s="10" t="s">
        <v>472</v>
      </c>
      <c r="C1605" s="10" t="s">
        <v>47</v>
      </c>
      <c r="D1605" s="10">
        <v>27030</v>
      </c>
      <c r="E1605" s="10" t="s">
        <v>5</v>
      </c>
      <c r="F1605" s="10">
        <v>3949</v>
      </c>
    </row>
    <row r="1606" spans="1:6" x14ac:dyDescent="0.2">
      <c r="A1606" s="10" t="s">
        <v>445</v>
      </c>
      <c r="B1606" s="10" t="s">
        <v>469</v>
      </c>
      <c r="C1606" s="10" t="s">
        <v>47</v>
      </c>
      <c r="D1606" s="10">
        <v>27407</v>
      </c>
      <c r="E1606" s="10" t="s">
        <v>5</v>
      </c>
      <c r="F1606" s="10">
        <v>3072</v>
      </c>
    </row>
    <row r="1607" spans="1:6" x14ac:dyDescent="0.2">
      <c r="A1607" s="10" t="s">
        <v>445</v>
      </c>
      <c r="B1607" s="10" t="s">
        <v>469</v>
      </c>
      <c r="C1607" s="10" t="s">
        <v>47</v>
      </c>
      <c r="D1607" s="10">
        <v>27265</v>
      </c>
      <c r="E1607" s="10" t="s">
        <v>6</v>
      </c>
      <c r="F1607" s="10">
        <v>2639</v>
      </c>
    </row>
    <row r="1608" spans="1:6" x14ac:dyDescent="0.2">
      <c r="A1608" s="10" t="s">
        <v>445</v>
      </c>
      <c r="B1608" s="10" t="s">
        <v>466</v>
      </c>
      <c r="C1608" s="10" t="s">
        <v>47</v>
      </c>
      <c r="D1608" s="10">
        <v>28226</v>
      </c>
      <c r="E1608" s="10" t="s">
        <v>5</v>
      </c>
      <c r="F1608" s="10">
        <v>892</v>
      </c>
    </row>
    <row r="1609" spans="1:6" x14ac:dyDescent="0.2">
      <c r="A1609" s="10" t="s">
        <v>445</v>
      </c>
      <c r="B1609" s="10" t="s">
        <v>466</v>
      </c>
      <c r="C1609" s="10" t="s">
        <v>47</v>
      </c>
      <c r="D1609" s="10">
        <v>28269</v>
      </c>
      <c r="E1609" s="10" t="s">
        <v>5</v>
      </c>
      <c r="F1609" s="10">
        <v>793</v>
      </c>
    </row>
    <row r="1610" spans="1:6" x14ac:dyDescent="0.2">
      <c r="A1610" s="10" t="s">
        <v>445</v>
      </c>
      <c r="B1610" s="10" t="s">
        <v>466</v>
      </c>
      <c r="C1610" s="10" t="s">
        <v>47</v>
      </c>
      <c r="D1610" s="10">
        <v>28277</v>
      </c>
      <c r="E1610" s="10" t="s">
        <v>5</v>
      </c>
      <c r="F1610" s="10">
        <v>206</v>
      </c>
    </row>
    <row r="1611" spans="1:6" x14ac:dyDescent="0.2">
      <c r="A1611" s="10" t="s">
        <v>445</v>
      </c>
      <c r="B1611" s="10" t="s">
        <v>469</v>
      </c>
      <c r="C1611" s="10" t="s">
        <v>47</v>
      </c>
      <c r="D1611" s="10">
        <v>27410</v>
      </c>
      <c r="E1611" s="10" t="s">
        <v>6</v>
      </c>
      <c r="F1611" s="10">
        <v>1222</v>
      </c>
    </row>
    <row r="1612" spans="1:6" x14ac:dyDescent="0.2">
      <c r="A1612" s="10" t="s">
        <v>445</v>
      </c>
      <c r="B1612" s="10" t="s">
        <v>473</v>
      </c>
      <c r="C1612" s="10" t="s">
        <v>47</v>
      </c>
      <c r="D1612" s="10">
        <v>28470</v>
      </c>
      <c r="E1612" s="10" t="s">
        <v>6</v>
      </c>
      <c r="F1612" s="10">
        <v>6983</v>
      </c>
    </row>
    <row r="1613" spans="1:6" x14ac:dyDescent="0.2">
      <c r="A1613" s="10" t="s">
        <v>445</v>
      </c>
      <c r="B1613" s="10" t="s">
        <v>474</v>
      </c>
      <c r="C1613" s="10" t="s">
        <v>47</v>
      </c>
      <c r="D1613" s="10">
        <v>27959</v>
      </c>
      <c r="E1613" s="10" t="s">
        <v>5</v>
      </c>
      <c r="F1613" s="10">
        <v>785</v>
      </c>
    </row>
    <row r="1614" spans="1:6" x14ac:dyDescent="0.2">
      <c r="A1614" s="10" t="s">
        <v>445</v>
      </c>
      <c r="B1614" s="10" t="s">
        <v>469</v>
      </c>
      <c r="C1614" s="10" t="s">
        <v>47</v>
      </c>
      <c r="D1614" s="10">
        <v>27401</v>
      </c>
      <c r="E1614" s="10" t="s">
        <v>6</v>
      </c>
      <c r="F1614" s="10">
        <v>1782</v>
      </c>
    </row>
    <row r="1615" spans="1:6" x14ac:dyDescent="0.2">
      <c r="A1615" s="10" t="s">
        <v>445</v>
      </c>
      <c r="B1615" s="10" t="s">
        <v>475</v>
      </c>
      <c r="C1615" s="10" t="s">
        <v>47</v>
      </c>
      <c r="D1615" s="10">
        <v>28607</v>
      </c>
      <c r="E1615" s="10" t="s">
        <v>5</v>
      </c>
      <c r="F1615" s="10">
        <v>2061</v>
      </c>
    </row>
    <row r="1616" spans="1:6" x14ac:dyDescent="0.2">
      <c r="A1616" s="10" t="s">
        <v>476</v>
      </c>
      <c r="B1616" s="10" t="s">
        <v>428</v>
      </c>
      <c r="C1616" s="10" t="s">
        <v>45</v>
      </c>
      <c r="D1616" s="10">
        <v>58103</v>
      </c>
      <c r="E1616" s="10" t="s">
        <v>8</v>
      </c>
      <c r="F1616" s="10">
        <v>434</v>
      </c>
    </row>
    <row r="1617" spans="1:6" x14ac:dyDescent="0.2">
      <c r="A1617" s="10" t="s">
        <v>476</v>
      </c>
      <c r="B1617" s="10" t="s">
        <v>428</v>
      </c>
      <c r="C1617" s="10" t="s">
        <v>45</v>
      </c>
      <c r="D1617" s="10">
        <v>58103</v>
      </c>
      <c r="E1617" s="10" t="s">
        <v>6</v>
      </c>
      <c r="F1617" s="10">
        <v>2772</v>
      </c>
    </row>
    <row r="1618" spans="1:6" x14ac:dyDescent="0.2">
      <c r="A1618" s="10" t="s">
        <v>476</v>
      </c>
      <c r="B1618" s="10" t="s">
        <v>477</v>
      </c>
      <c r="C1618" s="10" t="s">
        <v>45</v>
      </c>
      <c r="D1618" s="10">
        <v>58201</v>
      </c>
      <c r="E1618" s="10" t="s">
        <v>7</v>
      </c>
      <c r="F1618" s="10">
        <v>1905</v>
      </c>
    </row>
    <row r="1619" spans="1:6" x14ac:dyDescent="0.2">
      <c r="A1619" s="10" t="s">
        <v>476</v>
      </c>
      <c r="B1619" s="10" t="s">
        <v>478</v>
      </c>
      <c r="C1619" s="10" t="s">
        <v>45</v>
      </c>
      <c r="D1619" s="10">
        <v>58504</v>
      </c>
      <c r="E1619" s="10" t="s">
        <v>6</v>
      </c>
      <c r="F1619" s="10">
        <v>507</v>
      </c>
    </row>
    <row r="1620" spans="1:6" x14ac:dyDescent="0.2">
      <c r="A1620" s="10" t="s">
        <v>476</v>
      </c>
      <c r="B1620" s="10" t="s">
        <v>479</v>
      </c>
      <c r="C1620" s="10" t="s">
        <v>47</v>
      </c>
      <c r="D1620" s="10">
        <v>58701</v>
      </c>
      <c r="E1620" s="10" t="s">
        <v>7</v>
      </c>
      <c r="F1620" s="10">
        <v>1442</v>
      </c>
    </row>
    <row r="1621" spans="1:6" x14ac:dyDescent="0.2">
      <c r="A1621" s="10" t="s">
        <v>480</v>
      </c>
      <c r="B1621" s="10" t="s">
        <v>481</v>
      </c>
      <c r="C1621" s="10" t="s">
        <v>45</v>
      </c>
      <c r="D1621" s="10">
        <v>68025</v>
      </c>
      <c r="E1621" s="10" t="s">
        <v>5</v>
      </c>
      <c r="F1621" s="10">
        <v>461</v>
      </c>
    </row>
    <row r="1622" spans="1:6" x14ac:dyDescent="0.2">
      <c r="A1622" s="10" t="s">
        <v>480</v>
      </c>
      <c r="B1622" s="10" t="s">
        <v>228</v>
      </c>
      <c r="C1622" s="10" t="s">
        <v>45</v>
      </c>
      <c r="D1622" s="10">
        <v>68803</v>
      </c>
      <c r="E1622" s="10" t="s">
        <v>7</v>
      </c>
      <c r="F1622" s="10">
        <v>1634</v>
      </c>
    </row>
    <row r="1623" spans="1:6" x14ac:dyDescent="0.2">
      <c r="A1623" s="10" t="s">
        <v>480</v>
      </c>
      <c r="B1623" s="10" t="s">
        <v>482</v>
      </c>
      <c r="C1623" s="10" t="s">
        <v>46</v>
      </c>
      <c r="D1623" s="10">
        <v>69361</v>
      </c>
      <c r="E1623" s="10" t="s">
        <v>5</v>
      </c>
      <c r="F1623" s="10">
        <v>1131</v>
      </c>
    </row>
    <row r="1624" spans="1:6" x14ac:dyDescent="0.2">
      <c r="A1624" s="10" t="s">
        <v>480</v>
      </c>
      <c r="B1624" s="10" t="s">
        <v>483</v>
      </c>
      <c r="C1624" s="10" t="s">
        <v>47</v>
      </c>
      <c r="D1624" s="10">
        <v>68128</v>
      </c>
      <c r="E1624" s="10" t="s">
        <v>6</v>
      </c>
      <c r="F1624" s="10">
        <v>1068</v>
      </c>
    </row>
    <row r="1625" spans="1:6" x14ac:dyDescent="0.2">
      <c r="A1625" s="10" t="s">
        <v>480</v>
      </c>
      <c r="B1625" s="10" t="s">
        <v>484</v>
      </c>
      <c r="C1625" s="10" t="s">
        <v>47</v>
      </c>
      <c r="D1625" s="10">
        <v>68510</v>
      </c>
      <c r="E1625" s="10" t="s">
        <v>5</v>
      </c>
      <c r="F1625" s="10">
        <v>1681</v>
      </c>
    </row>
    <row r="1626" spans="1:6" x14ac:dyDescent="0.2">
      <c r="A1626" s="10" t="s">
        <v>480</v>
      </c>
      <c r="B1626" s="10" t="s">
        <v>484</v>
      </c>
      <c r="C1626" s="10" t="s">
        <v>47</v>
      </c>
      <c r="D1626" s="10">
        <v>68516</v>
      </c>
      <c r="E1626" s="10" t="s">
        <v>8</v>
      </c>
      <c r="F1626" s="10">
        <v>5858</v>
      </c>
    </row>
    <row r="1627" spans="1:6" x14ac:dyDescent="0.2">
      <c r="A1627" s="10" t="s">
        <v>480</v>
      </c>
      <c r="B1627" s="10" t="s">
        <v>144</v>
      </c>
      <c r="C1627" s="10" t="s">
        <v>47</v>
      </c>
      <c r="D1627" s="10">
        <v>68164</v>
      </c>
      <c r="E1627" s="10" t="s">
        <v>6</v>
      </c>
      <c r="F1627" s="10">
        <v>1542</v>
      </c>
    </row>
    <row r="1628" spans="1:6" x14ac:dyDescent="0.2">
      <c r="A1628" s="10" t="s">
        <v>480</v>
      </c>
      <c r="B1628" s="10" t="s">
        <v>62</v>
      </c>
      <c r="C1628" s="10" t="s">
        <v>47</v>
      </c>
      <c r="D1628" s="10">
        <v>68701</v>
      </c>
      <c r="E1628" s="10" t="s">
        <v>7</v>
      </c>
      <c r="F1628" s="10">
        <v>604</v>
      </c>
    </row>
    <row r="1629" spans="1:6" x14ac:dyDescent="0.2">
      <c r="A1629" s="10" t="s">
        <v>480</v>
      </c>
      <c r="B1629" s="10" t="s">
        <v>62</v>
      </c>
      <c r="C1629" s="10" t="s">
        <v>47</v>
      </c>
      <c r="D1629" s="10">
        <v>68701</v>
      </c>
      <c r="E1629" s="10" t="s">
        <v>8</v>
      </c>
      <c r="F1629" s="10">
        <v>834</v>
      </c>
    </row>
    <row r="1630" spans="1:6" x14ac:dyDescent="0.2">
      <c r="A1630" s="10" t="s">
        <v>480</v>
      </c>
      <c r="B1630" s="10" t="s">
        <v>144</v>
      </c>
      <c r="C1630" s="10" t="s">
        <v>47</v>
      </c>
      <c r="D1630" s="10">
        <v>68132</v>
      </c>
      <c r="E1630" s="10" t="s">
        <v>7</v>
      </c>
      <c r="F1630" s="10">
        <v>1685</v>
      </c>
    </row>
    <row r="1631" spans="1:6" x14ac:dyDescent="0.2">
      <c r="A1631" s="10" t="s">
        <v>480</v>
      </c>
      <c r="B1631" s="10" t="s">
        <v>485</v>
      </c>
      <c r="C1631" s="10" t="s">
        <v>47</v>
      </c>
      <c r="D1631" s="10">
        <v>68845</v>
      </c>
      <c r="E1631" s="10" t="s">
        <v>7</v>
      </c>
      <c r="F1631" s="10">
        <v>2299</v>
      </c>
    </row>
    <row r="1632" spans="1:6" x14ac:dyDescent="0.2">
      <c r="A1632" s="10" t="s">
        <v>480</v>
      </c>
      <c r="B1632" s="10" t="s">
        <v>484</v>
      </c>
      <c r="C1632" s="10" t="s">
        <v>47</v>
      </c>
      <c r="D1632" s="10">
        <v>68504</v>
      </c>
      <c r="E1632" s="10" t="s">
        <v>6</v>
      </c>
      <c r="F1632" s="10">
        <v>1543</v>
      </c>
    </row>
    <row r="1633" spans="1:6" x14ac:dyDescent="0.2">
      <c r="A1633" s="10" t="s">
        <v>480</v>
      </c>
      <c r="B1633" s="10" t="s">
        <v>484</v>
      </c>
      <c r="C1633" s="10" t="s">
        <v>47</v>
      </c>
      <c r="D1633" s="10">
        <v>68516</v>
      </c>
      <c r="E1633" s="10" t="s">
        <v>6</v>
      </c>
      <c r="F1633" s="10">
        <v>6370</v>
      </c>
    </row>
    <row r="1634" spans="1:6" x14ac:dyDescent="0.2">
      <c r="A1634" s="10" t="s">
        <v>480</v>
      </c>
      <c r="B1634" s="10" t="s">
        <v>144</v>
      </c>
      <c r="C1634" s="10" t="s">
        <v>47</v>
      </c>
      <c r="D1634" s="10">
        <v>68144</v>
      </c>
      <c r="E1634" s="10" t="s">
        <v>6</v>
      </c>
      <c r="F1634" s="10">
        <v>2029</v>
      </c>
    </row>
    <row r="1635" spans="1:6" x14ac:dyDescent="0.2">
      <c r="A1635" s="10" t="s">
        <v>486</v>
      </c>
      <c r="B1635" s="10" t="s">
        <v>487</v>
      </c>
      <c r="C1635" s="10" t="s">
        <v>45</v>
      </c>
      <c r="D1635" s="10">
        <v>3839</v>
      </c>
      <c r="E1635" s="10" t="s">
        <v>5</v>
      </c>
      <c r="F1635" s="10">
        <v>1635</v>
      </c>
    </row>
    <row r="1636" spans="1:6" x14ac:dyDescent="0.2">
      <c r="A1636" s="10" t="s">
        <v>486</v>
      </c>
      <c r="B1636" s="10" t="s">
        <v>488</v>
      </c>
      <c r="C1636" s="10" t="s">
        <v>45</v>
      </c>
      <c r="D1636" s="10">
        <v>3885</v>
      </c>
      <c r="E1636" s="10" t="s">
        <v>5</v>
      </c>
      <c r="F1636" s="10">
        <v>102</v>
      </c>
    </row>
    <row r="1637" spans="1:6" x14ac:dyDescent="0.2">
      <c r="A1637" s="10" t="s">
        <v>486</v>
      </c>
      <c r="B1637" s="10" t="s">
        <v>488</v>
      </c>
      <c r="C1637" s="10" t="s">
        <v>45</v>
      </c>
      <c r="D1637" s="10">
        <v>3801</v>
      </c>
      <c r="E1637" s="10" t="s">
        <v>5</v>
      </c>
      <c r="F1637" s="10">
        <v>1581</v>
      </c>
    </row>
    <row r="1638" spans="1:6" x14ac:dyDescent="0.2">
      <c r="A1638" s="10" t="s">
        <v>486</v>
      </c>
      <c r="B1638" s="10" t="s">
        <v>488</v>
      </c>
      <c r="C1638" s="10" t="s">
        <v>45</v>
      </c>
      <c r="D1638" s="10">
        <v>3053</v>
      </c>
      <c r="E1638" s="10" t="s">
        <v>5</v>
      </c>
      <c r="F1638" s="10">
        <v>1687</v>
      </c>
    </row>
    <row r="1639" spans="1:6" x14ac:dyDescent="0.2">
      <c r="A1639" s="10" t="s">
        <v>486</v>
      </c>
      <c r="B1639" s="10" t="s">
        <v>488</v>
      </c>
      <c r="C1639" s="10" t="s">
        <v>45</v>
      </c>
      <c r="D1639" s="10">
        <v>3079</v>
      </c>
      <c r="E1639" s="10" t="s">
        <v>5</v>
      </c>
      <c r="F1639" s="10">
        <v>5290</v>
      </c>
    </row>
    <row r="1640" spans="1:6" x14ac:dyDescent="0.2">
      <c r="A1640" s="10" t="s">
        <v>486</v>
      </c>
      <c r="B1640" s="10" t="s">
        <v>488</v>
      </c>
      <c r="C1640" s="10" t="s">
        <v>45</v>
      </c>
      <c r="D1640" s="10">
        <v>3865</v>
      </c>
      <c r="E1640" s="10" t="s">
        <v>5</v>
      </c>
      <c r="F1640" s="10">
        <v>1552</v>
      </c>
    </row>
    <row r="1641" spans="1:6" x14ac:dyDescent="0.2">
      <c r="A1641" s="10" t="s">
        <v>486</v>
      </c>
      <c r="B1641" s="10" t="s">
        <v>487</v>
      </c>
      <c r="C1641" s="10" t="s">
        <v>45</v>
      </c>
      <c r="D1641" s="10">
        <v>3878</v>
      </c>
      <c r="E1641" s="10" t="s">
        <v>5</v>
      </c>
      <c r="F1641" s="10">
        <v>84</v>
      </c>
    </row>
    <row r="1642" spans="1:6" x14ac:dyDescent="0.2">
      <c r="A1642" s="10" t="s">
        <v>486</v>
      </c>
      <c r="B1642" s="10" t="s">
        <v>488</v>
      </c>
      <c r="C1642" s="10" t="s">
        <v>45</v>
      </c>
      <c r="D1642" s="10">
        <v>3865</v>
      </c>
      <c r="E1642" s="10" t="s">
        <v>8</v>
      </c>
      <c r="F1642" s="10">
        <v>951</v>
      </c>
    </row>
    <row r="1643" spans="1:6" x14ac:dyDescent="0.2">
      <c r="A1643" s="10" t="s">
        <v>486</v>
      </c>
      <c r="B1643" s="10" t="s">
        <v>488</v>
      </c>
      <c r="C1643" s="10" t="s">
        <v>45</v>
      </c>
      <c r="D1643" s="10">
        <v>3079</v>
      </c>
      <c r="E1643" s="10" t="s">
        <v>8</v>
      </c>
      <c r="F1643" s="10">
        <v>310</v>
      </c>
    </row>
    <row r="1644" spans="1:6" x14ac:dyDescent="0.2">
      <c r="A1644" s="10" t="s">
        <v>486</v>
      </c>
      <c r="B1644" s="10" t="s">
        <v>488</v>
      </c>
      <c r="C1644" s="10" t="s">
        <v>45</v>
      </c>
      <c r="D1644" s="10">
        <v>3874</v>
      </c>
      <c r="E1644" s="10" t="s">
        <v>5</v>
      </c>
      <c r="F1644" s="10">
        <v>935</v>
      </c>
    </row>
    <row r="1645" spans="1:6" x14ac:dyDescent="0.2">
      <c r="A1645" s="10" t="s">
        <v>486</v>
      </c>
      <c r="B1645" s="10" t="s">
        <v>489</v>
      </c>
      <c r="C1645" s="10" t="s">
        <v>46</v>
      </c>
      <c r="D1645" s="10">
        <v>3301</v>
      </c>
      <c r="E1645" s="10" t="s">
        <v>5</v>
      </c>
      <c r="F1645" s="10">
        <v>1793</v>
      </c>
    </row>
    <row r="1646" spans="1:6" x14ac:dyDescent="0.2">
      <c r="A1646" s="10" t="s">
        <v>486</v>
      </c>
      <c r="B1646" s="10" t="s">
        <v>490</v>
      </c>
      <c r="C1646" s="10" t="s">
        <v>46</v>
      </c>
      <c r="D1646" s="10">
        <v>3431</v>
      </c>
      <c r="E1646" s="10" t="s">
        <v>5</v>
      </c>
      <c r="F1646" s="10">
        <v>753</v>
      </c>
    </row>
    <row r="1647" spans="1:6" x14ac:dyDescent="0.2">
      <c r="A1647" s="10" t="s">
        <v>486</v>
      </c>
      <c r="B1647" s="10" t="s">
        <v>241</v>
      </c>
      <c r="C1647" s="10" t="s">
        <v>46</v>
      </c>
      <c r="D1647" s="10">
        <v>3860</v>
      </c>
      <c r="E1647" s="10" t="s">
        <v>5</v>
      </c>
      <c r="F1647" s="10">
        <v>761</v>
      </c>
    </row>
    <row r="1648" spans="1:6" x14ac:dyDescent="0.2">
      <c r="A1648" s="10" t="s">
        <v>486</v>
      </c>
      <c r="B1648" s="10" t="s">
        <v>187</v>
      </c>
      <c r="C1648" s="10" t="s">
        <v>47</v>
      </c>
      <c r="D1648" s="10">
        <v>3060</v>
      </c>
      <c r="E1648" s="10" t="s">
        <v>5</v>
      </c>
      <c r="F1648" s="10">
        <v>1208</v>
      </c>
    </row>
    <row r="1649" spans="1:6" x14ac:dyDescent="0.2">
      <c r="A1649" s="10" t="s">
        <v>486</v>
      </c>
      <c r="B1649" s="10" t="s">
        <v>187</v>
      </c>
      <c r="C1649" s="10" t="s">
        <v>47</v>
      </c>
      <c r="D1649" s="10">
        <v>3110</v>
      </c>
      <c r="E1649" s="10" t="s">
        <v>5</v>
      </c>
      <c r="F1649" s="10">
        <v>1075</v>
      </c>
    </row>
    <row r="1650" spans="1:6" x14ac:dyDescent="0.2">
      <c r="A1650" s="10" t="s">
        <v>486</v>
      </c>
      <c r="B1650" s="10" t="s">
        <v>187</v>
      </c>
      <c r="C1650" s="10" t="s">
        <v>47</v>
      </c>
      <c r="D1650" s="10">
        <v>3103</v>
      </c>
      <c r="E1650" s="10" t="s">
        <v>5</v>
      </c>
      <c r="F1650" s="10">
        <v>2148</v>
      </c>
    </row>
    <row r="1651" spans="1:6" x14ac:dyDescent="0.2">
      <c r="A1651" s="10" t="s">
        <v>486</v>
      </c>
      <c r="B1651" s="10" t="s">
        <v>187</v>
      </c>
      <c r="C1651" s="10" t="s">
        <v>47</v>
      </c>
      <c r="D1651" s="10">
        <v>3101</v>
      </c>
      <c r="E1651" s="10" t="s">
        <v>8</v>
      </c>
      <c r="F1651" s="10">
        <v>126</v>
      </c>
    </row>
    <row r="1652" spans="1:6" x14ac:dyDescent="0.2">
      <c r="A1652" s="10" t="s">
        <v>486</v>
      </c>
      <c r="B1652" s="10" t="s">
        <v>187</v>
      </c>
      <c r="C1652" s="10" t="s">
        <v>47</v>
      </c>
      <c r="D1652" s="10">
        <v>3031</v>
      </c>
      <c r="E1652" s="10" t="s">
        <v>5</v>
      </c>
      <c r="F1652" s="10">
        <v>1412</v>
      </c>
    </row>
    <row r="1653" spans="1:6" x14ac:dyDescent="0.2">
      <c r="A1653" s="10" t="s">
        <v>486</v>
      </c>
      <c r="B1653" s="10" t="s">
        <v>491</v>
      </c>
      <c r="C1653" s="10" t="s">
        <v>47</v>
      </c>
      <c r="D1653" s="10">
        <v>3276</v>
      </c>
      <c r="E1653" s="10" t="s">
        <v>5</v>
      </c>
      <c r="F1653" s="10">
        <v>793</v>
      </c>
    </row>
    <row r="1654" spans="1:6" x14ac:dyDescent="0.2">
      <c r="A1654" s="10" t="s">
        <v>486</v>
      </c>
      <c r="B1654" s="10" t="s">
        <v>492</v>
      </c>
      <c r="C1654" s="10" t="s">
        <v>47</v>
      </c>
      <c r="D1654" s="10">
        <v>3561</v>
      </c>
      <c r="E1654" s="10" t="s">
        <v>5</v>
      </c>
      <c r="F1654" s="10">
        <v>2066</v>
      </c>
    </row>
    <row r="1655" spans="1:6" x14ac:dyDescent="0.2">
      <c r="A1655" s="10" t="s">
        <v>486</v>
      </c>
      <c r="B1655" s="10" t="s">
        <v>492</v>
      </c>
      <c r="C1655" s="10" t="s">
        <v>47</v>
      </c>
      <c r="D1655" s="10">
        <v>3784</v>
      </c>
      <c r="E1655" s="10" t="s">
        <v>5</v>
      </c>
      <c r="F1655" s="10">
        <v>407</v>
      </c>
    </row>
    <row r="1656" spans="1:6" x14ac:dyDescent="0.2">
      <c r="A1656" s="10" t="s">
        <v>493</v>
      </c>
      <c r="B1656" s="10" t="s">
        <v>494</v>
      </c>
      <c r="C1656" s="10" t="s">
        <v>45</v>
      </c>
      <c r="D1656" s="10">
        <v>7726</v>
      </c>
      <c r="E1656" s="10" t="s">
        <v>5</v>
      </c>
      <c r="F1656" s="10">
        <v>4997</v>
      </c>
    </row>
    <row r="1657" spans="1:6" x14ac:dyDescent="0.2">
      <c r="A1657" s="10" t="s">
        <v>493</v>
      </c>
      <c r="B1657" s="10" t="s">
        <v>495</v>
      </c>
      <c r="C1657" s="10" t="s">
        <v>45</v>
      </c>
      <c r="D1657" s="10">
        <v>8869</v>
      </c>
      <c r="E1657" s="10" t="s">
        <v>5</v>
      </c>
      <c r="F1657" s="10">
        <v>964</v>
      </c>
    </row>
    <row r="1658" spans="1:6" x14ac:dyDescent="0.2">
      <c r="A1658" s="10" t="s">
        <v>493</v>
      </c>
      <c r="B1658" s="10" t="s">
        <v>496</v>
      </c>
      <c r="C1658" s="10" t="s">
        <v>45</v>
      </c>
      <c r="D1658" s="10">
        <v>7310</v>
      </c>
      <c r="E1658" s="10" t="s">
        <v>5</v>
      </c>
      <c r="F1658" s="10">
        <v>1528</v>
      </c>
    </row>
    <row r="1659" spans="1:6" x14ac:dyDescent="0.2">
      <c r="A1659" s="10" t="s">
        <v>493</v>
      </c>
      <c r="B1659" s="10" t="s">
        <v>495</v>
      </c>
      <c r="C1659" s="10" t="s">
        <v>45</v>
      </c>
      <c r="D1659" s="10">
        <v>7069</v>
      </c>
      <c r="E1659" s="10" t="s">
        <v>5</v>
      </c>
      <c r="F1659" s="10">
        <v>1440</v>
      </c>
    </row>
    <row r="1660" spans="1:6" x14ac:dyDescent="0.2">
      <c r="A1660" s="10" t="s">
        <v>493</v>
      </c>
      <c r="B1660" s="10" t="s">
        <v>497</v>
      </c>
      <c r="C1660" s="10" t="s">
        <v>45</v>
      </c>
      <c r="D1660" s="10">
        <v>8080</v>
      </c>
      <c r="E1660" s="10" t="s">
        <v>8</v>
      </c>
      <c r="F1660" s="10">
        <v>136</v>
      </c>
    </row>
    <row r="1661" spans="1:6" x14ac:dyDescent="0.2">
      <c r="A1661" s="10" t="s">
        <v>493</v>
      </c>
      <c r="B1661" s="10" t="s">
        <v>495</v>
      </c>
      <c r="C1661" s="10" t="s">
        <v>45</v>
      </c>
      <c r="D1661" s="10">
        <v>8873</v>
      </c>
      <c r="E1661" s="10" t="s">
        <v>8</v>
      </c>
      <c r="F1661" s="10">
        <v>1213</v>
      </c>
    </row>
    <row r="1662" spans="1:6" x14ac:dyDescent="0.2">
      <c r="A1662" s="10" t="s">
        <v>493</v>
      </c>
      <c r="B1662" s="10" t="s">
        <v>495</v>
      </c>
      <c r="C1662" s="10" t="s">
        <v>45</v>
      </c>
      <c r="D1662" s="10">
        <v>8844</v>
      </c>
      <c r="E1662" s="10" t="s">
        <v>5</v>
      </c>
      <c r="F1662" s="10">
        <v>1235</v>
      </c>
    </row>
    <row r="1663" spans="1:6" x14ac:dyDescent="0.2">
      <c r="A1663" s="10" t="s">
        <v>493</v>
      </c>
      <c r="B1663" s="10" t="s">
        <v>498</v>
      </c>
      <c r="C1663" s="10" t="s">
        <v>45</v>
      </c>
      <c r="D1663" s="10">
        <v>8002</v>
      </c>
      <c r="E1663" s="10" t="s">
        <v>5</v>
      </c>
      <c r="F1663" s="10">
        <v>928</v>
      </c>
    </row>
    <row r="1664" spans="1:6" x14ac:dyDescent="0.2">
      <c r="A1664" s="10" t="s">
        <v>493</v>
      </c>
      <c r="B1664" s="10" t="s">
        <v>497</v>
      </c>
      <c r="C1664" s="10" t="s">
        <v>45</v>
      </c>
      <c r="D1664" s="10">
        <v>8028</v>
      </c>
      <c r="E1664" s="10" t="s">
        <v>5</v>
      </c>
      <c r="F1664" s="10">
        <v>1022</v>
      </c>
    </row>
    <row r="1665" spans="1:6" x14ac:dyDescent="0.2">
      <c r="A1665" s="10" t="s">
        <v>493</v>
      </c>
      <c r="B1665" s="10" t="s">
        <v>498</v>
      </c>
      <c r="C1665" s="10" t="s">
        <v>45</v>
      </c>
      <c r="D1665" s="10">
        <v>8091</v>
      </c>
      <c r="E1665" s="10" t="s">
        <v>5</v>
      </c>
      <c r="F1665" s="10">
        <v>1053</v>
      </c>
    </row>
    <row r="1666" spans="1:6" x14ac:dyDescent="0.2">
      <c r="A1666" s="10" t="s">
        <v>493</v>
      </c>
      <c r="B1666" s="10" t="s">
        <v>494</v>
      </c>
      <c r="C1666" s="10" t="s">
        <v>45</v>
      </c>
      <c r="D1666" s="10">
        <v>8750</v>
      </c>
      <c r="E1666" s="10" t="s">
        <v>5</v>
      </c>
      <c r="F1666" s="10">
        <v>1236</v>
      </c>
    </row>
    <row r="1667" spans="1:6" x14ac:dyDescent="0.2">
      <c r="A1667" s="10" t="s">
        <v>493</v>
      </c>
      <c r="B1667" s="10" t="s">
        <v>494</v>
      </c>
      <c r="C1667" s="10" t="s">
        <v>45</v>
      </c>
      <c r="D1667" s="10">
        <v>7731</v>
      </c>
      <c r="E1667" s="10" t="s">
        <v>8</v>
      </c>
      <c r="F1667" s="10">
        <v>158</v>
      </c>
    </row>
    <row r="1668" spans="1:6" x14ac:dyDescent="0.2">
      <c r="A1668" s="10" t="s">
        <v>493</v>
      </c>
      <c r="B1668" s="10" t="s">
        <v>494</v>
      </c>
      <c r="C1668" s="10" t="s">
        <v>45</v>
      </c>
      <c r="D1668" s="10">
        <v>7728</v>
      </c>
      <c r="E1668" s="10" t="s">
        <v>5</v>
      </c>
      <c r="F1668" s="10">
        <v>703</v>
      </c>
    </row>
    <row r="1669" spans="1:6" x14ac:dyDescent="0.2">
      <c r="A1669" s="10" t="s">
        <v>493</v>
      </c>
      <c r="B1669" s="10" t="s">
        <v>494</v>
      </c>
      <c r="C1669" s="10" t="s">
        <v>45</v>
      </c>
      <c r="D1669" s="10">
        <v>7731</v>
      </c>
      <c r="E1669" s="10" t="s">
        <v>5</v>
      </c>
      <c r="F1669" s="10">
        <v>2244</v>
      </c>
    </row>
    <row r="1670" spans="1:6" x14ac:dyDescent="0.2">
      <c r="A1670" s="10" t="s">
        <v>493</v>
      </c>
      <c r="B1670" s="10" t="s">
        <v>494</v>
      </c>
      <c r="C1670" s="10" t="s">
        <v>45</v>
      </c>
      <c r="D1670" s="10">
        <v>7730</v>
      </c>
      <c r="E1670" s="10" t="s">
        <v>5</v>
      </c>
      <c r="F1670" s="10">
        <v>4644</v>
      </c>
    </row>
    <row r="1671" spans="1:6" x14ac:dyDescent="0.2">
      <c r="A1671" s="10" t="s">
        <v>493</v>
      </c>
      <c r="B1671" s="10" t="s">
        <v>494</v>
      </c>
      <c r="C1671" s="10" t="s">
        <v>45</v>
      </c>
      <c r="D1671" s="10">
        <v>7748</v>
      </c>
      <c r="E1671" s="10" t="s">
        <v>5</v>
      </c>
      <c r="F1671" s="10">
        <v>2263</v>
      </c>
    </row>
    <row r="1672" spans="1:6" x14ac:dyDescent="0.2">
      <c r="A1672" s="10" t="s">
        <v>493</v>
      </c>
      <c r="B1672" s="10" t="s">
        <v>494</v>
      </c>
      <c r="C1672" s="10" t="s">
        <v>45</v>
      </c>
      <c r="D1672" s="10">
        <v>7702</v>
      </c>
      <c r="E1672" s="10" t="s">
        <v>5</v>
      </c>
      <c r="F1672" s="10">
        <v>3599</v>
      </c>
    </row>
    <row r="1673" spans="1:6" x14ac:dyDescent="0.2">
      <c r="A1673" s="10" t="s">
        <v>493</v>
      </c>
      <c r="B1673" s="10" t="s">
        <v>498</v>
      </c>
      <c r="C1673" s="10" t="s">
        <v>45</v>
      </c>
      <c r="D1673" s="10">
        <v>8003</v>
      </c>
      <c r="E1673" s="10" t="s">
        <v>8</v>
      </c>
      <c r="F1673" s="10">
        <v>461</v>
      </c>
    </row>
    <row r="1674" spans="1:6" x14ac:dyDescent="0.2">
      <c r="A1674" s="10" t="s">
        <v>493</v>
      </c>
      <c r="B1674" s="10" t="s">
        <v>494</v>
      </c>
      <c r="C1674" s="10" t="s">
        <v>45</v>
      </c>
      <c r="D1674" s="10">
        <v>7712</v>
      </c>
      <c r="E1674" s="10" t="s">
        <v>5</v>
      </c>
      <c r="F1674" s="10">
        <v>2331</v>
      </c>
    </row>
    <row r="1675" spans="1:6" x14ac:dyDescent="0.2">
      <c r="A1675" s="10" t="s">
        <v>493</v>
      </c>
      <c r="B1675" s="10" t="s">
        <v>496</v>
      </c>
      <c r="C1675" s="10" t="s">
        <v>45</v>
      </c>
      <c r="D1675" s="10">
        <v>7030</v>
      </c>
      <c r="E1675" s="10" t="s">
        <v>10</v>
      </c>
      <c r="F1675" s="10">
        <v>686</v>
      </c>
    </row>
    <row r="1676" spans="1:6" x14ac:dyDescent="0.2">
      <c r="A1676" s="10" t="s">
        <v>493</v>
      </c>
      <c r="B1676" s="10" t="s">
        <v>497</v>
      </c>
      <c r="C1676" s="10" t="s">
        <v>45</v>
      </c>
      <c r="D1676" s="10">
        <v>8096</v>
      </c>
      <c r="E1676" s="10" t="s">
        <v>5</v>
      </c>
      <c r="F1676" s="10">
        <v>1445</v>
      </c>
    </row>
    <row r="1677" spans="1:6" x14ac:dyDescent="0.2">
      <c r="A1677" s="10" t="s">
        <v>493</v>
      </c>
      <c r="B1677" s="10" t="s">
        <v>497</v>
      </c>
      <c r="C1677" s="10" t="s">
        <v>45</v>
      </c>
      <c r="D1677" s="10">
        <v>8012</v>
      </c>
      <c r="E1677" s="10" t="s">
        <v>5</v>
      </c>
      <c r="F1677" s="10">
        <v>2101</v>
      </c>
    </row>
    <row r="1678" spans="1:6" x14ac:dyDescent="0.2">
      <c r="A1678" s="10" t="s">
        <v>493</v>
      </c>
      <c r="B1678" s="10" t="s">
        <v>157</v>
      </c>
      <c r="C1678" s="10" t="s">
        <v>46</v>
      </c>
      <c r="D1678" s="10">
        <v>8840</v>
      </c>
      <c r="E1678" s="10" t="s">
        <v>8</v>
      </c>
      <c r="F1678" s="10">
        <v>242</v>
      </c>
    </row>
    <row r="1679" spans="1:6" x14ac:dyDescent="0.2">
      <c r="A1679" s="10" t="s">
        <v>493</v>
      </c>
      <c r="B1679" s="10" t="s">
        <v>499</v>
      </c>
      <c r="C1679" s="10" t="s">
        <v>46</v>
      </c>
      <c r="D1679" s="10">
        <v>8057</v>
      </c>
      <c r="E1679" s="10" t="s">
        <v>5</v>
      </c>
      <c r="F1679" s="10">
        <v>703</v>
      </c>
    </row>
    <row r="1680" spans="1:6" x14ac:dyDescent="0.2">
      <c r="A1680" s="10" t="s">
        <v>493</v>
      </c>
      <c r="B1680" s="10" t="s">
        <v>500</v>
      </c>
      <c r="C1680" s="10" t="s">
        <v>46</v>
      </c>
      <c r="D1680" s="10">
        <v>8648</v>
      </c>
      <c r="E1680" s="10" t="s">
        <v>5</v>
      </c>
      <c r="F1680" s="10">
        <v>739</v>
      </c>
    </row>
    <row r="1681" spans="1:6" x14ac:dyDescent="0.2">
      <c r="A1681" s="10" t="s">
        <v>493</v>
      </c>
      <c r="B1681" s="10" t="s">
        <v>499</v>
      </c>
      <c r="C1681" s="10" t="s">
        <v>46</v>
      </c>
      <c r="D1681" s="10">
        <v>8053</v>
      </c>
      <c r="E1681" s="10" t="s">
        <v>10</v>
      </c>
      <c r="F1681" s="10">
        <v>1801</v>
      </c>
    </row>
    <row r="1682" spans="1:6" x14ac:dyDescent="0.2">
      <c r="A1682" s="10" t="s">
        <v>493</v>
      </c>
      <c r="B1682" s="10" t="s">
        <v>326</v>
      </c>
      <c r="C1682" s="10" t="s">
        <v>46</v>
      </c>
      <c r="D1682" s="10">
        <v>7840</v>
      </c>
      <c r="E1682" s="10" t="s">
        <v>5</v>
      </c>
      <c r="F1682" s="10">
        <v>4146</v>
      </c>
    </row>
    <row r="1683" spans="1:6" x14ac:dyDescent="0.2">
      <c r="A1683" s="10" t="s">
        <v>493</v>
      </c>
      <c r="B1683" s="10" t="s">
        <v>501</v>
      </c>
      <c r="C1683" s="10" t="s">
        <v>46</v>
      </c>
      <c r="D1683" s="10">
        <v>7436</v>
      </c>
      <c r="E1683" s="10" t="s">
        <v>5</v>
      </c>
      <c r="F1683" s="10">
        <v>4641</v>
      </c>
    </row>
    <row r="1684" spans="1:6" x14ac:dyDescent="0.2">
      <c r="A1684" s="10" t="s">
        <v>493</v>
      </c>
      <c r="B1684" s="10" t="s">
        <v>501</v>
      </c>
      <c r="C1684" s="10" t="s">
        <v>46</v>
      </c>
      <c r="D1684" s="10">
        <v>7430</v>
      </c>
      <c r="E1684" s="10" t="s">
        <v>8</v>
      </c>
      <c r="F1684" s="10">
        <v>180</v>
      </c>
    </row>
    <row r="1685" spans="1:6" x14ac:dyDescent="0.2">
      <c r="A1685" s="10" t="s">
        <v>493</v>
      </c>
      <c r="B1685" s="10" t="s">
        <v>501</v>
      </c>
      <c r="C1685" s="10" t="s">
        <v>46</v>
      </c>
      <c r="D1685" s="10">
        <v>7652</v>
      </c>
      <c r="E1685" s="10" t="s">
        <v>5</v>
      </c>
      <c r="F1685" s="10">
        <v>1148</v>
      </c>
    </row>
    <row r="1686" spans="1:6" x14ac:dyDescent="0.2">
      <c r="A1686" s="10" t="s">
        <v>493</v>
      </c>
      <c r="B1686" s="10" t="s">
        <v>88</v>
      </c>
      <c r="C1686" s="10" t="s">
        <v>46</v>
      </c>
      <c r="D1686" s="10">
        <v>7901</v>
      </c>
      <c r="E1686" s="10" t="s">
        <v>10</v>
      </c>
      <c r="F1686" s="10">
        <v>287</v>
      </c>
    </row>
    <row r="1687" spans="1:6" x14ac:dyDescent="0.2">
      <c r="A1687" s="10" t="s">
        <v>493</v>
      </c>
      <c r="B1687" s="10" t="s">
        <v>502</v>
      </c>
      <c r="C1687" s="10" t="s">
        <v>46</v>
      </c>
      <c r="D1687" s="10">
        <v>7470</v>
      </c>
      <c r="E1687" s="10" t="s">
        <v>8</v>
      </c>
      <c r="F1687" s="10">
        <v>1917</v>
      </c>
    </row>
    <row r="1688" spans="1:6" x14ac:dyDescent="0.2">
      <c r="A1688" s="10" t="s">
        <v>493</v>
      </c>
      <c r="B1688" s="10" t="s">
        <v>88</v>
      </c>
      <c r="C1688" s="10" t="s">
        <v>46</v>
      </c>
      <c r="D1688" s="10">
        <v>7083</v>
      </c>
      <c r="E1688" s="10" t="s">
        <v>6</v>
      </c>
      <c r="F1688" s="10">
        <v>4673</v>
      </c>
    </row>
    <row r="1689" spans="1:6" x14ac:dyDescent="0.2">
      <c r="A1689" s="10" t="s">
        <v>493</v>
      </c>
      <c r="B1689" s="10" t="s">
        <v>500</v>
      </c>
      <c r="C1689" s="10" t="s">
        <v>46</v>
      </c>
      <c r="D1689" s="10">
        <v>8540</v>
      </c>
      <c r="E1689" s="10" t="s">
        <v>5</v>
      </c>
      <c r="F1689" s="10">
        <v>758</v>
      </c>
    </row>
    <row r="1690" spans="1:6" x14ac:dyDescent="0.2">
      <c r="A1690" s="10" t="s">
        <v>493</v>
      </c>
      <c r="B1690" s="10" t="s">
        <v>500</v>
      </c>
      <c r="C1690" s="10" t="s">
        <v>46</v>
      </c>
      <c r="D1690" s="10">
        <v>8534</v>
      </c>
      <c r="E1690" s="10" t="s">
        <v>8</v>
      </c>
      <c r="F1690" s="10">
        <v>256</v>
      </c>
    </row>
    <row r="1691" spans="1:6" x14ac:dyDescent="0.2">
      <c r="A1691" s="10" t="s">
        <v>493</v>
      </c>
      <c r="B1691" s="10" t="s">
        <v>501</v>
      </c>
      <c r="C1691" s="10" t="s">
        <v>46</v>
      </c>
      <c r="D1691" s="10">
        <v>7656</v>
      </c>
      <c r="E1691" s="10" t="s">
        <v>5</v>
      </c>
      <c r="F1691" s="10">
        <v>2479</v>
      </c>
    </row>
    <row r="1692" spans="1:6" x14ac:dyDescent="0.2">
      <c r="A1692" s="10" t="s">
        <v>493</v>
      </c>
      <c r="B1692" s="10" t="s">
        <v>357</v>
      </c>
      <c r="C1692" s="10" t="s">
        <v>46</v>
      </c>
      <c r="D1692" s="10">
        <v>7052</v>
      </c>
      <c r="E1692" s="10" t="s">
        <v>8</v>
      </c>
      <c r="F1692" s="10">
        <v>608</v>
      </c>
    </row>
    <row r="1693" spans="1:6" x14ac:dyDescent="0.2">
      <c r="A1693" s="10" t="s">
        <v>493</v>
      </c>
      <c r="B1693" s="10" t="s">
        <v>499</v>
      </c>
      <c r="C1693" s="10" t="s">
        <v>46</v>
      </c>
      <c r="D1693" s="10">
        <v>8053</v>
      </c>
      <c r="E1693" s="10" t="s">
        <v>5</v>
      </c>
      <c r="F1693" s="10">
        <v>242</v>
      </c>
    </row>
    <row r="1694" spans="1:6" x14ac:dyDescent="0.2">
      <c r="A1694" s="10" t="s">
        <v>493</v>
      </c>
      <c r="B1694" s="10" t="s">
        <v>499</v>
      </c>
      <c r="C1694" s="10" t="s">
        <v>46</v>
      </c>
      <c r="D1694" s="10">
        <v>8075</v>
      </c>
      <c r="E1694" s="10" t="s">
        <v>5</v>
      </c>
      <c r="F1694" s="10">
        <v>518</v>
      </c>
    </row>
    <row r="1695" spans="1:6" x14ac:dyDescent="0.2">
      <c r="A1695" s="10" t="s">
        <v>493</v>
      </c>
      <c r="B1695" s="10" t="s">
        <v>501</v>
      </c>
      <c r="C1695" s="10" t="s">
        <v>46</v>
      </c>
      <c r="D1695" s="10">
        <v>7621</v>
      </c>
      <c r="E1695" s="10" t="s">
        <v>5</v>
      </c>
      <c r="F1695" s="10">
        <v>3417</v>
      </c>
    </row>
    <row r="1696" spans="1:6" x14ac:dyDescent="0.2">
      <c r="A1696" s="10" t="s">
        <v>493</v>
      </c>
      <c r="B1696" s="10" t="s">
        <v>500</v>
      </c>
      <c r="C1696" s="10" t="s">
        <v>46</v>
      </c>
      <c r="D1696" s="10">
        <v>8542</v>
      </c>
      <c r="E1696" s="10" t="s">
        <v>10</v>
      </c>
      <c r="F1696" s="10">
        <v>25</v>
      </c>
    </row>
    <row r="1697" spans="1:6" x14ac:dyDescent="0.2">
      <c r="A1697" s="10" t="s">
        <v>493</v>
      </c>
      <c r="B1697" s="10" t="s">
        <v>500</v>
      </c>
      <c r="C1697" s="10" t="s">
        <v>46</v>
      </c>
      <c r="D1697" s="10">
        <v>8520</v>
      </c>
      <c r="E1697" s="10" t="s">
        <v>5</v>
      </c>
      <c r="F1697" s="10">
        <v>2237</v>
      </c>
    </row>
    <row r="1698" spans="1:6" x14ac:dyDescent="0.2">
      <c r="A1698" s="10" t="s">
        <v>493</v>
      </c>
      <c r="B1698" s="10" t="s">
        <v>88</v>
      </c>
      <c r="C1698" s="10" t="s">
        <v>46</v>
      </c>
      <c r="D1698" s="10">
        <v>7974</v>
      </c>
      <c r="E1698" s="10" t="s">
        <v>8</v>
      </c>
      <c r="F1698" s="10">
        <v>1403</v>
      </c>
    </row>
    <row r="1699" spans="1:6" x14ac:dyDescent="0.2">
      <c r="A1699" s="10" t="s">
        <v>493</v>
      </c>
      <c r="B1699" s="10" t="s">
        <v>501</v>
      </c>
      <c r="C1699" s="10" t="s">
        <v>46</v>
      </c>
      <c r="D1699" s="10">
        <v>7663</v>
      </c>
      <c r="E1699" s="10" t="s">
        <v>5</v>
      </c>
      <c r="F1699" s="10">
        <v>1488</v>
      </c>
    </row>
    <row r="1700" spans="1:6" x14ac:dyDescent="0.2">
      <c r="A1700" s="10" t="s">
        <v>493</v>
      </c>
      <c r="B1700" s="10" t="s">
        <v>501</v>
      </c>
      <c r="C1700" s="10" t="s">
        <v>46</v>
      </c>
      <c r="D1700" s="10">
        <v>7450</v>
      </c>
      <c r="E1700" s="10" t="s">
        <v>9</v>
      </c>
      <c r="F1700" s="10">
        <v>512</v>
      </c>
    </row>
    <row r="1701" spans="1:6" x14ac:dyDescent="0.2">
      <c r="A1701" s="10" t="s">
        <v>493</v>
      </c>
      <c r="B1701" s="10" t="s">
        <v>357</v>
      </c>
      <c r="C1701" s="10" t="s">
        <v>46</v>
      </c>
      <c r="D1701" s="10">
        <v>7004</v>
      </c>
      <c r="E1701" s="10" t="s">
        <v>8</v>
      </c>
      <c r="F1701" s="10">
        <v>960</v>
      </c>
    </row>
    <row r="1702" spans="1:6" x14ac:dyDescent="0.2">
      <c r="A1702" s="10" t="s">
        <v>493</v>
      </c>
      <c r="B1702" s="10" t="s">
        <v>502</v>
      </c>
      <c r="C1702" s="10" t="s">
        <v>46</v>
      </c>
      <c r="D1702" s="10">
        <v>7512</v>
      </c>
      <c r="E1702" s="10" t="s">
        <v>5</v>
      </c>
      <c r="F1702" s="10">
        <v>3861</v>
      </c>
    </row>
    <row r="1703" spans="1:6" x14ac:dyDescent="0.2">
      <c r="A1703" s="10" t="s">
        <v>493</v>
      </c>
      <c r="B1703" s="10" t="s">
        <v>357</v>
      </c>
      <c r="C1703" s="10" t="s">
        <v>46</v>
      </c>
      <c r="D1703" s="10">
        <v>7039</v>
      </c>
      <c r="E1703" s="10" t="s">
        <v>5</v>
      </c>
      <c r="F1703" s="10">
        <v>913</v>
      </c>
    </row>
    <row r="1704" spans="1:6" x14ac:dyDescent="0.2">
      <c r="A1704" s="10" t="s">
        <v>493</v>
      </c>
      <c r="B1704" s="10" t="s">
        <v>357</v>
      </c>
      <c r="C1704" s="10" t="s">
        <v>46</v>
      </c>
      <c r="D1704" s="10">
        <v>7052</v>
      </c>
      <c r="E1704" s="10" t="s">
        <v>5</v>
      </c>
      <c r="F1704" s="10">
        <v>580</v>
      </c>
    </row>
    <row r="1705" spans="1:6" x14ac:dyDescent="0.2">
      <c r="A1705" s="10" t="s">
        <v>493</v>
      </c>
      <c r="B1705" s="10" t="s">
        <v>502</v>
      </c>
      <c r="C1705" s="10" t="s">
        <v>46</v>
      </c>
      <c r="D1705" s="10">
        <v>7470</v>
      </c>
      <c r="E1705" s="10" t="s">
        <v>5</v>
      </c>
      <c r="F1705" s="10">
        <v>1543</v>
      </c>
    </row>
    <row r="1706" spans="1:6" x14ac:dyDescent="0.2">
      <c r="A1706" s="10" t="s">
        <v>493</v>
      </c>
      <c r="B1706" s="10" t="s">
        <v>88</v>
      </c>
      <c r="C1706" s="10" t="s">
        <v>46</v>
      </c>
      <c r="D1706" s="10">
        <v>7036</v>
      </c>
      <c r="E1706" s="10" t="s">
        <v>5</v>
      </c>
      <c r="F1706" s="10">
        <v>3405</v>
      </c>
    </row>
    <row r="1707" spans="1:6" x14ac:dyDescent="0.2">
      <c r="A1707" s="10" t="s">
        <v>493</v>
      </c>
      <c r="B1707" s="10" t="s">
        <v>501</v>
      </c>
      <c r="C1707" s="10" t="s">
        <v>46</v>
      </c>
      <c r="D1707" s="10">
        <v>7020</v>
      </c>
      <c r="E1707" s="10" t="s">
        <v>5</v>
      </c>
      <c r="F1707" s="10">
        <v>163</v>
      </c>
    </row>
    <row r="1708" spans="1:6" x14ac:dyDescent="0.2">
      <c r="A1708" s="10" t="s">
        <v>493</v>
      </c>
      <c r="B1708" s="10" t="s">
        <v>499</v>
      </c>
      <c r="C1708" s="10" t="s">
        <v>46</v>
      </c>
      <c r="D1708" s="10">
        <v>8060</v>
      </c>
      <c r="E1708" s="10" t="s">
        <v>5</v>
      </c>
      <c r="F1708" s="10">
        <v>671</v>
      </c>
    </row>
    <row r="1709" spans="1:6" x14ac:dyDescent="0.2">
      <c r="A1709" s="10" t="s">
        <v>493</v>
      </c>
      <c r="B1709" s="10" t="s">
        <v>157</v>
      </c>
      <c r="C1709" s="10" t="s">
        <v>46</v>
      </c>
      <c r="D1709" s="10">
        <v>8837</v>
      </c>
      <c r="E1709" s="10" t="s">
        <v>6</v>
      </c>
      <c r="F1709" s="10">
        <v>1561</v>
      </c>
    </row>
    <row r="1710" spans="1:6" x14ac:dyDescent="0.2">
      <c r="A1710" s="10" t="s">
        <v>493</v>
      </c>
      <c r="B1710" s="10" t="s">
        <v>501</v>
      </c>
      <c r="C1710" s="10" t="s">
        <v>46</v>
      </c>
      <c r="D1710" s="10">
        <v>7031</v>
      </c>
      <c r="E1710" s="10" t="s">
        <v>8</v>
      </c>
      <c r="F1710" s="10">
        <v>662</v>
      </c>
    </row>
    <row r="1711" spans="1:6" x14ac:dyDescent="0.2">
      <c r="A1711" s="10" t="s">
        <v>493</v>
      </c>
      <c r="B1711" s="10" t="s">
        <v>88</v>
      </c>
      <c r="C1711" s="10" t="s">
        <v>46</v>
      </c>
      <c r="D1711" s="10">
        <v>7088</v>
      </c>
      <c r="E1711" s="10" t="s">
        <v>5</v>
      </c>
      <c r="F1711" s="10">
        <v>427</v>
      </c>
    </row>
    <row r="1712" spans="1:6" x14ac:dyDescent="0.2">
      <c r="A1712" s="10" t="s">
        <v>493</v>
      </c>
      <c r="B1712" s="10" t="s">
        <v>500</v>
      </c>
      <c r="C1712" s="10" t="s">
        <v>46</v>
      </c>
      <c r="D1712" s="10">
        <v>8691</v>
      </c>
      <c r="E1712" s="10" t="s">
        <v>5</v>
      </c>
      <c r="F1712" s="10">
        <v>2833</v>
      </c>
    </row>
    <row r="1713" spans="1:6" x14ac:dyDescent="0.2">
      <c r="A1713" s="10" t="s">
        <v>493</v>
      </c>
      <c r="B1713" s="10" t="s">
        <v>501</v>
      </c>
      <c r="C1713" s="10" t="s">
        <v>46</v>
      </c>
      <c r="D1713" s="10">
        <v>7446</v>
      </c>
      <c r="E1713" s="10" t="s">
        <v>5</v>
      </c>
      <c r="F1713" s="10">
        <v>2393</v>
      </c>
    </row>
    <row r="1714" spans="1:6" x14ac:dyDescent="0.2">
      <c r="A1714" s="10" t="s">
        <v>493</v>
      </c>
      <c r="B1714" s="10" t="s">
        <v>501</v>
      </c>
      <c r="C1714" s="10" t="s">
        <v>46</v>
      </c>
      <c r="D1714" s="10">
        <v>7417</v>
      </c>
      <c r="E1714" s="10" t="s">
        <v>8</v>
      </c>
      <c r="F1714" s="10">
        <v>302</v>
      </c>
    </row>
    <row r="1715" spans="1:6" x14ac:dyDescent="0.2">
      <c r="A1715" s="10" t="s">
        <v>493</v>
      </c>
      <c r="B1715" s="10" t="s">
        <v>88</v>
      </c>
      <c r="C1715" s="10" t="s">
        <v>46</v>
      </c>
      <c r="D1715" s="10">
        <v>7081</v>
      </c>
      <c r="E1715" s="10" t="s">
        <v>5</v>
      </c>
      <c r="F1715" s="10">
        <v>846</v>
      </c>
    </row>
    <row r="1716" spans="1:6" x14ac:dyDescent="0.2">
      <c r="A1716" s="10" t="s">
        <v>493</v>
      </c>
      <c r="B1716" s="10" t="s">
        <v>501</v>
      </c>
      <c r="C1716" s="10" t="s">
        <v>46</v>
      </c>
      <c r="D1716" s="10">
        <v>7073</v>
      </c>
      <c r="E1716" s="10" t="s">
        <v>5</v>
      </c>
      <c r="F1716" s="10">
        <v>4573</v>
      </c>
    </row>
    <row r="1717" spans="1:6" x14ac:dyDescent="0.2">
      <c r="A1717" s="10" t="s">
        <v>493</v>
      </c>
      <c r="B1717" s="10" t="s">
        <v>357</v>
      </c>
      <c r="C1717" s="10" t="s">
        <v>46</v>
      </c>
      <c r="D1717" s="10">
        <v>7009</v>
      </c>
      <c r="E1717" s="10" t="s">
        <v>5</v>
      </c>
      <c r="F1717" s="10">
        <v>888</v>
      </c>
    </row>
    <row r="1718" spans="1:6" x14ac:dyDescent="0.2">
      <c r="A1718" s="10" t="s">
        <v>493</v>
      </c>
      <c r="B1718" s="10" t="s">
        <v>502</v>
      </c>
      <c r="C1718" s="10" t="s">
        <v>46</v>
      </c>
      <c r="D1718" s="10">
        <v>7014</v>
      </c>
      <c r="E1718" s="10" t="s">
        <v>5</v>
      </c>
      <c r="F1718" s="10">
        <v>4848</v>
      </c>
    </row>
    <row r="1719" spans="1:6" x14ac:dyDescent="0.2">
      <c r="A1719" s="10" t="s">
        <v>493</v>
      </c>
      <c r="B1719" s="10" t="s">
        <v>499</v>
      </c>
      <c r="C1719" s="10" t="s">
        <v>46</v>
      </c>
      <c r="D1719" s="10">
        <v>8053</v>
      </c>
      <c r="E1719" s="10" t="s">
        <v>9</v>
      </c>
      <c r="F1719" s="10">
        <v>403</v>
      </c>
    </row>
    <row r="1720" spans="1:6" x14ac:dyDescent="0.2">
      <c r="A1720" s="10" t="s">
        <v>493</v>
      </c>
      <c r="B1720" s="10" t="s">
        <v>157</v>
      </c>
      <c r="C1720" s="10" t="s">
        <v>46</v>
      </c>
      <c r="D1720" s="10">
        <v>8902</v>
      </c>
      <c r="E1720" s="10" t="s">
        <v>5</v>
      </c>
      <c r="F1720" s="10">
        <v>1826</v>
      </c>
    </row>
    <row r="1721" spans="1:6" x14ac:dyDescent="0.2">
      <c r="A1721" s="10" t="s">
        <v>493</v>
      </c>
      <c r="B1721" s="10" t="s">
        <v>501</v>
      </c>
      <c r="C1721" s="10" t="s">
        <v>46</v>
      </c>
      <c r="D1721" s="10">
        <v>7601</v>
      </c>
      <c r="E1721" s="10" t="s">
        <v>5</v>
      </c>
      <c r="F1721" s="10">
        <v>845</v>
      </c>
    </row>
    <row r="1722" spans="1:6" x14ac:dyDescent="0.2">
      <c r="A1722" s="10" t="s">
        <v>493</v>
      </c>
      <c r="B1722" s="10" t="s">
        <v>501</v>
      </c>
      <c r="C1722" s="10" t="s">
        <v>46</v>
      </c>
      <c r="D1722" s="10">
        <v>7024</v>
      </c>
      <c r="E1722" s="10" t="s">
        <v>5</v>
      </c>
      <c r="F1722" s="10">
        <v>1176</v>
      </c>
    </row>
    <row r="1723" spans="1:6" x14ac:dyDescent="0.2">
      <c r="A1723" s="10" t="s">
        <v>493</v>
      </c>
      <c r="B1723" s="10" t="s">
        <v>357</v>
      </c>
      <c r="C1723" s="10" t="s">
        <v>46</v>
      </c>
      <c r="D1723" s="10">
        <v>7003</v>
      </c>
      <c r="E1723" s="10" t="s">
        <v>5</v>
      </c>
      <c r="F1723" s="10">
        <v>2662</v>
      </c>
    </row>
    <row r="1724" spans="1:6" x14ac:dyDescent="0.2">
      <c r="A1724" s="10" t="s">
        <v>493</v>
      </c>
      <c r="B1724" s="10" t="s">
        <v>502</v>
      </c>
      <c r="C1724" s="10" t="s">
        <v>46</v>
      </c>
      <c r="D1724" s="10">
        <v>7424</v>
      </c>
      <c r="E1724" s="10" t="s">
        <v>8</v>
      </c>
      <c r="F1724" s="10">
        <v>306</v>
      </c>
    </row>
    <row r="1725" spans="1:6" x14ac:dyDescent="0.2">
      <c r="A1725" s="10" t="s">
        <v>493</v>
      </c>
      <c r="B1725" s="10" t="s">
        <v>157</v>
      </c>
      <c r="C1725" s="10" t="s">
        <v>46</v>
      </c>
      <c r="D1725" s="10">
        <v>7080</v>
      </c>
      <c r="E1725" s="10" t="s">
        <v>5</v>
      </c>
      <c r="F1725" s="10">
        <v>973</v>
      </c>
    </row>
    <row r="1726" spans="1:6" x14ac:dyDescent="0.2">
      <c r="A1726" s="10" t="s">
        <v>493</v>
      </c>
      <c r="B1726" s="10" t="s">
        <v>157</v>
      </c>
      <c r="C1726" s="10" t="s">
        <v>46</v>
      </c>
      <c r="D1726" s="10">
        <v>8830</v>
      </c>
      <c r="E1726" s="10" t="s">
        <v>5</v>
      </c>
      <c r="F1726" s="10">
        <v>1590</v>
      </c>
    </row>
    <row r="1727" spans="1:6" x14ac:dyDescent="0.2">
      <c r="A1727" s="10" t="s">
        <v>493</v>
      </c>
      <c r="B1727" s="10" t="s">
        <v>503</v>
      </c>
      <c r="C1727" s="10" t="s">
        <v>47</v>
      </c>
      <c r="D1727" s="10">
        <v>8753</v>
      </c>
      <c r="E1727" s="10" t="s">
        <v>5</v>
      </c>
      <c r="F1727" s="10">
        <v>4044</v>
      </c>
    </row>
    <row r="1728" spans="1:6" x14ac:dyDescent="0.2">
      <c r="A1728" s="10" t="s">
        <v>493</v>
      </c>
      <c r="B1728" s="10" t="s">
        <v>168</v>
      </c>
      <c r="C1728" s="10" t="s">
        <v>47</v>
      </c>
      <c r="D1728" s="10">
        <v>7860</v>
      </c>
      <c r="E1728" s="10" t="s">
        <v>5</v>
      </c>
      <c r="F1728" s="10">
        <v>1132</v>
      </c>
    </row>
    <row r="1729" spans="1:6" x14ac:dyDescent="0.2">
      <c r="A1729" s="10" t="s">
        <v>493</v>
      </c>
      <c r="B1729" s="10" t="s">
        <v>375</v>
      </c>
      <c r="C1729" s="10" t="s">
        <v>47</v>
      </c>
      <c r="D1729" s="10">
        <v>8332</v>
      </c>
      <c r="E1729" s="10" t="s">
        <v>5</v>
      </c>
      <c r="F1729" s="10">
        <v>808</v>
      </c>
    </row>
    <row r="1730" spans="1:6" x14ac:dyDescent="0.2">
      <c r="A1730" s="10" t="s">
        <v>493</v>
      </c>
      <c r="B1730" s="10" t="s">
        <v>504</v>
      </c>
      <c r="C1730" s="10" t="s">
        <v>47</v>
      </c>
      <c r="D1730" s="10">
        <v>7054</v>
      </c>
      <c r="E1730" s="10" t="s">
        <v>5</v>
      </c>
      <c r="F1730" s="10">
        <v>1905</v>
      </c>
    </row>
    <row r="1731" spans="1:6" x14ac:dyDescent="0.2">
      <c r="A1731" s="10" t="s">
        <v>493</v>
      </c>
      <c r="B1731" s="10" t="s">
        <v>504</v>
      </c>
      <c r="C1731" s="10" t="s">
        <v>47</v>
      </c>
      <c r="D1731" s="10">
        <v>7457</v>
      </c>
      <c r="E1731" s="10" t="s">
        <v>5</v>
      </c>
      <c r="F1731" s="10">
        <v>2132</v>
      </c>
    </row>
    <row r="1732" spans="1:6" x14ac:dyDescent="0.2">
      <c r="A1732" s="10" t="s">
        <v>493</v>
      </c>
      <c r="B1732" s="10" t="s">
        <v>505</v>
      </c>
      <c r="C1732" s="10" t="s">
        <v>47</v>
      </c>
      <c r="D1732" s="10">
        <v>8244</v>
      </c>
      <c r="E1732" s="10" t="s">
        <v>5</v>
      </c>
      <c r="F1732" s="10">
        <v>458</v>
      </c>
    </row>
    <row r="1733" spans="1:6" x14ac:dyDescent="0.2">
      <c r="A1733" s="10" t="s">
        <v>493</v>
      </c>
      <c r="B1733" s="10" t="s">
        <v>506</v>
      </c>
      <c r="C1733" s="10" t="s">
        <v>47</v>
      </c>
      <c r="D1733" s="10">
        <v>8822</v>
      </c>
      <c r="E1733" s="10" t="s">
        <v>5</v>
      </c>
      <c r="F1733" s="10">
        <v>1607</v>
      </c>
    </row>
    <row r="1734" spans="1:6" x14ac:dyDescent="0.2">
      <c r="A1734" s="10" t="s">
        <v>493</v>
      </c>
      <c r="B1734" s="10" t="s">
        <v>503</v>
      </c>
      <c r="C1734" s="10" t="s">
        <v>47</v>
      </c>
      <c r="D1734" s="10">
        <v>8723</v>
      </c>
      <c r="E1734" s="10" t="s">
        <v>5</v>
      </c>
      <c r="F1734" s="10">
        <v>1637</v>
      </c>
    </row>
    <row r="1735" spans="1:6" x14ac:dyDescent="0.2">
      <c r="A1735" s="10" t="s">
        <v>493</v>
      </c>
      <c r="B1735" s="10" t="s">
        <v>503</v>
      </c>
      <c r="C1735" s="10" t="s">
        <v>47</v>
      </c>
      <c r="D1735" s="10">
        <v>8050</v>
      </c>
      <c r="E1735" s="10" t="s">
        <v>5</v>
      </c>
      <c r="F1735" s="10">
        <v>1331</v>
      </c>
    </row>
    <row r="1736" spans="1:6" x14ac:dyDescent="0.2">
      <c r="A1736" s="10" t="s">
        <v>493</v>
      </c>
      <c r="B1736" s="10" t="s">
        <v>504</v>
      </c>
      <c r="C1736" s="10" t="s">
        <v>47</v>
      </c>
      <c r="D1736" s="10">
        <v>7876</v>
      </c>
      <c r="E1736" s="10" t="s">
        <v>5</v>
      </c>
      <c r="F1736" s="10">
        <v>2125</v>
      </c>
    </row>
    <row r="1737" spans="1:6" x14ac:dyDescent="0.2">
      <c r="A1737" s="10" t="s">
        <v>493</v>
      </c>
      <c r="B1737" s="10" t="s">
        <v>507</v>
      </c>
      <c r="C1737" s="10" t="s">
        <v>47</v>
      </c>
      <c r="D1737" s="10">
        <v>8210</v>
      </c>
      <c r="E1737" s="10" t="s">
        <v>5</v>
      </c>
      <c r="F1737" s="10">
        <v>948</v>
      </c>
    </row>
    <row r="1738" spans="1:6" x14ac:dyDescent="0.2">
      <c r="A1738" s="10" t="s">
        <v>493</v>
      </c>
      <c r="B1738" s="10" t="s">
        <v>375</v>
      </c>
      <c r="C1738" s="10" t="s">
        <v>47</v>
      </c>
      <c r="D1738" s="10">
        <v>8360</v>
      </c>
      <c r="E1738" s="10" t="s">
        <v>8</v>
      </c>
      <c r="F1738" s="10">
        <v>1656</v>
      </c>
    </row>
    <row r="1739" spans="1:6" x14ac:dyDescent="0.2">
      <c r="A1739" s="10" t="s">
        <v>493</v>
      </c>
      <c r="B1739" s="10" t="s">
        <v>505</v>
      </c>
      <c r="C1739" s="10" t="s">
        <v>47</v>
      </c>
      <c r="D1739" s="10">
        <v>8330</v>
      </c>
      <c r="E1739" s="10" t="s">
        <v>5</v>
      </c>
      <c r="F1739" s="10">
        <v>1585</v>
      </c>
    </row>
    <row r="1740" spans="1:6" x14ac:dyDescent="0.2">
      <c r="A1740" s="10" t="s">
        <v>493</v>
      </c>
      <c r="B1740" s="10" t="s">
        <v>504</v>
      </c>
      <c r="C1740" s="10" t="s">
        <v>47</v>
      </c>
      <c r="D1740" s="10">
        <v>7869</v>
      </c>
      <c r="E1740" s="10" t="s">
        <v>5</v>
      </c>
      <c r="F1740" s="10">
        <v>1214</v>
      </c>
    </row>
    <row r="1741" spans="1:6" x14ac:dyDescent="0.2">
      <c r="A1741" s="10" t="s">
        <v>493</v>
      </c>
      <c r="B1741" s="10" t="s">
        <v>504</v>
      </c>
      <c r="C1741" s="10" t="s">
        <v>47</v>
      </c>
      <c r="D1741" s="10">
        <v>7960</v>
      </c>
      <c r="E1741" s="10" t="s">
        <v>5</v>
      </c>
      <c r="F1741" s="10">
        <v>472</v>
      </c>
    </row>
    <row r="1742" spans="1:6" x14ac:dyDescent="0.2">
      <c r="A1742" s="10" t="s">
        <v>493</v>
      </c>
      <c r="B1742" s="10" t="s">
        <v>507</v>
      </c>
      <c r="C1742" s="10" t="s">
        <v>47</v>
      </c>
      <c r="D1742" s="10">
        <v>8242</v>
      </c>
      <c r="E1742" s="10" t="s">
        <v>8</v>
      </c>
      <c r="F1742" s="10">
        <v>424</v>
      </c>
    </row>
    <row r="1743" spans="1:6" x14ac:dyDescent="0.2">
      <c r="A1743" s="10" t="s">
        <v>493</v>
      </c>
      <c r="B1743" s="10" t="s">
        <v>504</v>
      </c>
      <c r="C1743" s="10" t="s">
        <v>47</v>
      </c>
      <c r="D1743" s="10">
        <v>7405</v>
      </c>
      <c r="E1743" s="10" t="s">
        <v>8</v>
      </c>
      <c r="F1743" s="10">
        <v>1741</v>
      </c>
    </row>
    <row r="1744" spans="1:6" x14ac:dyDescent="0.2">
      <c r="A1744" s="10" t="s">
        <v>493</v>
      </c>
      <c r="B1744" s="10" t="s">
        <v>504</v>
      </c>
      <c r="C1744" s="10" t="s">
        <v>47</v>
      </c>
      <c r="D1744" s="10">
        <v>7940</v>
      </c>
      <c r="E1744" s="10" t="s">
        <v>5</v>
      </c>
      <c r="F1744" s="10">
        <v>306</v>
      </c>
    </row>
    <row r="1745" spans="1:6" x14ac:dyDescent="0.2">
      <c r="A1745" s="10" t="s">
        <v>493</v>
      </c>
      <c r="B1745" s="10" t="s">
        <v>504</v>
      </c>
      <c r="C1745" s="10" t="s">
        <v>47</v>
      </c>
      <c r="D1745" s="10">
        <v>7930</v>
      </c>
      <c r="E1745" s="10" t="s">
        <v>9</v>
      </c>
      <c r="F1745" s="10">
        <v>1043</v>
      </c>
    </row>
    <row r="1746" spans="1:6" x14ac:dyDescent="0.2">
      <c r="A1746" s="10" t="s">
        <v>508</v>
      </c>
      <c r="B1746" s="10" t="s">
        <v>509</v>
      </c>
      <c r="C1746" s="10" t="s">
        <v>45</v>
      </c>
      <c r="D1746" s="10">
        <v>88310</v>
      </c>
      <c r="E1746" s="10" t="s">
        <v>5</v>
      </c>
      <c r="F1746" s="10">
        <v>1716</v>
      </c>
    </row>
    <row r="1747" spans="1:6" x14ac:dyDescent="0.2">
      <c r="A1747" s="10" t="s">
        <v>508</v>
      </c>
      <c r="B1747" s="10" t="s">
        <v>510</v>
      </c>
      <c r="C1747" s="10" t="s">
        <v>45</v>
      </c>
      <c r="D1747" s="10">
        <v>88240</v>
      </c>
      <c r="E1747" s="10" t="s">
        <v>5</v>
      </c>
      <c r="F1747" s="10">
        <v>1232</v>
      </c>
    </row>
    <row r="1748" spans="1:6" x14ac:dyDescent="0.2">
      <c r="A1748" s="10" t="s">
        <v>508</v>
      </c>
      <c r="B1748" s="10" t="s">
        <v>511</v>
      </c>
      <c r="C1748" s="10" t="s">
        <v>46</v>
      </c>
      <c r="D1748" s="10">
        <v>88201</v>
      </c>
      <c r="E1748" s="10" t="s">
        <v>7</v>
      </c>
      <c r="F1748" s="10">
        <v>1028</v>
      </c>
    </row>
    <row r="1749" spans="1:6" x14ac:dyDescent="0.2">
      <c r="A1749" s="10" t="s">
        <v>508</v>
      </c>
      <c r="B1749" s="10" t="s">
        <v>512</v>
      </c>
      <c r="C1749" s="10" t="s">
        <v>46</v>
      </c>
      <c r="D1749" s="10">
        <v>88001</v>
      </c>
      <c r="E1749" s="10" t="s">
        <v>5</v>
      </c>
      <c r="F1749" s="10">
        <v>879</v>
      </c>
    </row>
    <row r="1750" spans="1:6" x14ac:dyDescent="0.2">
      <c r="A1750" s="10" t="s">
        <v>508</v>
      </c>
      <c r="B1750" s="10" t="s">
        <v>513</v>
      </c>
      <c r="C1750" s="10" t="s">
        <v>46</v>
      </c>
      <c r="D1750" s="10">
        <v>87505</v>
      </c>
      <c r="E1750" s="10" t="s">
        <v>6</v>
      </c>
      <c r="F1750" s="10">
        <v>619</v>
      </c>
    </row>
    <row r="1751" spans="1:6" x14ac:dyDescent="0.2">
      <c r="A1751" s="10" t="s">
        <v>508</v>
      </c>
      <c r="B1751" s="10" t="s">
        <v>512</v>
      </c>
      <c r="C1751" s="10" t="s">
        <v>46</v>
      </c>
      <c r="D1751" s="10">
        <v>88011</v>
      </c>
      <c r="E1751" s="10" t="s">
        <v>7</v>
      </c>
      <c r="F1751" s="10">
        <v>2176</v>
      </c>
    </row>
    <row r="1752" spans="1:6" x14ac:dyDescent="0.2">
      <c r="A1752" s="10" t="s">
        <v>508</v>
      </c>
      <c r="B1752" s="10" t="s">
        <v>513</v>
      </c>
      <c r="C1752" s="10" t="s">
        <v>46</v>
      </c>
      <c r="D1752" s="10">
        <v>87501</v>
      </c>
      <c r="E1752" s="10" t="s">
        <v>6</v>
      </c>
      <c r="F1752" s="10">
        <v>858</v>
      </c>
    </row>
    <row r="1753" spans="1:6" x14ac:dyDescent="0.2">
      <c r="A1753" s="10" t="s">
        <v>508</v>
      </c>
      <c r="B1753" s="10" t="s">
        <v>514</v>
      </c>
      <c r="C1753" s="10" t="s">
        <v>47</v>
      </c>
      <c r="D1753" s="10">
        <v>87402</v>
      </c>
      <c r="E1753" s="10" t="s">
        <v>7</v>
      </c>
      <c r="F1753" s="10">
        <v>1411</v>
      </c>
    </row>
    <row r="1754" spans="1:6" x14ac:dyDescent="0.2">
      <c r="A1754" s="10" t="s">
        <v>508</v>
      </c>
      <c r="B1754" s="10" t="s">
        <v>515</v>
      </c>
      <c r="C1754" s="10" t="s">
        <v>47</v>
      </c>
      <c r="D1754" s="10">
        <v>88101</v>
      </c>
      <c r="E1754" s="10" t="s">
        <v>7</v>
      </c>
      <c r="F1754" s="10">
        <v>1192</v>
      </c>
    </row>
    <row r="1755" spans="1:6" x14ac:dyDescent="0.2">
      <c r="A1755" s="10" t="s">
        <v>508</v>
      </c>
      <c r="B1755" s="10" t="s">
        <v>516</v>
      </c>
      <c r="C1755" s="10" t="s">
        <v>47</v>
      </c>
      <c r="D1755" s="10">
        <v>87123</v>
      </c>
      <c r="E1755" s="10" t="s">
        <v>6</v>
      </c>
      <c r="F1755" s="10">
        <v>747</v>
      </c>
    </row>
    <row r="1756" spans="1:6" x14ac:dyDescent="0.2">
      <c r="A1756" s="10" t="s">
        <v>508</v>
      </c>
      <c r="B1756" s="10" t="s">
        <v>516</v>
      </c>
      <c r="C1756" s="10" t="s">
        <v>47</v>
      </c>
      <c r="D1756" s="10">
        <v>87114</v>
      </c>
      <c r="E1756" s="10" t="s">
        <v>5</v>
      </c>
      <c r="F1756" s="10">
        <v>1727</v>
      </c>
    </row>
    <row r="1757" spans="1:6" x14ac:dyDescent="0.2">
      <c r="A1757" s="10" t="s">
        <v>508</v>
      </c>
      <c r="B1757" s="10" t="s">
        <v>514</v>
      </c>
      <c r="C1757" s="10" t="s">
        <v>47</v>
      </c>
      <c r="D1757" s="10">
        <v>87402</v>
      </c>
      <c r="E1757" s="10" t="s">
        <v>5</v>
      </c>
      <c r="F1757" s="10">
        <v>1131</v>
      </c>
    </row>
    <row r="1758" spans="1:6" x14ac:dyDescent="0.2">
      <c r="A1758" s="10" t="s">
        <v>508</v>
      </c>
      <c r="B1758" s="10" t="s">
        <v>516</v>
      </c>
      <c r="C1758" s="10" t="s">
        <v>47</v>
      </c>
      <c r="D1758" s="10">
        <v>87109</v>
      </c>
      <c r="E1758" s="10" t="s">
        <v>6</v>
      </c>
      <c r="F1758" s="10">
        <v>1375</v>
      </c>
    </row>
    <row r="1759" spans="1:6" x14ac:dyDescent="0.2">
      <c r="A1759" s="10" t="s">
        <v>508</v>
      </c>
      <c r="B1759" s="10" t="s">
        <v>516</v>
      </c>
      <c r="C1759" s="10" t="s">
        <v>47</v>
      </c>
      <c r="D1759" s="10">
        <v>87110</v>
      </c>
      <c r="E1759" s="10" t="s">
        <v>6</v>
      </c>
      <c r="F1759" s="10">
        <v>698</v>
      </c>
    </row>
    <row r="1760" spans="1:6" x14ac:dyDescent="0.2">
      <c r="A1760" s="10" t="s">
        <v>508</v>
      </c>
      <c r="B1760" s="10" t="s">
        <v>516</v>
      </c>
      <c r="C1760" s="10" t="s">
        <v>47</v>
      </c>
      <c r="D1760" s="10">
        <v>87110</v>
      </c>
      <c r="E1760" s="10" t="s">
        <v>5</v>
      </c>
      <c r="F1760" s="10">
        <v>1745</v>
      </c>
    </row>
    <row r="1761" spans="1:6" x14ac:dyDescent="0.2">
      <c r="A1761" s="10" t="s">
        <v>508</v>
      </c>
      <c r="B1761" s="10" t="s">
        <v>516</v>
      </c>
      <c r="C1761" s="10" t="s">
        <v>47</v>
      </c>
      <c r="D1761" s="10">
        <v>87111</v>
      </c>
      <c r="E1761" s="10" t="s">
        <v>5</v>
      </c>
      <c r="F1761" s="10">
        <v>1208</v>
      </c>
    </row>
    <row r="1762" spans="1:6" x14ac:dyDescent="0.2">
      <c r="A1762" s="10" t="s">
        <v>508</v>
      </c>
      <c r="B1762" s="10" t="s">
        <v>516</v>
      </c>
      <c r="C1762" s="10" t="s">
        <v>47</v>
      </c>
      <c r="D1762" s="10">
        <v>87107</v>
      </c>
      <c r="E1762" s="10" t="s">
        <v>6</v>
      </c>
      <c r="F1762" s="10">
        <v>875</v>
      </c>
    </row>
    <row r="1763" spans="1:6" x14ac:dyDescent="0.2">
      <c r="A1763" s="10" t="s">
        <v>508</v>
      </c>
      <c r="B1763" s="10" t="s">
        <v>516</v>
      </c>
      <c r="C1763" s="10" t="s">
        <v>47</v>
      </c>
      <c r="D1763" s="10">
        <v>87114</v>
      </c>
      <c r="E1763" s="10" t="s">
        <v>7</v>
      </c>
      <c r="F1763" s="10">
        <v>888</v>
      </c>
    </row>
    <row r="1764" spans="1:6" x14ac:dyDescent="0.2">
      <c r="A1764" s="10" t="s">
        <v>517</v>
      </c>
      <c r="B1764" s="10" t="s">
        <v>518</v>
      </c>
      <c r="C1764" s="10" t="s">
        <v>45</v>
      </c>
      <c r="D1764" s="10">
        <v>89801</v>
      </c>
      <c r="E1764" s="10" t="s">
        <v>7</v>
      </c>
      <c r="F1764" s="10">
        <v>1405</v>
      </c>
    </row>
    <row r="1765" spans="1:6" x14ac:dyDescent="0.2">
      <c r="A1765" s="10" t="s">
        <v>517</v>
      </c>
      <c r="B1765" s="10" t="s">
        <v>519</v>
      </c>
      <c r="C1765" s="10" t="s">
        <v>45</v>
      </c>
      <c r="D1765" s="10">
        <v>89701</v>
      </c>
      <c r="E1765" s="10" t="s">
        <v>6</v>
      </c>
      <c r="F1765" s="10">
        <v>1904</v>
      </c>
    </row>
    <row r="1766" spans="1:6" x14ac:dyDescent="0.2">
      <c r="A1766" s="10" t="s">
        <v>517</v>
      </c>
      <c r="B1766" s="10" t="s">
        <v>520</v>
      </c>
      <c r="C1766" s="10" t="s">
        <v>46</v>
      </c>
      <c r="D1766" s="10">
        <v>89512</v>
      </c>
      <c r="E1766" s="10" t="s">
        <v>6</v>
      </c>
      <c r="F1766" s="10">
        <v>1043</v>
      </c>
    </row>
    <row r="1767" spans="1:6" x14ac:dyDescent="0.2">
      <c r="A1767" s="10" t="s">
        <v>517</v>
      </c>
      <c r="B1767" s="10" t="s">
        <v>520</v>
      </c>
      <c r="C1767" s="10" t="s">
        <v>46</v>
      </c>
      <c r="D1767" s="10">
        <v>89502</v>
      </c>
      <c r="E1767" s="10" t="s">
        <v>5</v>
      </c>
      <c r="F1767" s="10">
        <v>1900</v>
      </c>
    </row>
    <row r="1768" spans="1:6" x14ac:dyDescent="0.2">
      <c r="A1768" s="10" t="s">
        <v>517</v>
      </c>
      <c r="B1768" s="10" t="s">
        <v>308</v>
      </c>
      <c r="C1768" s="10" t="s">
        <v>46</v>
      </c>
      <c r="D1768" s="10">
        <v>89117</v>
      </c>
      <c r="E1768" s="10" t="s">
        <v>7</v>
      </c>
      <c r="F1768" s="10">
        <v>1302</v>
      </c>
    </row>
    <row r="1769" spans="1:6" x14ac:dyDescent="0.2">
      <c r="A1769" s="10" t="s">
        <v>517</v>
      </c>
      <c r="B1769" s="10" t="s">
        <v>308</v>
      </c>
      <c r="C1769" s="10" t="s">
        <v>46</v>
      </c>
      <c r="D1769" s="10">
        <v>89119</v>
      </c>
      <c r="E1769" s="10" t="s">
        <v>6</v>
      </c>
      <c r="F1769" s="10">
        <v>970</v>
      </c>
    </row>
    <row r="1770" spans="1:6" x14ac:dyDescent="0.2">
      <c r="A1770" s="10" t="s">
        <v>517</v>
      </c>
      <c r="B1770" s="10" t="s">
        <v>520</v>
      </c>
      <c r="C1770" s="10" t="s">
        <v>46</v>
      </c>
      <c r="D1770" s="10">
        <v>89436</v>
      </c>
      <c r="E1770" s="10" t="s">
        <v>6</v>
      </c>
      <c r="F1770" s="10">
        <v>954</v>
      </c>
    </row>
    <row r="1771" spans="1:6" x14ac:dyDescent="0.2">
      <c r="A1771" s="10" t="s">
        <v>517</v>
      </c>
      <c r="B1771" s="10" t="s">
        <v>308</v>
      </c>
      <c r="C1771" s="10" t="s">
        <v>46</v>
      </c>
      <c r="D1771" s="10">
        <v>89032</v>
      </c>
      <c r="E1771" s="10" t="s">
        <v>6</v>
      </c>
      <c r="F1771" s="10">
        <v>3166</v>
      </c>
    </row>
    <row r="1772" spans="1:6" x14ac:dyDescent="0.2">
      <c r="A1772" s="10" t="s">
        <v>517</v>
      </c>
      <c r="B1772" s="10" t="s">
        <v>308</v>
      </c>
      <c r="C1772" s="10" t="s">
        <v>46</v>
      </c>
      <c r="D1772" s="10">
        <v>89108</v>
      </c>
      <c r="E1772" s="10" t="s">
        <v>6</v>
      </c>
      <c r="F1772" s="10">
        <v>380</v>
      </c>
    </row>
    <row r="1773" spans="1:6" x14ac:dyDescent="0.2">
      <c r="A1773" s="10" t="s">
        <v>517</v>
      </c>
      <c r="B1773" s="10" t="s">
        <v>308</v>
      </c>
      <c r="C1773" s="10" t="s">
        <v>46</v>
      </c>
      <c r="D1773" s="10">
        <v>89084</v>
      </c>
      <c r="E1773" s="10" t="s">
        <v>5</v>
      </c>
      <c r="F1773" s="10">
        <v>910</v>
      </c>
    </row>
    <row r="1774" spans="1:6" x14ac:dyDescent="0.2">
      <c r="A1774" s="10" t="s">
        <v>517</v>
      </c>
      <c r="B1774" s="10" t="s">
        <v>520</v>
      </c>
      <c r="C1774" s="10" t="s">
        <v>46</v>
      </c>
      <c r="D1774" s="10">
        <v>89521</v>
      </c>
      <c r="E1774" s="10" t="s">
        <v>6</v>
      </c>
      <c r="F1774" s="10">
        <v>1250</v>
      </c>
    </row>
    <row r="1775" spans="1:6" x14ac:dyDescent="0.2">
      <c r="A1775" s="10" t="s">
        <v>517</v>
      </c>
      <c r="B1775" s="10" t="s">
        <v>308</v>
      </c>
      <c r="C1775" s="10" t="s">
        <v>46</v>
      </c>
      <c r="D1775" s="10">
        <v>89052</v>
      </c>
      <c r="E1775" s="10" t="s">
        <v>5</v>
      </c>
      <c r="F1775" s="10">
        <v>2497</v>
      </c>
    </row>
    <row r="1776" spans="1:6" x14ac:dyDescent="0.2">
      <c r="A1776" s="10" t="s">
        <v>517</v>
      </c>
      <c r="B1776" s="10" t="s">
        <v>520</v>
      </c>
      <c r="C1776" s="10" t="s">
        <v>46</v>
      </c>
      <c r="D1776" s="10">
        <v>89509</v>
      </c>
      <c r="E1776" s="10" t="s">
        <v>6</v>
      </c>
      <c r="F1776" s="10">
        <v>3092</v>
      </c>
    </row>
    <row r="1777" spans="1:6" x14ac:dyDescent="0.2">
      <c r="A1777" s="10" t="s">
        <v>517</v>
      </c>
      <c r="B1777" s="10" t="s">
        <v>520</v>
      </c>
      <c r="C1777" s="10" t="s">
        <v>46</v>
      </c>
      <c r="D1777" s="10">
        <v>89503</v>
      </c>
      <c r="E1777" s="10" t="s">
        <v>5</v>
      </c>
      <c r="F1777" s="10">
        <v>1009</v>
      </c>
    </row>
    <row r="1778" spans="1:6" x14ac:dyDescent="0.2">
      <c r="A1778" s="10" t="s">
        <v>517</v>
      </c>
      <c r="B1778" s="10" t="s">
        <v>308</v>
      </c>
      <c r="C1778" s="10" t="s">
        <v>46</v>
      </c>
      <c r="D1778" s="10">
        <v>89183</v>
      </c>
      <c r="E1778" s="10" t="s">
        <v>6</v>
      </c>
      <c r="F1778" s="10">
        <v>2199</v>
      </c>
    </row>
    <row r="1779" spans="1:6" x14ac:dyDescent="0.2">
      <c r="A1779" s="10" t="s">
        <v>517</v>
      </c>
      <c r="B1779" s="10" t="s">
        <v>308</v>
      </c>
      <c r="C1779" s="10" t="s">
        <v>46</v>
      </c>
      <c r="D1779" s="10">
        <v>89148</v>
      </c>
      <c r="E1779" s="10" t="s">
        <v>6</v>
      </c>
      <c r="F1779" s="10">
        <v>1286</v>
      </c>
    </row>
    <row r="1780" spans="1:6" x14ac:dyDescent="0.2">
      <c r="A1780" s="10" t="s">
        <v>517</v>
      </c>
      <c r="B1780" s="10" t="s">
        <v>308</v>
      </c>
      <c r="C1780" s="10" t="s">
        <v>46</v>
      </c>
      <c r="D1780" s="10">
        <v>89135</v>
      </c>
      <c r="E1780" s="10" t="s">
        <v>6</v>
      </c>
      <c r="F1780" s="10">
        <v>1168</v>
      </c>
    </row>
    <row r="1781" spans="1:6" x14ac:dyDescent="0.2">
      <c r="A1781" s="10" t="s">
        <v>517</v>
      </c>
      <c r="B1781" s="10" t="s">
        <v>308</v>
      </c>
      <c r="C1781" s="10" t="s">
        <v>46</v>
      </c>
      <c r="D1781" s="10">
        <v>89113</v>
      </c>
      <c r="E1781" s="10" t="s">
        <v>6</v>
      </c>
      <c r="F1781" s="10">
        <v>1689</v>
      </c>
    </row>
    <row r="1782" spans="1:6" x14ac:dyDescent="0.2">
      <c r="A1782" s="10" t="s">
        <v>517</v>
      </c>
      <c r="B1782" s="10" t="s">
        <v>308</v>
      </c>
      <c r="C1782" s="10" t="s">
        <v>46</v>
      </c>
      <c r="D1782" s="10">
        <v>89102</v>
      </c>
      <c r="E1782" s="10" t="s">
        <v>8</v>
      </c>
      <c r="F1782" s="10">
        <v>262</v>
      </c>
    </row>
    <row r="1783" spans="1:6" x14ac:dyDescent="0.2">
      <c r="A1783" s="10" t="s">
        <v>517</v>
      </c>
      <c r="B1783" s="10" t="s">
        <v>308</v>
      </c>
      <c r="C1783" s="10" t="s">
        <v>46</v>
      </c>
      <c r="D1783" s="10">
        <v>89123</v>
      </c>
      <c r="E1783" s="10" t="s">
        <v>8</v>
      </c>
      <c r="F1783" s="10">
        <v>866</v>
      </c>
    </row>
    <row r="1784" spans="1:6" x14ac:dyDescent="0.2">
      <c r="A1784" s="10" t="s">
        <v>517</v>
      </c>
      <c r="B1784" s="10" t="s">
        <v>308</v>
      </c>
      <c r="C1784" s="10" t="s">
        <v>46</v>
      </c>
      <c r="D1784" s="10">
        <v>89145</v>
      </c>
      <c r="E1784" s="10" t="s">
        <v>10</v>
      </c>
      <c r="F1784" s="10">
        <v>75</v>
      </c>
    </row>
    <row r="1785" spans="1:6" x14ac:dyDescent="0.2">
      <c r="A1785" s="10" t="s">
        <v>517</v>
      </c>
      <c r="B1785" s="10" t="s">
        <v>308</v>
      </c>
      <c r="C1785" s="10" t="s">
        <v>46</v>
      </c>
      <c r="D1785" s="10">
        <v>89149</v>
      </c>
      <c r="E1785" s="10" t="s">
        <v>6</v>
      </c>
      <c r="F1785" s="10">
        <v>2263</v>
      </c>
    </row>
    <row r="1786" spans="1:6" x14ac:dyDescent="0.2">
      <c r="A1786" s="10" t="s">
        <v>517</v>
      </c>
      <c r="B1786" s="10" t="s">
        <v>308</v>
      </c>
      <c r="C1786" s="10" t="s">
        <v>46</v>
      </c>
      <c r="D1786" s="10">
        <v>89014</v>
      </c>
      <c r="E1786" s="10" t="s">
        <v>7</v>
      </c>
      <c r="F1786" s="10">
        <v>1075</v>
      </c>
    </row>
    <row r="1787" spans="1:6" x14ac:dyDescent="0.2">
      <c r="A1787" s="10" t="s">
        <v>517</v>
      </c>
      <c r="B1787" s="10" t="s">
        <v>308</v>
      </c>
      <c r="C1787" s="10" t="s">
        <v>46</v>
      </c>
      <c r="D1787" s="10">
        <v>89015</v>
      </c>
      <c r="E1787" s="10" t="s">
        <v>5</v>
      </c>
      <c r="F1787" s="10">
        <v>586</v>
      </c>
    </row>
    <row r="1788" spans="1:6" x14ac:dyDescent="0.2">
      <c r="A1788" s="10" t="s">
        <v>517</v>
      </c>
      <c r="B1788" s="10" t="s">
        <v>308</v>
      </c>
      <c r="C1788" s="10" t="s">
        <v>46</v>
      </c>
      <c r="D1788" s="10">
        <v>89109</v>
      </c>
      <c r="E1788" s="10" t="s">
        <v>6</v>
      </c>
      <c r="F1788" s="10">
        <v>997</v>
      </c>
    </row>
    <row r="1789" spans="1:6" x14ac:dyDescent="0.2">
      <c r="A1789" s="10" t="s">
        <v>517</v>
      </c>
      <c r="B1789" s="10" t="s">
        <v>308</v>
      </c>
      <c r="C1789" s="10" t="s">
        <v>46</v>
      </c>
      <c r="D1789" s="10">
        <v>89119</v>
      </c>
      <c r="E1789" s="10" t="s">
        <v>10</v>
      </c>
      <c r="F1789" s="10">
        <v>1781</v>
      </c>
    </row>
    <row r="1790" spans="1:6" x14ac:dyDescent="0.2">
      <c r="A1790" s="10" t="s">
        <v>517</v>
      </c>
      <c r="B1790" s="10" t="s">
        <v>308</v>
      </c>
      <c r="C1790" s="10" t="s">
        <v>46</v>
      </c>
      <c r="D1790" s="10">
        <v>89139</v>
      </c>
      <c r="E1790" s="10" t="s">
        <v>6</v>
      </c>
      <c r="F1790" s="10">
        <v>1448</v>
      </c>
    </row>
    <row r="1791" spans="1:6" x14ac:dyDescent="0.2">
      <c r="A1791" s="10" t="s">
        <v>517</v>
      </c>
      <c r="B1791" s="10" t="s">
        <v>308</v>
      </c>
      <c r="C1791" s="10" t="s">
        <v>46</v>
      </c>
      <c r="D1791" s="10">
        <v>89102</v>
      </c>
      <c r="E1791" s="10" t="s">
        <v>6</v>
      </c>
      <c r="F1791" s="10">
        <v>3662</v>
      </c>
    </row>
    <row r="1792" spans="1:6" x14ac:dyDescent="0.2">
      <c r="A1792" s="10" t="s">
        <v>521</v>
      </c>
      <c r="B1792" s="10" t="s">
        <v>522</v>
      </c>
      <c r="C1792" s="10" t="s">
        <v>45</v>
      </c>
      <c r="D1792" s="10">
        <v>10033</v>
      </c>
      <c r="E1792" s="10" t="s">
        <v>5</v>
      </c>
      <c r="F1792" s="10">
        <v>1104</v>
      </c>
    </row>
    <row r="1793" spans="1:6" x14ac:dyDescent="0.2">
      <c r="A1793" s="10" t="s">
        <v>521</v>
      </c>
      <c r="B1793" s="10" t="s">
        <v>522</v>
      </c>
      <c r="C1793" s="10" t="s">
        <v>45</v>
      </c>
      <c r="D1793" s="10">
        <v>10017</v>
      </c>
      <c r="E1793" s="10" t="s">
        <v>5</v>
      </c>
      <c r="F1793" s="10">
        <v>1702</v>
      </c>
    </row>
    <row r="1794" spans="1:6" x14ac:dyDescent="0.2">
      <c r="A1794" s="10" t="s">
        <v>521</v>
      </c>
      <c r="B1794" s="10" t="s">
        <v>522</v>
      </c>
      <c r="C1794" s="10" t="s">
        <v>45</v>
      </c>
      <c r="D1794" s="10">
        <v>10021</v>
      </c>
      <c r="E1794" s="10" t="s">
        <v>9</v>
      </c>
      <c r="F1794" s="10">
        <v>1762</v>
      </c>
    </row>
    <row r="1795" spans="1:6" x14ac:dyDescent="0.2">
      <c r="A1795" s="10" t="s">
        <v>521</v>
      </c>
      <c r="B1795" s="10" t="s">
        <v>522</v>
      </c>
      <c r="C1795" s="10" t="s">
        <v>45</v>
      </c>
      <c r="D1795" s="10">
        <v>10022</v>
      </c>
      <c r="E1795" s="10" t="s">
        <v>9</v>
      </c>
      <c r="F1795" s="10">
        <v>934</v>
      </c>
    </row>
    <row r="1796" spans="1:6" x14ac:dyDescent="0.2">
      <c r="A1796" s="10" t="s">
        <v>521</v>
      </c>
      <c r="B1796" s="10" t="s">
        <v>522</v>
      </c>
      <c r="C1796" s="10" t="s">
        <v>45</v>
      </c>
      <c r="D1796" s="10">
        <v>10029</v>
      </c>
      <c r="E1796" s="10" t="s">
        <v>9</v>
      </c>
      <c r="F1796" s="10">
        <v>796</v>
      </c>
    </row>
    <row r="1797" spans="1:6" x14ac:dyDescent="0.2">
      <c r="A1797" s="10" t="s">
        <v>521</v>
      </c>
      <c r="B1797" s="10" t="s">
        <v>522</v>
      </c>
      <c r="C1797" s="10" t="s">
        <v>45</v>
      </c>
      <c r="D1797" s="10">
        <v>10170</v>
      </c>
      <c r="E1797" s="10" t="s">
        <v>10</v>
      </c>
      <c r="F1797" s="10">
        <v>757</v>
      </c>
    </row>
    <row r="1798" spans="1:6" x14ac:dyDescent="0.2">
      <c r="A1798" s="10" t="s">
        <v>521</v>
      </c>
      <c r="B1798" s="10" t="s">
        <v>522</v>
      </c>
      <c r="C1798" s="10" t="s">
        <v>45</v>
      </c>
      <c r="D1798" s="10">
        <v>10004</v>
      </c>
      <c r="E1798" s="10" t="s">
        <v>10</v>
      </c>
      <c r="F1798" s="10">
        <v>713</v>
      </c>
    </row>
    <row r="1799" spans="1:6" x14ac:dyDescent="0.2">
      <c r="A1799" s="10" t="s">
        <v>521</v>
      </c>
      <c r="B1799" s="10" t="s">
        <v>522</v>
      </c>
      <c r="C1799" s="10" t="s">
        <v>45</v>
      </c>
      <c r="D1799" s="10">
        <v>10010</v>
      </c>
      <c r="E1799" s="10" t="s">
        <v>10</v>
      </c>
      <c r="F1799" s="10">
        <v>5382</v>
      </c>
    </row>
    <row r="1800" spans="1:6" x14ac:dyDescent="0.2">
      <c r="A1800" s="10" t="s">
        <v>521</v>
      </c>
      <c r="B1800" s="10" t="s">
        <v>522</v>
      </c>
      <c r="C1800" s="10" t="s">
        <v>45</v>
      </c>
      <c r="D1800" s="10">
        <v>10007</v>
      </c>
      <c r="E1800" s="10" t="s">
        <v>9</v>
      </c>
      <c r="F1800" s="10">
        <v>22848</v>
      </c>
    </row>
    <row r="1801" spans="1:6" x14ac:dyDescent="0.2">
      <c r="A1801" s="10" t="s">
        <v>521</v>
      </c>
      <c r="B1801" s="10" t="s">
        <v>522</v>
      </c>
      <c r="C1801" s="10" t="s">
        <v>45</v>
      </c>
      <c r="D1801" s="10">
        <v>10007</v>
      </c>
      <c r="E1801" s="10" t="s">
        <v>8</v>
      </c>
      <c r="F1801" s="10">
        <v>5472</v>
      </c>
    </row>
    <row r="1802" spans="1:6" x14ac:dyDescent="0.2">
      <c r="A1802" s="10" t="s">
        <v>521</v>
      </c>
      <c r="B1802" s="10" t="s">
        <v>522</v>
      </c>
      <c r="C1802" s="10" t="s">
        <v>45</v>
      </c>
      <c r="D1802" s="10">
        <v>10010</v>
      </c>
      <c r="E1802" s="10" t="s">
        <v>9</v>
      </c>
      <c r="F1802" s="10">
        <v>2264</v>
      </c>
    </row>
    <row r="1803" spans="1:6" x14ac:dyDescent="0.2">
      <c r="A1803" s="10" t="s">
        <v>521</v>
      </c>
      <c r="B1803" s="10" t="s">
        <v>522</v>
      </c>
      <c r="C1803" s="10" t="s">
        <v>45</v>
      </c>
      <c r="D1803" s="10">
        <v>10011</v>
      </c>
      <c r="E1803" s="10" t="s">
        <v>5</v>
      </c>
      <c r="F1803" s="10">
        <v>1241</v>
      </c>
    </row>
    <row r="1804" spans="1:6" x14ac:dyDescent="0.2">
      <c r="A1804" s="10" t="s">
        <v>521</v>
      </c>
      <c r="B1804" s="10" t="s">
        <v>523</v>
      </c>
      <c r="C1804" s="10" t="s">
        <v>45</v>
      </c>
      <c r="D1804" s="10">
        <v>14903</v>
      </c>
      <c r="E1804" s="10" t="s">
        <v>5</v>
      </c>
      <c r="F1804" s="10">
        <v>720</v>
      </c>
    </row>
    <row r="1805" spans="1:6" x14ac:dyDescent="0.2">
      <c r="A1805" s="10" t="s">
        <v>521</v>
      </c>
      <c r="B1805" s="10" t="s">
        <v>524</v>
      </c>
      <c r="C1805" s="10" t="s">
        <v>45</v>
      </c>
      <c r="D1805" s="10">
        <v>10954</v>
      </c>
      <c r="E1805" s="10" t="s">
        <v>5</v>
      </c>
      <c r="F1805" s="10">
        <v>1306</v>
      </c>
    </row>
    <row r="1806" spans="1:6" x14ac:dyDescent="0.2">
      <c r="A1806" s="10" t="s">
        <v>521</v>
      </c>
      <c r="B1806" s="10" t="s">
        <v>522</v>
      </c>
      <c r="C1806" s="10" t="s">
        <v>45</v>
      </c>
      <c r="D1806" s="10">
        <v>10012</v>
      </c>
      <c r="E1806" s="10" t="s">
        <v>10</v>
      </c>
      <c r="F1806" s="10">
        <v>656</v>
      </c>
    </row>
    <row r="1807" spans="1:6" x14ac:dyDescent="0.2">
      <c r="A1807" s="10" t="s">
        <v>521</v>
      </c>
      <c r="B1807" s="10" t="s">
        <v>522</v>
      </c>
      <c r="C1807" s="10" t="s">
        <v>45</v>
      </c>
      <c r="D1807" s="10">
        <v>10003</v>
      </c>
      <c r="E1807" s="10" t="s">
        <v>5</v>
      </c>
      <c r="F1807" s="10">
        <v>1201</v>
      </c>
    </row>
    <row r="1808" spans="1:6" x14ac:dyDescent="0.2">
      <c r="A1808" s="10" t="s">
        <v>521</v>
      </c>
      <c r="B1808" s="10" t="s">
        <v>522</v>
      </c>
      <c r="C1808" s="10" t="s">
        <v>45</v>
      </c>
      <c r="D1808" s="10">
        <v>10001</v>
      </c>
      <c r="E1808" s="10" t="s">
        <v>8</v>
      </c>
      <c r="F1808" s="10">
        <v>1182</v>
      </c>
    </row>
    <row r="1809" spans="1:6" x14ac:dyDescent="0.2">
      <c r="A1809" s="10" t="s">
        <v>521</v>
      </c>
      <c r="B1809" s="10" t="s">
        <v>522</v>
      </c>
      <c r="C1809" s="10" t="s">
        <v>45</v>
      </c>
      <c r="D1809" s="10">
        <v>10013</v>
      </c>
      <c r="E1809" s="10" t="s">
        <v>10</v>
      </c>
      <c r="F1809" s="10">
        <v>96</v>
      </c>
    </row>
    <row r="1810" spans="1:6" x14ac:dyDescent="0.2">
      <c r="A1810" s="10" t="s">
        <v>521</v>
      </c>
      <c r="B1810" s="10" t="s">
        <v>522</v>
      </c>
      <c r="C1810" s="10" t="s">
        <v>45</v>
      </c>
      <c r="D1810" s="10">
        <v>10019</v>
      </c>
      <c r="E1810" s="10" t="s">
        <v>9</v>
      </c>
      <c r="F1810" s="10">
        <v>80</v>
      </c>
    </row>
    <row r="1811" spans="1:6" x14ac:dyDescent="0.2">
      <c r="A1811" s="10" t="s">
        <v>521</v>
      </c>
      <c r="B1811" s="10" t="s">
        <v>112</v>
      </c>
      <c r="C1811" s="10" t="s">
        <v>45</v>
      </c>
      <c r="D1811" s="10">
        <v>10940</v>
      </c>
      <c r="E1811" s="10" t="s">
        <v>5</v>
      </c>
      <c r="F1811" s="10">
        <v>1677</v>
      </c>
    </row>
    <row r="1812" spans="1:6" x14ac:dyDescent="0.2">
      <c r="A1812" s="10" t="s">
        <v>521</v>
      </c>
      <c r="B1812" s="10" t="s">
        <v>525</v>
      </c>
      <c r="C1812" s="10" t="s">
        <v>45</v>
      </c>
      <c r="D1812" s="10">
        <v>14456</v>
      </c>
      <c r="E1812" s="10" t="s">
        <v>5</v>
      </c>
      <c r="F1812" s="10">
        <v>2043</v>
      </c>
    </row>
    <row r="1813" spans="1:6" x14ac:dyDescent="0.2">
      <c r="A1813" s="10" t="s">
        <v>521</v>
      </c>
      <c r="B1813" s="10" t="s">
        <v>524</v>
      </c>
      <c r="C1813" s="10" t="s">
        <v>45</v>
      </c>
      <c r="D1813" s="10">
        <v>10954</v>
      </c>
      <c r="E1813" s="10" t="s">
        <v>10</v>
      </c>
      <c r="F1813" s="10">
        <v>2345</v>
      </c>
    </row>
    <row r="1814" spans="1:6" x14ac:dyDescent="0.2">
      <c r="A1814" s="10" t="s">
        <v>521</v>
      </c>
      <c r="B1814" s="10" t="s">
        <v>522</v>
      </c>
      <c r="C1814" s="10" t="s">
        <v>45</v>
      </c>
      <c r="D1814" s="10">
        <v>10003</v>
      </c>
      <c r="E1814" s="10" t="s">
        <v>9</v>
      </c>
      <c r="F1814" s="10">
        <v>2583</v>
      </c>
    </row>
    <row r="1815" spans="1:6" x14ac:dyDescent="0.2">
      <c r="A1815" s="10" t="s">
        <v>521</v>
      </c>
      <c r="B1815" s="10" t="s">
        <v>522</v>
      </c>
      <c r="C1815" s="10" t="s">
        <v>45</v>
      </c>
      <c r="D1815" s="10">
        <v>10007</v>
      </c>
      <c r="E1815" s="10" t="s">
        <v>5</v>
      </c>
      <c r="F1815" s="10">
        <v>2503</v>
      </c>
    </row>
    <row r="1816" spans="1:6" x14ac:dyDescent="0.2">
      <c r="A1816" s="10" t="s">
        <v>521</v>
      </c>
      <c r="B1816" s="10" t="s">
        <v>522</v>
      </c>
      <c r="C1816" s="10" t="s">
        <v>45</v>
      </c>
      <c r="D1816" s="10">
        <v>10012</v>
      </c>
      <c r="E1816" s="10" t="s">
        <v>9</v>
      </c>
      <c r="F1816" s="10">
        <v>474</v>
      </c>
    </row>
    <row r="1817" spans="1:6" x14ac:dyDescent="0.2">
      <c r="A1817" s="10" t="s">
        <v>521</v>
      </c>
      <c r="B1817" s="10" t="s">
        <v>522</v>
      </c>
      <c r="C1817" s="10" t="s">
        <v>45</v>
      </c>
      <c r="D1817" s="10">
        <v>10001</v>
      </c>
      <c r="E1817" s="10" t="s">
        <v>9</v>
      </c>
      <c r="F1817" s="10">
        <v>1442</v>
      </c>
    </row>
    <row r="1818" spans="1:6" x14ac:dyDescent="0.2">
      <c r="A1818" s="10" t="s">
        <v>521</v>
      </c>
      <c r="B1818" s="10" t="s">
        <v>522</v>
      </c>
      <c r="C1818" s="10" t="s">
        <v>45</v>
      </c>
      <c r="D1818" s="10">
        <v>10019</v>
      </c>
      <c r="E1818" s="10" t="s">
        <v>5</v>
      </c>
      <c r="F1818" s="10">
        <v>715</v>
      </c>
    </row>
    <row r="1819" spans="1:6" x14ac:dyDescent="0.2">
      <c r="A1819" s="10" t="s">
        <v>521</v>
      </c>
      <c r="B1819" s="10" t="s">
        <v>522</v>
      </c>
      <c r="C1819" s="10" t="s">
        <v>45</v>
      </c>
      <c r="D1819" s="10">
        <v>10020</v>
      </c>
      <c r="E1819" s="10" t="s">
        <v>9</v>
      </c>
      <c r="F1819" s="10">
        <v>559</v>
      </c>
    </row>
    <row r="1820" spans="1:6" x14ac:dyDescent="0.2">
      <c r="A1820" s="10" t="s">
        <v>521</v>
      </c>
      <c r="B1820" s="10" t="s">
        <v>522</v>
      </c>
      <c r="C1820" s="10" t="s">
        <v>45</v>
      </c>
      <c r="D1820" s="10">
        <v>10021</v>
      </c>
      <c r="E1820" s="10" t="s">
        <v>10</v>
      </c>
      <c r="F1820" s="10">
        <v>848</v>
      </c>
    </row>
    <row r="1821" spans="1:6" x14ac:dyDescent="0.2">
      <c r="A1821" s="10" t="s">
        <v>521</v>
      </c>
      <c r="B1821" s="10" t="s">
        <v>522</v>
      </c>
      <c r="C1821" s="10" t="s">
        <v>45</v>
      </c>
      <c r="D1821" s="10">
        <v>10023</v>
      </c>
      <c r="E1821" s="10" t="s">
        <v>9</v>
      </c>
      <c r="F1821" s="10">
        <v>1034</v>
      </c>
    </row>
    <row r="1822" spans="1:6" x14ac:dyDescent="0.2">
      <c r="A1822" s="10" t="s">
        <v>521</v>
      </c>
      <c r="B1822" s="10" t="s">
        <v>522</v>
      </c>
      <c r="C1822" s="10" t="s">
        <v>45</v>
      </c>
      <c r="D1822" s="10">
        <v>10024</v>
      </c>
      <c r="E1822" s="10" t="s">
        <v>5</v>
      </c>
      <c r="F1822" s="10">
        <v>900</v>
      </c>
    </row>
    <row r="1823" spans="1:6" x14ac:dyDescent="0.2">
      <c r="A1823" s="10" t="s">
        <v>521</v>
      </c>
      <c r="B1823" s="10" t="s">
        <v>522</v>
      </c>
      <c r="C1823" s="10" t="s">
        <v>45</v>
      </c>
      <c r="D1823" s="10">
        <v>10027</v>
      </c>
      <c r="E1823" s="10" t="s">
        <v>5</v>
      </c>
      <c r="F1823" s="10">
        <v>1443</v>
      </c>
    </row>
    <row r="1824" spans="1:6" x14ac:dyDescent="0.2">
      <c r="A1824" s="10" t="s">
        <v>521</v>
      </c>
      <c r="B1824" s="10" t="s">
        <v>522</v>
      </c>
      <c r="C1824" s="10" t="s">
        <v>45</v>
      </c>
      <c r="D1824" s="10">
        <v>10028</v>
      </c>
      <c r="E1824" s="10" t="s">
        <v>9</v>
      </c>
      <c r="F1824" s="10">
        <v>1232</v>
      </c>
    </row>
    <row r="1825" spans="1:6" x14ac:dyDescent="0.2">
      <c r="A1825" s="10" t="s">
        <v>521</v>
      </c>
      <c r="B1825" s="10" t="s">
        <v>522</v>
      </c>
      <c r="C1825" s="10" t="s">
        <v>45</v>
      </c>
      <c r="D1825" s="10">
        <v>10112</v>
      </c>
      <c r="E1825" s="10" t="s">
        <v>10</v>
      </c>
      <c r="F1825" s="10">
        <v>2342</v>
      </c>
    </row>
    <row r="1826" spans="1:6" x14ac:dyDescent="0.2">
      <c r="A1826" s="10" t="s">
        <v>521</v>
      </c>
      <c r="B1826" s="10" t="s">
        <v>522</v>
      </c>
      <c r="C1826" s="10" t="s">
        <v>45</v>
      </c>
      <c r="D1826" s="10">
        <v>10279</v>
      </c>
      <c r="E1826" s="10" t="s">
        <v>9</v>
      </c>
      <c r="F1826" s="10">
        <v>1103</v>
      </c>
    </row>
    <row r="1827" spans="1:6" x14ac:dyDescent="0.2">
      <c r="A1827" s="10" t="s">
        <v>521</v>
      </c>
      <c r="B1827" s="10" t="s">
        <v>522</v>
      </c>
      <c r="C1827" s="10" t="s">
        <v>45</v>
      </c>
      <c r="D1827" s="10">
        <v>10028</v>
      </c>
      <c r="E1827" s="10" t="s">
        <v>5</v>
      </c>
      <c r="F1827" s="10">
        <v>293</v>
      </c>
    </row>
    <row r="1828" spans="1:6" x14ac:dyDescent="0.2">
      <c r="A1828" s="10" t="s">
        <v>521</v>
      </c>
      <c r="B1828" s="10" t="s">
        <v>522</v>
      </c>
      <c r="C1828" s="10" t="s">
        <v>45</v>
      </c>
      <c r="D1828" s="10">
        <v>10013</v>
      </c>
      <c r="E1828" s="10" t="s">
        <v>9</v>
      </c>
      <c r="F1828" s="10">
        <v>235</v>
      </c>
    </row>
    <row r="1829" spans="1:6" x14ac:dyDescent="0.2">
      <c r="A1829" s="10" t="s">
        <v>521</v>
      </c>
      <c r="B1829" s="10" t="s">
        <v>522</v>
      </c>
      <c r="C1829" s="10" t="s">
        <v>45</v>
      </c>
      <c r="D1829" s="10">
        <v>10014</v>
      </c>
      <c r="E1829" s="10" t="s">
        <v>10</v>
      </c>
      <c r="F1829" s="10">
        <v>651</v>
      </c>
    </row>
    <row r="1830" spans="1:6" x14ac:dyDescent="0.2">
      <c r="A1830" s="10" t="s">
        <v>521</v>
      </c>
      <c r="B1830" s="10" t="s">
        <v>522</v>
      </c>
      <c r="C1830" s="10" t="s">
        <v>45</v>
      </c>
      <c r="D1830" s="10">
        <v>10017</v>
      </c>
      <c r="E1830" s="10" t="s">
        <v>9</v>
      </c>
      <c r="F1830" s="10">
        <v>8454</v>
      </c>
    </row>
    <row r="1831" spans="1:6" x14ac:dyDescent="0.2">
      <c r="A1831" s="10" t="s">
        <v>521</v>
      </c>
      <c r="B1831" s="10" t="s">
        <v>522</v>
      </c>
      <c r="C1831" s="10" t="s">
        <v>45</v>
      </c>
      <c r="D1831" s="10">
        <v>10018</v>
      </c>
      <c r="E1831" s="10" t="s">
        <v>9</v>
      </c>
      <c r="F1831" s="10">
        <v>1961</v>
      </c>
    </row>
    <row r="1832" spans="1:6" x14ac:dyDescent="0.2">
      <c r="A1832" s="10" t="s">
        <v>521</v>
      </c>
      <c r="B1832" s="10" t="s">
        <v>522</v>
      </c>
      <c r="C1832" s="10" t="s">
        <v>45</v>
      </c>
      <c r="D1832" s="10">
        <v>10022</v>
      </c>
      <c r="E1832" s="10" t="s">
        <v>5</v>
      </c>
      <c r="F1832" s="10">
        <v>2763</v>
      </c>
    </row>
    <row r="1833" spans="1:6" x14ac:dyDescent="0.2">
      <c r="A1833" s="10" t="s">
        <v>521</v>
      </c>
      <c r="B1833" s="10" t="s">
        <v>522</v>
      </c>
      <c r="C1833" s="10" t="s">
        <v>45</v>
      </c>
      <c r="D1833" s="10">
        <v>10023</v>
      </c>
      <c r="E1833" s="10" t="s">
        <v>10</v>
      </c>
      <c r="F1833" s="10">
        <v>415</v>
      </c>
    </row>
    <row r="1834" spans="1:6" x14ac:dyDescent="0.2">
      <c r="A1834" s="10" t="s">
        <v>521</v>
      </c>
      <c r="B1834" s="10" t="s">
        <v>522</v>
      </c>
      <c r="C1834" s="10" t="s">
        <v>45</v>
      </c>
      <c r="D1834" s="10">
        <v>10065</v>
      </c>
      <c r="E1834" s="10" t="s">
        <v>9</v>
      </c>
      <c r="F1834" s="10">
        <v>953</v>
      </c>
    </row>
    <row r="1835" spans="1:6" x14ac:dyDescent="0.2">
      <c r="A1835" s="10" t="s">
        <v>521</v>
      </c>
      <c r="B1835" s="10" t="s">
        <v>526</v>
      </c>
      <c r="C1835" s="10" t="s">
        <v>45</v>
      </c>
      <c r="D1835" s="10">
        <v>13850</v>
      </c>
      <c r="E1835" s="10" t="s">
        <v>5</v>
      </c>
      <c r="F1835" s="10">
        <v>1897</v>
      </c>
    </row>
    <row r="1836" spans="1:6" x14ac:dyDescent="0.2">
      <c r="A1836" s="10" t="s">
        <v>521</v>
      </c>
      <c r="B1836" s="10" t="s">
        <v>112</v>
      </c>
      <c r="C1836" s="10" t="s">
        <v>45</v>
      </c>
      <c r="D1836" s="10">
        <v>10917</v>
      </c>
      <c r="E1836" s="10" t="s">
        <v>5</v>
      </c>
      <c r="F1836" s="10">
        <v>527</v>
      </c>
    </row>
    <row r="1837" spans="1:6" x14ac:dyDescent="0.2">
      <c r="A1837" s="10" t="s">
        <v>521</v>
      </c>
      <c r="B1837" s="10" t="s">
        <v>522</v>
      </c>
      <c r="C1837" s="10" t="s">
        <v>45</v>
      </c>
      <c r="D1837" s="10">
        <v>10003</v>
      </c>
      <c r="E1837" s="10" t="s">
        <v>10</v>
      </c>
      <c r="F1837" s="10">
        <v>689</v>
      </c>
    </row>
    <row r="1838" spans="1:6" x14ac:dyDescent="0.2">
      <c r="A1838" s="10" t="s">
        <v>521</v>
      </c>
      <c r="B1838" s="10" t="s">
        <v>522</v>
      </c>
      <c r="C1838" s="10" t="s">
        <v>45</v>
      </c>
      <c r="D1838" s="10">
        <v>10018</v>
      </c>
      <c r="E1838" s="10" t="s">
        <v>5</v>
      </c>
      <c r="F1838" s="10">
        <v>2198</v>
      </c>
    </row>
    <row r="1839" spans="1:6" x14ac:dyDescent="0.2">
      <c r="A1839" s="10" t="s">
        <v>521</v>
      </c>
      <c r="B1839" s="10" t="s">
        <v>522</v>
      </c>
      <c r="C1839" s="10" t="s">
        <v>45</v>
      </c>
      <c r="D1839" s="10">
        <v>10119</v>
      </c>
      <c r="E1839" s="10" t="s">
        <v>9</v>
      </c>
      <c r="F1839" s="10">
        <v>111</v>
      </c>
    </row>
    <row r="1840" spans="1:6" x14ac:dyDescent="0.2">
      <c r="A1840" s="10" t="s">
        <v>521</v>
      </c>
      <c r="B1840" s="10" t="s">
        <v>522</v>
      </c>
      <c r="C1840" s="10" t="s">
        <v>45</v>
      </c>
      <c r="D1840" s="10">
        <v>10036</v>
      </c>
      <c r="E1840" s="10" t="s">
        <v>5</v>
      </c>
      <c r="F1840" s="10">
        <v>441</v>
      </c>
    </row>
    <row r="1841" spans="1:6" x14ac:dyDescent="0.2">
      <c r="A1841" s="10" t="s">
        <v>521</v>
      </c>
      <c r="B1841" s="10" t="s">
        <v>527</v>
      </c>
      <c r="C1841" s="10" t="s">
        <v>46</v>
      </c>
      <c r="D1841" s="10">
        <v>13041</v>
      </c>
      <c r="E1841" s="10" t="s">
        <v>5</v>
      </c>
      <c r="F1841" s="10">
        <v>918</v>
      </c>
    </row>
    <row r="1842" spans="1:6" x14ac:dyDescent="0.2">
      <c r="A1842" s="10" t="s">
        <v>521</v>
      </c>
      <c r="B1842" s="10" t="s">
        <v>349</v>
      </c>
      <c r="C1842" s="10" t="s">
        <v>46</v>
      </c>
      <c r="D1842" s="10">
        <v>11746</v>
      </c>
      <c r="E1842" s="10" t="s">
        <v>5</v>
      </c>
      <c r="F1842" s="10">
        <v>1609</v>
      </c>
    </row>
    <row r="1843" spans="1:6" x14ac:dyDescent="0.2">
      <c r="A1843" s="10" t="s">
        <v>521</v>
      </c>
      <c r="B1843" s="10" t="s">
        <v>349</v>
      </c>
      <c r="C1843" s="10" t="s">
        <v>46</v>
      </c>
      <c r="D1843" s="10">
        <v>11706</v>
      </c>
      <c r="E1843" s="10" t="s">
        <v>5</v>
      </c>
      <c r="F1843" s="10">
        <v>2012</v>
      </c>
    </row>
    <row r="1844" spans="1:6" x14ac:dyDescent="0.2">
      <c r="A1844" s="10" t="s">
        <v>521</v>
      </c>
      <c r="B1844" s="10" t="s">
        <v>528</v>
      </c>
      <c r="C1844" s="10" t="s">
        <v>46</v>
      </c>
      <c r="D1844" s="10">
        <v>14750</v>
      </c>
      <c r="E1844" s="10" t="s">
        <v>7</v>
      </c>
      <c r="F1844" s="10">
        <v>4129</v>
      </c>
    </row>
    <row r="1845" spans="1:6" x14ac:dyDescent="0.2">
      <c r="A1845" s="10" t="s">
        <v>521</v>
      </c>
      <c r="B1845" s="10" t="s">
        <v>529</v>
      </c>
      <c r="C1845" s="10" t="s">
        <v>46</v>
      </c>
      <c r="D1845" s="10">
        <v>12306</v>
      </c>
      <c r="E1845" s="10" t="s">
        <v>7</v>
      </c>
      <c r="F1845" s="10">
        <v>1510</v>
      </c>
    </row>
    <row r="1846" spans="1:6" x14ac:dyDescent="0.2">
      <c r="A1846" s="10" t="s">
        <v>521</v>
      </c>
      <c r="B1846" s="10" t="s">
        <v>530</v>
      </c>
      <c r="C1846" s="10" t="s">
        <v>46</v>
      </c>
      <c r="D1846" s="10">
        <v>12401</v>
      </c>
      <c r="E1846" s="10" t="s">
        <v>5</v>
      </c>
      <c r="F1846" s="10">
        <v>849</v>
      </c>
    </row>
    <row r="1847" spans="1:6" x14ac:dyDescent="0.2">
      <c r="A1847" s="10" t="s">
        <v>521</v>
      </c>
      <c r="B1847" s="10" t="s">
        <v>181</v>
      </c>
      <c r="C1847" s="10" t="s">
        <v>46</v>
      </c>
      <c r="D1847" s="10">
        <v>11010</v>
      </c>
      <c r="E1847" s="10" t="s">
        <v>8</v>
      </c>
      <c r="F1847" s="10">
        <v>16</v>
      </c>
    </row>
    <row r="1848" spans="1:6" x14ac:dyDescent="0.2">
      <c r="A1848" s="10" t="s">
        <v>521</v>
      </c>
      <c r="B1848" s="10" t="s">
        <v>181</v>
      </c>
      <c r="C1848" s="10" t="s">
        <v>46</v>
      </c>
      <c r="D1848" s="10">
        <v>11590</v>
      </c>
      <c r="E1848" s="10" t="s">
        <v>5</v>
      </c>
      <c r="F1848" s="10">
        <v>2404</v>
      </c>
    </row>
    <row r="1849" spans="1:6" x14ac:dyDescent="0.2">
      <c r="A1849" s="10" t="s">
        <v>521</v>
      </c>
      <c r="B1849" s="10" t="s">
        <v>194</v>
      </c>
      <c r="C1849" s="10" t="s">
        <v>46</v>
      </c>
      <c r="D1849" s="10">
        <v>12534</v>
      </c>
      <c r="E1849" s="10" t="s">
        <v>5</v>
      </c>
      <c r="F1849" s="10">
        <v>467</v>
      </c>
    </row>
    <row r="1850" spans="1:6" x14ac:dyDescent="0.2">
      <c r="A1850" s="10" t="s">
        <v>521</v>
      </c>
      <c r="B1850" s="10" t="s">
        <v>181</v>
      </c>
      <c r="C1850" s="10" t="s">
        <v>46</v>
      </c>
      <c r="D1850" s="10">
        <v>11758</v>
      </c>
      <c r="E1850" s="10" t="s">
        <v>5</v>
      </c>
      <c r="F1850" s="10">
        <v>1972</v>
      </c>
    </row>
    <row r="1851" spans="1:6" x14ac:dyDescent="0.2">
      <c r="A1851" s="10" t="s">
        <v>521</v>
      </c>
      <c r="B1851" s="10" t="s">
        <v>531</v>
      </c>
      <c r="C1851" s="10" t="s">
        <v>46</v>
      </c>
      <c r="D1851" s="10">
        <v>13820</v>
      </c>
      <c r="E1851" s="10" t="s">
        <v>7</v>
      </c>
      <c r="F1851" s="10">
        <v>479</v>
      </c>
    </row>
    <row r="1852" spans="1:6" x14ac:dyDescent="0.2">
      <c r="A1852" s="10" t="s">
        <v>521</v>
      </c>
      <c r="B1852" s="10" t="s">
        <v>532</v>
      </c>
      <c r="C1852" s="10" t="s">
        <v>46</v>
      </c>
      <c r="D1852" s="10">
        <v>10463</v>
      </c>
      <c r="E1852" s="10" t="s">
        <v>5</v>
      </c>
      <c r="F1852" s="10">
        <v>1660</v>
      </c>
    </row>
    <row r="1853" spans="1:6" x14ac:dyDescent="0.2">
      <c r="A1853" s="10" t="s">
        <v>521</v>
      </c>
      <c r="B1853" s="10" t="s">
        <v>181</v>
      </c>
      <c r="C1853" s="10" t="s">
        <v>46</v>
      </c>
      <c r="D1853" s="10">
        <v>11542</v>
      </c>
      <c r="E1853" s="10" t="s">
        <v>5</v>
      </c>
      <c r="F1853" s="10">
        <v>1554</v>
      </c>
    </row>
    <row r="1854" spans="1:6" x14ac:dyDescent="0.2">
      <c r="A1854" s="10" t="s">
        <v>521</v>
      </c>
      <c r="B1854" s="10" t="s">
        <v>349</v>
      </c>
      <c r="C1854" s="10" t="s">
        <v>46</v>
      </c>
      <c r="D1854" s="10">
        <v>11932</v>
      </c>
      <c r="E1854" s="10" t="s">
        <v>5</v>
      </c>
      <c r="F1854" s="10">
        <v>1122</v>
      </c>
    </row>
    <row r="1855" spans="1:6" x14ac:dyDescent="0.2">
      <c r="A1855" s="10" t="s">
        <v>521</v>
      </c>
      <c r="B1855" s="10" t="s">
        <v>532</v>
      </c>
      <c r="C1855" s="10" t="s">
        <v>46</v>
      </c>
      <c r="D1855" s="10">
        <v>10462</v>
      </c>
      <c r="E1855" s="10" t="s">
        <v>5</v>
      </c>
      <c r="F1855" s="10">
        <v>4218</v>
      </c>
    </row>
    <row r="1856" spans="1:6" x14ac:dyDescent="0.2">
      <c r="A1856" s="10" t="s">
        <v>521</v>
      </c>
      <c r="B1856" s="10" t="s">
        <v>181</v>
      </c>
      <c r="C1856" s="10" t="s">
        <v>46</v>
      </c>
      <c r="D1856" s="10">
        <v>11548</v>
      </c>
      <c r="E1856" s="10" t="s">
        <v>10</v>
      </c>
      <c r="F1856" s="10">
        <v>484</v>
      </c>
    </row>
    <row r="1857" spans="1:6" x14ac:dyDescent="0.2">
      <c r="A1857" s="10" t="s">
        <v>521</v>
      </c>
      <c r="B1857" s="10" t="s">
        <v>181</v>
      </c>
      <c r="C1857" s="10" t="s">
        <v>46</v>
      </c>
      <c r="D1857" s="10">
        <v>11550</v>
      </c>
      <c r="E1857" s="10" t="s">
        <v>5</v>
      </c>
      <c r="F1857" s="10">
        <v>2564</v>
      </c>
    </row>
    <row r="1858" spans="1:6" x14ac:dyDescent="0.2">
      <c r="A1858" s="10" t="s">
        <v>521</v>
      </c>
      <c r="B1858" s="10" t="s">
        <v>181</v>
      </c>
      <c r="C1858" s="10" t="s">
        <v>46</v>
      </c>
      <c r="D1858" s="10">
        <v>11572</v>
      </c>
      <c r="E1858" s="10" t="s">
        <v>5</v>
      </c>
      <c r="F1858" s="10">
        <v>1750</v>
      </c>
    </row>
    <row r="1859" spans="1:6" x14ac:dyDescent="0.2">
      <c r="A1859" s="10" t="s">
        <v>521</v>
      </c>
      <c r="B1859" s="10" t="s">
        <v>181</v>
      </c>
      <c r="C1859" s="10" t="s">
        <v>46</v>
      </c>
      <c r="D1859" s="10">
        <v>11581</v>
      </c>
      <c r="E1859" s="10" t="s">
        <v>5</v>
      </c>
      <c r="F1859" s="10">
        <v>2496</v>
      </c>
    </row>
    <row r="1860" spans="1:6" x14ac:dyDescent="0.2">
      <c r="A1860" s="10" t="s">
        <v>521</v>
      </c>
      <c r="B1860" s="10" t="s">
        <v>181</v>
      </c>
      <c r="C1860" s="10" t="s">
        <v>46</v>
      </c>
      <c r="D1860" s="10">
        <v>11596</v>
      </c>
      <c r="E1860" s="10" t="s">
        <v>8</v>
      </c>
      <c r="F1860" s="10">
        <v>138</v>
      </c>
    </row>
    <row r="1861" spans="1:6" x14ac:dyDescent="0.2">
      <c r="A1861" s="10" t="s">
        <v>521</v>
      </c>
      <c r="B1861" s="10" t="s">
        <v>532</v>
      </c>
      <c r="C1861" s="10" t="s">
        <v>46</v>
      </c>
      <c r="D1861" s="10">
        <v>10475</v>
      </c>
      <c r="E1861" s="10" t="s">
        <v>5</v>
      </c>
      <c r="F1861" s="10">
        <v>2350</v>
      </c>
    </row>
    <row r="1862" spans="1:6" x14ac:dyDescent="0.2">
      <c r="A1862" s="10" t="s">
        <v>521</v>
      </c>
      <c r="B1862" s="10" t="s">
        <v>181</v>
      </c>
      <c r="C1862" s="10" t="s">
        <v>46</v>
      </c>
      <c r="D1862" s="10">
        <v>11030</v>
      </c>
      <c r="E1862" s="10" t="s">
        <v>5</v>
      </c>
      <c r="F1862" s="10">
        <v>2218</v>
      </c>
    </row>
    <row r="1863" spans="1:6" x14ac:dyDescent="0.2">
      <c r="A1863" s="10" t="s">
        <v>521</v>
      </c>
      <c r="B1863" s="10" t="s">
        <v>181</v>
      </c>
      <c r="C1863" s="10" t="s">
        <v>46</v>
      </c>
      <c r="D1863" s="10">
        <v>11520</v>
      </c>
      <c r="E1863" s="10" t="s">
        <v>5</v>
      </c>
      <c r="F1863" s="10">
        <v>3347</v>
      </c>
    </row>
    <row r="1864" spans="1:6" x14ac:dyDescent="0.2">
      <c r="A1864" s="10" t="s">
        <v>521</v>
      </c>
      <c r="B1864" s="10" t="s">
        <v>181</v>
      </c>
      <c r="C1864" s="10" t="s">
        <v>46</v>
      </c>
      <c r="D1864" s="10">
        <v>11756</v>
      </c>
      <c r="E1864" s="10" t="s">
        <v>5</v>
      </c>
      <c r="F1864" s="10">
        <v>2107</v>
      </c>
    </row>
    <row r="1865" spans="1:6" x14ac:dyDescent="0.2">
      <c r="A1865" s="10" t="s">
        <v>521</v>
      </c>
      <c r="B1865" s="10" t="s">
        <v>181</v>
      </c>
      <c r="C1865" s="10" t="s">
        <v>46</v>
      </c>
      <c r="D1865" s="10">
        <v>11040</v>
      </c>
      <c r="E1865" s="10" t="s">
        <v>5</v>
      </c>
      <c r="F1865" s="10">
        <v>1084</v>
      </c>
    </row>
    <row r="1866" spans="1:6" x14ac:dyDescent="0.2">
      <c r="A1866" s="10" t="s">
        <v>521</v>
      </c>
      <c r="B1866" s="10" t="s">
        <v>181</v>
      </c>
      <c r="C1866" s="10" t="s">
        <v>46</v>
      </c>
      <c r="D1866" s="10">
        <v>11530</v>
      </c>
      <c r="E1866" s="10" t="s">
        <v>10</v>
      </c>
      <c r="F1866" s="10">
        <v>631</v>
      </c>
    </row>
    <row r="1867" spans="1:6" x14ac:dyDescent="0.2">
      <c r="A1867" s="10" t="s">
        <v>521</v>
      </c>
      <c r="B1867" s="10" t="s">
        <v>244</v>
      </c>
      <c r="C1867" s="10" t="s">
        <v>46</v>
      </c>
      <c r="D1867" s="10">
        <v>10314</v>
      </c>
      <c r="E1867" s="10" t="s">
        <v>5</v>
      </c>
      <c r="F1867" s="10">
        <v>3695</v>
      </c>
    </row>
    <row r="1868" spans="1:6" x14ac:dyDescent="0.2">
      <c r="A1868" s="10" t="s">
        <v>521</v>
      </c>
      <c r="B1868" s="10" t="s">
        <v>326</v>
      </c>
      <c r="C1868" s="10" t="s">
        <v>46</v>
      </c>
      <c r="D1868" s="10">
        <v>12804</v>
      </c>
      <c r="E1868" s="10" t="s">
        <v>5</v>
      </c>
      <c r="F1868" s="10">
        <v>908</v>
      </c>
    </row>
    <row r="1869" spans="1:6" x14ac:dyDescent="0.2">
      <c r="A1869" s="10" t="s">
        <v>521</v>
      </c>
      <c r="B1869" s="10" t="s">
        <v>527</v>
      </c>
      <c r="C1869" s="10" t="s">
        <v>46</v>
      </c>
      <c r="D1869" s="10">
        <v>13039</v>
      </c>
      <c r="E1869" s="10" t="s">
        <v>7</v>
      </c>
      <c r="F1869" s="10">
        <v>765</v>
      </c>
    </row>
    <row r="1870" spans="1:6" x14ac:dyDescent="0.2">
      <c r="A1870" s="10" t="s">
        <v>521</v>
      </c>
      <c r="B1870" s="10" t="s">
        <v>527</v>
      </c>
      <c r="C1870" s="10" t="s">
        <v>46</v>
      </c>
      <c r="D1870" s="10">
        <v>13031</v>
      </c>
      <c r="E1870" s="10" t="s">
        <v>5</v>
      </c>
      <c r="F1870" s="10">
        <v>662</v>
      </c>
    </row>
    <row r="1871" spans="1:6" x14ac:dyDescent="0.2">
      <c r="A1871" s="10" t="s">
        <v>521</v>
      </c>
      <c r="B1871" s="10" t="s">
        <v>527</v>
      </c>
      <c r="C1871" s="10" t="s">
        <v>46</v>
      </c>
      <c r="D1871" s="10">
        <v>13057</v>
      </c>
      <c r="E1871" s="10" t="s">
        <v>5</v>
      </c>
      <c r="F1871" s="10">
        <v>1006</v>
      </c>
    </row>
    <row r="1872" spans="1:6" x14ac:dyDescent="0.2">
      <c r="A1872" s="10" t="s">
        <v>521</v>
      </c>
      <c r="B1872" s="10" t="s">
        <v>349</v>
      </c>
      <c r="C1872" s="10" t="s">
        <v>46</v>
      </c>
      <c r="D1872" s="10">
        <v>11790</v>
      </c>
      <c r="E1872" s="10" t="s">
        <v>5</v>
      </c>
      <c r="F1872" s="10">
        <v>1979</v>
      </c>
    </row>
    <row r="1873" spans="1:6" x14ac:dyDescent="0.2">
      <c r="A1873" s="10" t="s">
        <v>521</v>
      </c>
      <c r="B1873" s="10" t="s">
        <v>349</v>
      </c>
      <c r="C1873" s="10" t="s">
        <v>46</v>
      </c>
      <c r="D1873" s="10">
        <v>11735</v>
      </c>
      <c r="E1873" s="10" t="s">
        <v>5</v>
      </c>
      <c r="F1873" s="10">
        <v>2162</v>
      </c>
    </row>
    <row r="1874" spans="1:6" x14ac:dyDescent="0.2">
      <c r="A1874" s="10" t="s">
        <v>521</v>
      </c>
      <c r="B1874" s="10" t="s">
        <v>349</v>
      </c>
      <c r="C1874" s="10" t="s">
        <v>46</v>
      </c>
      <c r="D1874" s="10">
        <v>11730</v>
      </c>
      <c r="E1874" s="10" t="s">
        <v>5</v>
      </c>
      <c r="F1874" s="10">
        <v>1386</v>
      </c>
    </row>
    <row r="1875" spans="1:6" x14ac:dyDescent="0.2">
      <c r="A1875" s="10" t="s">
        <v>521</v>
      </c>
      <c r="B1875" s="10" t="s">
        <v>349</v>
      </c>
      <c r="C1875" s="10" t="s">
        <v>46</v>
      </c>
      <c r="D1875" s="10">
        <v>11703</v>
      </c>
      <c r="E1875" s="10" t="s">
        <v>5</v>
      </c>
      <c r="F1875" s="10">
        <v>428</v>
      </c>
    </row>
    <row r="1876" spans="1:6" x14ac:dyDescent="0.2">
      <c r="A1876" s="10" t="s">
        <v>521</v>
      </c>
      <c r="B1876" s="10" t="s">
        <v>181</v>
      </c>
      <c r="C1876" s="10" t="s">
        <v>46</v>
      </c>
      <c r="D1876" s="10">
        <v>11801</v>
      </c>
      <c r="E1876" s="10" t="s">
        <v>5</v>
      </c>
      <c r="F1876" s="10">
        <v>4492</v>
      </c>
    </row>
    <row r="1877" spans="1:6" x14ac:dyDescent="0.2">
      <c r="A1877" s="10" t="s">
        <v>521</v>
      </c>
      <c r="B1877" s="10" t="s">
        <v>349</v>
      </c>
      <c r="C1877" s="10" t="s">
        <v>46</v>
      </c>
      <c r="D1877" s="10">
        <v>11901</v>
      </c>
      <c r="E1877" s="10" t="s">
        <v>5</v>
      </c>
      <c r="F1877" s="10">
        <v>1862</v>
      </c>
    </row>
    <row r="1878" spans="1:6" x14ac:dyDescent="0.2">
      <c r="A1878" s="10" t="s">
        <v>521</v>
      </c>
      <c r="B1878" s="10" t="s">
        <v>349</v>
      </c>
      <c r="C1878" s="10" t="s">
        <v>46</v>
      </c>
      <c r="D1878" s="10">
        <v>11776</v>
      </c>
      <c r="E1878" s="10" t="s">
        <v>5</v>
      </c>
      <c r="F1878" s="10">
        <v>11228</v>
      </c>
    </row>
    <row r="1879" spans="1:6" x14ac:dyDescent="0.2">
      <c r="A1879" s="10" t="s">
        <v>521</v>
      </c>
      <c r="B1879" s="10" t="s">
        <v>244</v>
      </c>
      <c r="C1879" s="10" t="s">
        <v>46</v>
      </c>
      <c r="D1879" s="10">
        <v>10305</v>
      </c>
      <c r="E1879" s="10" t="s">
        <v>5</v>
      </c>
      <c r="F1879" s="10">
        <v>2422</v>
      </c>
    </row>
    <row r="1880" spans="1:6" x14ac:dyDescent="0.2">
      <c r="A1880" s="10" t="s">
        <v>521</v>
      </c>
      <c r="B1880" s="10" t="s">
        <v>349</v>
      </c>
      <c r="C1880" s="10" t="s">
        <v>46</v>
      </c>
      <c r="D1880" s="10">
        <v>11772</v>
      </c>
      <c r="E1880" s="10" t="s">
        <v>5</v>
      </c>
      <c r="F1880" s="10">
        <v>2639</v>
      </c>
    </row>
    <row r="1881" spans="1:6" x14ac:dyDescent="0.2">
      <c r="A1881" s="10" t="s">
        <v>521</v>
      </c>
      <c r="B1881" s="10" t="s">
        <v>349</v>
      </c>
      <c r="C1881" s="10" t="s">
        <v>46</v>
      </c>
      <c r="D1881" s="10">
        <v>11725</v>
      </c>
      <c r="E1881" s="10" t="s">
        <v>5</v>
      </c>
      <c r="F1881" s="10">
        <v>3326</v>
      </c>
    </row>
    <row r="1882" spans="1:6" x14ac:dyDescent="0.2">
      <c r="A1882" s="10" t="s">
        <v>521</v>
      </c>
      <c r="B1882" s="10" t="s">
        <v>533</v>
      </c>
      <c r="C1882" s="10" t="s">
        <v>47</v>
      </c>
      <c r="D1882" s="10">
        <v>12866</v>
      </c>
      <c r="E1882" s="10" t="s">
        <v>5</v>
      </c>
      <c r="F1882" s="10">
        <v>73</v>
      </c>
    </row>
    <row r="1883" spans="1:6" x14ac:dyDescent="0.2">
      <c r="A1883" s="10" t="s">
        <v>521</v>
      </c>
      <c r="B1883" s="10" t="s">
        <v>534</v>
      </c>
      <c r="C1883" s="10" t="s">
        <v>47</v>
      </c>
      <c r="D1883" s="10">
        <v>10523</v>
      </c>
      <c r="E1883" s="10" t="s">
        <v>5</v>
      </c>
      <c r="F1883" s="10">
        <v>513</v>
      </c>
    </row>
    <row r="1884" spans="1:6" x14ac:dyDescent="0.2">
      <c r="A1884" s="10" t="s">
        <v>521</v>
      </c>
      <c r="B1884" s="10" t="s">
        <v>534</v>
      </c>
      <c r="C1884" s="10" t="s">
        <v>47</v>
      </c>
      <c r="D1884" s="10">
        <v>10538</v>
      </c>
      <c r="E1884" s="10" t="s">
        <v>5</v>
      </c>
      <c r="F1884" s="10">
        <v>734</v>
      </c>
    </row>
    <row r="1885" spans="1:6" x14ac:dyDescent="0.2">
      <c r="A1885" s="10" t="s">
        <v>521</v>
      </c>
      <c r="B1885" s="10" t="s">
        <v>534</v>
      </c>
      <c r="C1885" s="10" t="s">
        <v>47</v>
      </c>
      <c r="D1885" s="10">
        <v>10598</v>
      </c>
      <c r="E1885" s="10" t="s">
        <v>5</v>
      </c>
      <c r="F1885" s="10">
        <v>217</v>
      </c>
    </row>
    <row r="1886" spans="1:6" x14ac:dyDescent="0.2">
      <c r="A1886" s="10" t="s">
        <v>521</v>
      </c>
      <c r="B1886" s="10" t="s">
        <v>119</v>
      </c>
      <c r="C1886" s="10" t="s">
        <v>47</v>
      </c>
      <c r="D1886" s="10">
        <v>11201</v>
      </c>
      <c r="E1886" s="10" t="s">
        <v>10</v>
      </c>
      <c r="F1886" s="10">
        <v>311</v>
      </c>
    </row>
    <row r="1887" spans="1:6" x14ac:dyDescent="0.2">
      <c r="A1887" s="10" t="s">
        <v>521</v>
      </c>
      <c r="B1887" s="10" t="s">
        <v>119</v>
      </c>
      <c r="C1887" s="10" t="s">
        <v>47</v>
      </c>
      <c r="D1887" s="10">
        <v>11209</v>
      </c>
      <c r="E1887" s="10" t="s">
        <v>5</v>
      </c>
      <c r="F1887" s="10">
        <v>2542</v>
      </c>
    </row>
    <row r="1888" spans="1:6" x14ac:dyDescent="0.2">
      <c r="A1888" s="10" t="s">
        <v>521</v>
      </c>
      <c r="B1888" s="10" t="s">
        <v>119</v>
      </c>
      <c r="C1888" s="10" t="s">
        <v>47</v>
      </c>
      <c r="D1888" s="10">
        <v>11234</v>
      </c>
      <c r="E1888" s="10" t="s">
        <v>5</v>
      </c>
      <c r="F1888" s="10">
        <v>3160</v>
      </c>
    </row>
    <row r="1889" spans="1:6" x14ac:dyDescent="0.2">
      <c r="A1889" s="10" t="s">
        <v>521</v>
      </c>
      <c r="B1889" s="10" t="s">
        <v>119</v>
      </c>
      <c r="C1889" s="10" t="s">
        <v>47</v>
      </c>
      <c r="D1889" s="10">
        <v>11215</v>
      </c>
      <c r="E1889" s="10" t="s">
        <v>5</v>
      </c>
      <c r="F1889" s="10">
        <v>1212</v>
      </c>
    </row>
    <row r="1890" spans="1:6" x14ac:dyDescent="0.2">
      <c r="A1890" s="10" t="s">
        <v>521</v>
      </c>
      <c r="B1890" s="10" t="s">
        <v>119</v>
      </c>
      <c r="C1890" s="10" t="s">
        <v>47</v>
      </c>
      <c r="D1890" s="10">
        <v>11217</v>
      </c>
      <c r="E1890" s="10" t="s">
        <v>10</v>
      </c>
      <c r="F1890" s="10">
        <v>297</v>
      </c>
    </row>
    <row r="1891" spans="1:6" x14ac:dyDescent="0.2">
      <c r="A1891" s="10" t="s">
        <v>521</v>
      </c>
      <c r="B1891" s="10" t="s">
        <v>119</v>
      </c>
      <c r="C1891" s="10" t="s">
        <v>47</v>
      </c>
      <c r="D1891" s="10">
        <v>11222</v>
      </c>
      <c r="E1891" s="10" t="s">
        <v>5</v>
      </c>
      <c r="F1891" s="10">
        <v>1293</v>
      </c>
    </row>
    <row r="1892" spans="1:6" x14ac:dyDescent="0.2">
      <c r="A1892" s="10" t="s">
        <v>521</v>
      </c>
      <c r="B1892" s="10" t="s">
        <v>119</v>
      </c>
      <c r="C1892" s="10" t="s">
        <v>47</v>
      </c>
      <c r="D1892" s="10">
        <v>11230</v>
      </c>
      <c r="E1892" s="10" t="s">
        <v>5</v>
      </c>
      <c r="F1892" s="10">
        <v>2388</v>
      </c>
    </row>
    <row r="1893" spans="1:6" x14ac:dyDescent="0.2">
      <c r="A1893" s="10" t="s">
        <v>521</v>
      </c>
      <c r="B1893" s="10" t="s">
        <v>535</v>
      </c>
      <c r="C1893" s="10" t="s">
        <v>47</v>
      </c>
      <c r="D1893" s="10">
        <v>14225</v>
      </c>
      <c r="E1893" s="10" t="s">
        <v>6</v>
      </c>
      <c r="F1893" s="10">
        <v>1142</v>
      </c>
    </row>
    <row r="1894" spans="1:6" x14ac:dyDescent="0.2">
      <c r="A1894" s="10" t="s">
        <v>521</v>
      </c>
      <c r="B1894" s="10" t="s">
        <v>536</v>
      </c>
      <c r="C1894" s="10" t="s">
        <v>47</v>
      </c>
      <c r="D1894" s="10">
        <v>12205</v>
      </c>
      <c r="E1894" s="10" t="s">
        <v>5</v>
      </c>
      <c r="F1894" s="10">
        <v>949</v>
      </c>
    </row>
    <row r="1895" spans="1:6" x14ac:dyDescent="0.2">
      <c r="A1895" s="10" t="s">
        <v>521</v>
      </c>
      <c r="B1895" s="10" t="s">
        <v>178</v>
      </c>
      <c r="C1895" s="10" t="s">
        <v>47</v>
      </c>
      <c r="D1895" s="10">
        <v>14623</v>
      </c>
      <c r="E1895" s="10" t="s">
        <v>5</v>
      </c>
      <c r="F1895" s="10">
        <v>1122</v>
      </c>
    </row>
    <row r="1896" spans="1:6" x14ac:dyDescent="0.2">
      <c r="A1896" s="10" t="s">
        <v>521</v>
      </c>
      <c r="B1896" s="10" t="s">
        <v>535</v>
      </c>
      <c r="C1896" s="10" t="s">
        <v>47</v>
      </c>
      <c r="D1896" s="10">
        <v>14221</v>
      </c>
      <c r="E1896" s="10" t="s">
        <v>6</v>
      </c>
      <c r="F1896" s="10">
        <v>2232</v>
      </c>
    </row>
    <row r="1897" spans="1:6" x14ac:dyDescent="0.2">
      <c r="A1897" s="10" t="s">
        <v>521</v>
      </c>
      <c r="B1897" s="10" t="s">
        <v>535</v>
      </c>
      <c r="C1897" s="10" t="s">
        <v>47</v>
      </c>
      <c r="D1897" s="10">
        <v>14219</v>
      </c>
      <c r="E1897" s="10" t="s">
        <v>7</v>
      </c>
      <c r="F1897" s="10">
        <v>627</v>
      </c>
    </row>
    <row r="1898" spans="1:6" x14ac:dyDescent="0.2">
      <c r="A1898" s="10" t="s">
        <v>521</v>
      </c>
      <c r="B1898" s="10" t="s">
        <v>537</v>
      </c>
      <c r="C1898" s="10" t="s">
        <v>47</v>
      </c>
      <c r="D1898" s="10">
        <v>13413</v>
      </c>
      <c r="E1898" s="10" t="s">
        <v>5</v>
      </c>
      <c r="F1898" s="10">
        <v>1535</v>
      </c>
    </row>
    <row r="1899" spans="1:6" x14ac:dyDescent="0.2">
      <c r="A1899" s="10" t="s">
        <v>521</v>
      </c>
      <c r="B1899" s="10" t="s">
        <v>119</v>
      </c>
      <c r="C1899" s="10" t="s">
        <v>47</v>
      </c>
      <c r="D1899" s="10">
        <v>11234</v>
      </c>
      <c r="E1899" s="10" t="s">
        <v>8</v>
      </c>
      <c r="F1899" s="10">
        <v>498</v>
      </c>
    </row>
    <row r="1900" spans="1:6" x14ac:dyDescent="0.2">
      <c r="A1900" s="10" t="s">
        <v>521</v>
      </c>
      <c r="B1900" s="10" t="s">
        <v>534</v>
      </c>
      <c r="C1900" s="10" t="s">
        <v>47</v>
      </c>
      <c r="D1900" s="10">
        <v>10710</v>
      </c>
      <c r="E1900" s="10" t="s">
        <v>9</v>
      </c>
      <c r="F1900" s="10">
        <v>878</v>
      </c>
    </row>
    <row r="1901" spans="1:6" x14ac:dyDescent="0.2">
      <c r="A1901" s="10" t="s">
        <v>521</v>
      </c>
      <c r="B1901" s="10" t="s">
        <v>534</v>
      </c>
      <c r="C1901" s="10" t="s">
        <v>47</v>
      </c>
      <c r="D1901" s="10">
        <v>10583</v>
      </c>
      <c r="E1901" s="10" t="s">
        <v>9</v>
      </c>
      <c r="F1901" s="10">
        <v>831</v>
      </c>
    </row>
    <row r="1902" spans="1:6" x14ac:dyDescent="0.2">
      <c r="A1902" s="10" t="s">
        <v>521</v>
      </c>
      <c r="B1902" s="10" t="s">
        <v>534</v>
      </c>
      <c r="C1902" s="10" t="s">
        <v>47</v>
      </c>
      <c r="D1902" s="10">
        <v>10580</v>
      </c>
      <c r="E1902" s="10" t="s">
        <v>9</v>
      </c>
      <c r="F1902" s="10">
        <v>388</v>
      </c>
    </row>
    <row r="1903" spans="1:6" x14ac:dyDescent="0.2">
      <c r="A1903" s="10" t="s">
        <v>521</v>
      </c>
      <c r="B1903" s="10" t="s">
        <v>119</v>
      </c>
      <c r="C1903" s="10" t="s">
        <v>47</v>
      </c>
      <c r="D1903" s="10">
        <v>11239</v>
      </c>
      <c r="E1903" s="10" t="s">
        <v>5</v>
      </c>
      <c r="F1903" s="10">
        <v>3879</v>
      </c>
    </row>
    <row r="1904" spans="1:6" x14ac:dyDescent="0.2">
      <c r="A1904" s="10" t="s">
        <v>521</v>
      </c>
      <c r="B1904" s="10" t="s">
        <v>535</v>
      </c>
      <c r="C1904" s="10" t="s">
        <v>47</v>
      </c>
      <c r="D1904" s="10">
        <v>14224</v>
      </c>
      <c r="E1904" s="10" t="s">
        <v>7</v>
      </c>
      <c r="F1904" s="10">
        <v>1496</v>
      </c>
    </row>
    <row r="1905" spans="1:6" x14ac:dyDescent="0.2">
      <c r="A1905" s="10" t="s">
        <v>521</v>
      </c>
      <c r="B1905" s="10" t="s">
        <v>535</v>
      </c>
      <c r="C1905" s="10" t="s">
        <v>47</v>
      </c>
      <c r="D1905" s="10">
        <v>14216</v>
      </c>
      <c r="E1905" s="10" t="s">
        <v>7</v>
      </c>
      <c r="F1905" s="10">
        <v>783</v>
      </c>
    </row>
    <row r="1906" spans="1:6" x14ac:dyDescent="0.2">
      <c r="A1906" s="10" t="s">
        <v>521</v>
      </c>
      <c r="B1906" s="10" t="s">
        <v>534</v>
      </c>
      <c r="C1906" s="10" t="s">
        <v>47</v>
      </c>
      <c r="D1906" s="10">
        <v>10549</v>
      </c>
      <c r="E1906" s="10" t="s">
        <v>5</v>
      </c>
      <c r="F1906" s="10">
        <v>1027</v>
      </c>
    </row>
    <row r="1907" spans="1:6" x14ac:dyDescent="0.2">
      <c r="A1907" s="10" t="s">
        <v>521</v>
      </c>
      <c r="B1907" s="10" t="s">
        <v>534</v>
      </c>
      <c r="C1907" s="10" t="s">
        <v>47</v>
      </c>
      <c r="D1907" s="10">
        <v>10547</v>
      </c>
      <c r="E1907" s="10" t="s">
        <v>7</v>
      </c>
      <c r="F1907" s="10">
        <v>1959</v>
      </c>
    </row>
    <row r="1908" spans="1:6" x14ac:dyDescent="0.2">
      <c r="A1908" s="10" t="s">
        <v>521</v>
      </c>
      <c r="B1908" s="10" t="s">
        <v>538</v>
      </c>
      <c r="C1908" s="10" t="s">
        <v>47</v>
      </c>
      <c r="D1908" s="10">
        <v>12144</v>
      </c>
      <c r="E1908" s="10" t="s">
        <v>5</v>
      </c>
      <c r="F1908" s="10">
        <v>646</v>
      </c>
    </row>
    <row r="1909" spans="1:6" x14ac:dyDescent="0.2">
      <c r="A1909" s="10" t="s">
        <v>521</v>
      </c>
      <c r="B1909" s="10" t="s">
        <v>539</v>
      </c>
      <c r="C1909" s="10" t="s">
        <v>47</v>
      </c>
      <c r="D1909" s="10">
        <v>13021</v>
      </c>
      <c r="E1909" s="10" t="s">
        <v>5</v>
      </c>
      <c r="F1909" s="10">
        <v>626</v>
      </c>
    </row>
    <row r="1910" spans="1:6" x14ac:dyDescent="0.2">
      <c r="A1910" s="10" t="s">
        <v>521</v>
      </c>
      <c r="B1910" s="10" t="s">
        <v>535</v>
      </c>
      <c r="C1910" s="10" t="s">
        <v>47</v>
      </c>
      <c r="D1910" s="10">
        <v>14228</v>
      </c>
      <c r="E1910" s="10" t="s">
        <v>7</v>
      </c>
      <c r="F1910" s="10">
        <v>3200</v>
      </c>
    </row>
    <row r="1911" spans="1:6" x14ac:dyDescent="0.2">
      <c r="A1911" s="10" t="s">
        <v>521</v>
      </c>
      <c r="B1911" s="10" t="s">
        <v>540</v>
      </c>
      <c r="C1911" s="10" t="s">
        <v>47</v>
      </c>
      <c r="D1911" s="10">
        <v>11102</v>
      </c>
      <c r="E1911" s="10" t="s">
        <v>5</v>
      </c>
      <c r="F1911" s="10">
        <v>1785</v>
      </c>
    </row>
    <row r="1912" spans="1:6" x14ac:dyDescent="0.2">
      <c r="A1912" s="10" t="s">
        <v>521</v>
      </c>
      <c r="B1912" s="10" t="s">
        <v>540</v>
      </c>
      <c r="C1912" s="10" t="s">
        <v>47</v>
      </c>
      <c r="D1912" s="10">
        <v>11418</v>
      </c>
      <c r="E1912" s="10" t="s">
        <v>5</v>
      </c>
      <c r="F1912" s="10">
        <v>4227</v>
      </c>
    </row>
    <row r="1913" spans="1:6" x14ac:dyDescent="0.2">
      <c r="A1913" s="10" t="s">
        <v>521</v>
      </c>
      <c r="B1913" s="10" t="s">
        <v>541</v>
      </c>
      <c r="C1913" s="10" t="s">
        <v>47</v>
      </c>
      <c r="D1913" s="10">
        <v>12590</v>
      </c>
      <c r="E1913" s="10" t="s">
        <v>5</v>
      </c>
      <c r="F1913" s="10">
        <v>1886</v>
      </c>
    </row>
    <row r="1914" spans="1:6" x14ac:dyDescent="0.2">
      <c r="A1914" s="10" t="s">
        <v>521</v>
      </c>
      <c r="B1914" s="10" t="s">
        <v>542</v>
      </c>
      <c r="C1914" s="10" t="s">
        <v>47</v>
      </c>
      <c r="D1914" s="10">
        <v>14850</v>
      </c>
      <c r="E1914" s="10" t="s">
        <v>5</v>
      </c>
      <c r="F1914" s="10">
        <v>593</v>
      </c>
    </row>
    <row r="1915" spans="1:6" x14ac:dyDescent="0.2">
      <c r="A1915" s="10" t="s">
        <v>521</v>
      </c>
      <c r="B1915" s="10" t="s">
        <v>543</v>
      </c>
      <c r="C1915" s="10" t="s">
        <v>47</v>
      </c>
      <c r="D1915" s="10">
        <v>12901</v>
      </c>
      <c r="E1915" s="10" t="s">
        <v>5</v>
      </c>
      <c r="F1915" s="10">
        <v>393</v>
      </c>
    </row>
    <row r="1916" spans="1:6" x14ac:dyDescent="0.2">
      <c r="A1916" s="10" t="s">
        <v>521</v>
      </c>
      <c r="B1916" s="10" t="s">
        <v>544</v>
      </c>
      <c r="C1916" s="10" t="s">
        <v>47</v>
      </c>
      <c r="D1916" s="10">
        <v>14094</v>
      </c>
      <c r="E1916" s="10" t="s">
        <v>7</v>
      </c>
      <c r="F1916" s="10">
        <v>1323</v>
      </c>
    </row>
    <row r="1917" spans="1:6" x14ac:dyDescent="0.2">
      <c r="A1917" s="10" t="s">
        <v>521</v>
      </c>
      <c r="B1917" s="10" t="s">
        <v>119</v>
      </c>
      <c r="C1917" s="10" t="s">
        <v>47</v>
      </c>
      <c r="D1917" s="10">
        <v>11235</v>
      </c>
      <c r="E1917" s="10" t="s">
        <v>5</v>
      </c>
      <c r="F1917" s="10">
        <v>7227</v>
      </c>
    </row>
    <row r="1918" spans="1:6" x14ac:dyDescent="0.2">
      <c r="A1918" s="10" t="s">
        <v>521</v>
      </c>
      <c r="B1918" s="10" t="s">
        <v>75</v>
      </c>
      <c r="C1918" s="10" t="s">
        <v>47</v>
      </c>
      <c r="D1918" s="10">
        <v>13601</v>
      </c>
      <c r="E1918" s="10" t="s">
        <v>5</v>
      </c>
      <c r="F1918" s="10">
        <v>551</v>
      </c>
    </row>
    <row r="1919" spans="1:6" x14ac:dyDescent="0.2">
      <c r="A1919" s="10" t="s">
        <v>521</v>
      </c>
      <c r="B1919" s="10" t="s">
        <v>533</v>
      </c>
      <c r="C1919" s="10" t="s">
        <v>47</v>
      </c>
      <c r="D1919" s="10">
        <v>12065</v>
      </c>
      <c r="E1919" s="10" t="s">
        <v>8</v>
      </c>
      <c r="F1919" s="10">
        <v>160</v>
      </c>
    </row>
    <row r="1920" spans="1:6" x14ac:dyDescent="0.2">
      <c r="A1920" s="10" t="s">
        <v>521</v>
      </c>
      <c r="B1920" s="10" t="s">
        <v>534</v>
      </c>
      <c r="C1920" s="10" t="s">
        <v>47</v>
      </c>
      <c r="D1920" s="10">
        <v>10708</v>
      </c>
      <c r="E1920" s="10" t="s">
        <v>9</v>
      </c>
      <c r="F1920" s="10">
        <v>13</v>
      </c>
    </row>
    <row r="1921" spans="1:6" x14ac:dyDescent="0.2">
      <c r="A1921" s="10" t="s">
        <v>521</v>
      </c>
      <c r="B1921" s="10" t="s">
        <v>534</v>
      </c>
      <c r="C1921" s="10" t="s">
        <v>47</v>
      </c>
      <c r="D1921" s="10">
        <v>10583</v>
      </c>
      <c r="E1921" s="10" t="s">
        <v>10</v>
      </c>
      <c r="F1921" s="10">
        <v>1091</v>
      </c>
    </row>
    <row r="1922" spans="1:6" x14ac:dyDescent="0.2">
      <c r="A1922" s="10" t="s">
        <v>521</v>
      </c>
      <c r="B1922" s="10" t="s">
        <v>533</v>
      </c>
      <c r="C1922" s="10" t="s">
        <v>47</v>
      </c>
      <c r="D1922" s="10">
        <v>12065</v>
      </c>
      <c r="E1922" s="10" t="s">
        <v>5</v>
      </c>
      <c r="F1922" s="10">
        <v>1004</v>
      </c>
    </row>
    <row r="1923" spans="1:6" x14ac:dyDescent="0.2">
      <c r="A1923" s="10" t="s">
        <v>521</v>
      </c>
      <c r="B1923" s="10" t="s">
        <v>541</v>
      </c>
      <c r="C1923" s="10" t="s">
        <v>47</v>
      </c>
      <c r="D1923" s="10">
        <v>12601</v>
      </c>
      <c r="E1923" s="10" t="s">
        <v>5</v>
      </c>
      <c r="F1923" s="10">
        <v>212</v>
      </c>
    </row>
    <row r="1924" spans="1:6" x14ac:dyDescent="0.2">
      <c r="A1924" s="10" t="s">
        <v>521</v>
      </c>
      <c r="B1924" s="10" t="s">
        <v>540</v>
      </c>
      <c r="C1924" s="10" t="s">
        <v>47</v>
      </c>
      <c r="D1924" s="10">
        <v>11377</v>
      </c>
      <c r="E1924" s="10" t="s">
        <v>5</v>
      </c>
      <c r="F1924" s="10">
        <v>6775</v>
      </c>
    </row>
    <row r="1925" spans="1:6" x14ac:dyDescent="0.2">
      <c r="A1925" s="10" t="s">
        <v>521</v>
      </c>
      <c r="B1925" s="10" t="s">
        <v>540</v>
      </c>
      <c r="C1925" s="10" t="s">
        <v>47</v>
      </c>
      <c r="D1925" s="10">
        <v>11361</v>
      </c>
      <c r="E1925" s="10" t="s">
        <v>5</v>
      </c>
      <c r="F1925" s="10">
        <v>3843</v>
      </c>
    </row>
    <row r="1926" spans="1:6" x14ac:dyDescent="0.2">
      <c r="A1926" s="10" t="s">
        <v>521</v>
      </c>
      <c r="B1926" s="10" t="s">
        <v>534</v>
      </c>
      <c r="C1926" s="10" t="s">
        <v>47</v>
      </c>
      <c r="D1926" s="10">
        <v>10573</v>
      </c>
      <c r="E1926" s="10" t="s">
        <v>5</v>
      </c>
      <c r="F1926" s="10">
        <v>619</v>
      </c>
    </row>
    <row r="1927" spans="1:6" x14ac:dyDescent="0.2">
      <c r="A1927" s="10" t="s">
        <v>521</v>
      </c>
      <c r="B1927" s="10" t="s">
        <v>534</v>
      </c>
      <c r="C1927" s="10" t="s">
        <v>47</v>
      </c>
      <c r="D1927" s="10">
        <v>10550</v>
      </c>
      <c r="E1927" s="10" t="s">
        <v>5</v>
      </c>
      <c r="F1927" s="10">
        <v>1458</v>
      </c>
    </row>
    <row r="1928" spans="1:6" x14ac:dyDescent="0.2">
      <c r="A1928" s="10" t="s">
        <v>521</v>
      </c>
      <c r="B1928" s="10" t="s">
        <v>544</v>
      </c>
      <c r="C1928" s="10" t="s">
        <v>47</v>
      </c>
      <c r="D1928" s="10">
        <v>14304</v>
      </c>
      <c r="E1928" s="10" t="s">
        <v>6</v>
      </c>
      <c r="F1928" s="10">
        <v>666</v>
      </c>
    </row>
    <row r="1929" spans="1:6" x14ac:dyDescent="0.2">
      <c r="A1929" s="10" t="s">
        <v>521</v>
      </c>
      <c r="B1929" s="10" t="s">
        <v>540</v>
      </c>
      <c r="C1929" s="10" t="s">
        <v>47</v>
      </c>
      <c r="D1929" s="10">
        <v>11374</v>
      </c>
      <c r="E1929" s="10" t="s">
        <v>5</v>
      </c>
      <c r="F1929" s="10">
        <v>8151</v>
      </c>
    </row>
    <row r="1930" spans="1:6" x14ac:dyDescent="0.2">
      <c r="A1930" s="10" t="s">
        <v>521</v>
      </c>
      <c r="B1930" s="10" t="s">
        <v>536</v>
      </c>
      <c r="C1930" s="10" t="s">
        <v>47</v>
      </c>
      <c r="D1930" s="10">
        <v>12110</v>
      </c>
      <c r="E1930" s="10" t="s">
        <v>5</v>
      </c>
      <c r="F1930" s="10">
        <v>3316</v>
      </c>
    </row>
    <row r="1931" spans="1:6" x14ac:dyDescent="0.2">
      <c r="A1931" s="10" t="s">
        <v>521</v>
      </c>
      <c r="B1931" s="10" t="s">
        <v>178</v>
      </c>
      <c r="C1931" s="10" t="s">
        <v>47</v>
      </c>
      <c r="D1931" s="10">
        <v>14625</v>
      </c>
      <c r="E1931" s="10" t="s">
        <v>5</v>
      </c>
      <c r="F1931" s="10">
        <v>457</v>
      </c>
    </row>
    <row r="1932" spans="1:6" x14ac:dyDescent="0.2">
      <c r="A1932" s="10" t="s">
        <v>521</v>
      </c>
      <c r="B1932" s="10" t="s">
        <v>540</v>
      </c>
      <c r="C1932" s="10" t="s">
        <v>47</v>
      </c>
      <c r="D1932" s="10">
        <v>11372</v>
      </c>
      <c r="E1932" s="10" t="s">
        <v>5</v>
      </c>
      <c r="F1932" s="10">
        <v>1612</v>
      </c>
    </row>
    <row r="1933" spans="1:6" x14ac:dyDescent="0.2">
      <c r="A1933" s="10" t="s">
        <v>521</v>
      </c>
      <c r="B1933" s="10" t="s">
        <v>540</v>
      </c>
      <c r="C1933" s="10" t="s">
        <v>47</v>
      </c>
      <c r="D1933" s="10">
        <v>11426</v>
      </c>
      <c r="E1933" s="10" t="s">
        <v>5</v>
      </c>
      <c r="F1933" s="10">
        <v>1953</v>
      </c>
    </row>
    <row r="1934" spans="1:6" x14ac:dyDescent="0.2">
      <c r="A1934" s="10" t="s">
        <v>521</v>
      </c>
      <c r="B1934" s="10" t="s">
        <v>178</v>
      </c>
      <c r="C1934" s="10" t="s">
        <v>47</v>
      </c>
      <c r="D1934" s="10">
        <v>14615</v>
      </c>
      <c r="E1934" s="10" t="s">
        <v>5</v>
      </c>
      <c r="F1934" s="10">
        <v>1186</v>
      </c>
    </row>
    <row r="1935" spans="1:6" x14ac:dyDescent="0.2">
      <c r="A1935" s="10" t="s">
        <v>521</v>
      </c>
      <c r="B1935" s="10" t="s">
        <v>178</v>
      </c>
      <c r="C1935" s="10" t="s">
        <v>47</v>
      </c>
      <c r="D1935" s="10">
        <v>14580</v>
      </c>
      <c r="E1935" s="10" t="s">
        <v>5</v>
      </c>
      <c r="F1935" s="10">
        <v>1180</v>
      </c>
    </row>
    <row r="1936" spans="1:6" x14ac:dyDescent="0.2">
      <c r="A1936" s="10" t="s">
        <v>521</v>
      </c>
      <c r="B1936" s="10" t="s">
        <v>536</v>
      </c>
      <c r="C1936" s="10" t="s">
        <v>47</v>
      </c>
      <c r="D1936" s="10">
        <v>12077</v>
      </c>
      <c r="E1936" s="10" t="s">
        <v>5</v>
      </c>
      <c r="F1936" s="10">
        <v>1084</v>
      </c>
    </row>
    <row r="1937" spans="1:6" x14ac:dyDescent="0.2">
      <c r="A1937" s="10" t="s">
        <v>521</v>
      </c>
      <c r="B1937" s="10" t="s">
        <v>536</v>
      </c>
      <c r="C1937" s="10" t="s">
        <v>47</v>
      </c>
      <c r="D1937" s="10">
        <v>12205</v>
      </c>
      <c r="E1937" s="10" t="s">
        <v>7</v>
      </c>
      <c r="F1937" s="10">
        <v>515</v>
      </c>
    </row>
    <row r="1938" spans="1:6" x14ac:dyDescent="0.2">
      <c r="A1938" s="10" t="s">
        <v>521</v>
      </c>
      <c r="B1938" s="10" t="s">
        <v>534</v>
      </c>
      <c r="C1938" s="10" t="s">
        <v>47</v>
      </c>
      <c r="D1938" s="10">
        <v>10710</v>
      </c>
      <c r="E1938" s="10" t="s">
        <v>5</v>
      </c>
      <c r="F1938" s="10">
        <v>534</v>
      </c>
    </row>
    <row r="1939" spans="1:6" x14ac:dyDescent="0.2">
      <c r="A1939" s="10" t="s">
        <v>521</v>
      </c>
      <c r="B1939" s="10" t="s">
        <v>545</v>
      </c>
      <c r="C1939" s="10" t="s">
        <v>47</v>
      </c>
      <c r="D1939" s="10">
        <v>14760</v>
      </c>
      <c r="E1939" s="10" t="s">
        <v>5</v>
      </c>
      <c r="F1939" s="10">
        <v>2929</v>
      </c>
    </row>
    <row r="1940" spans="1:6" x14ac:dyDescent="0.2">
      <c r="A1940" s="10" t="s">
        <v>546</v>
      </c>
      <c r="B1940" s="10" t="s">
        <v>296</v>
      </c>
      <c r="C1940" s="10" t="s">
        <v>45</v>
      </c>
      <c r="D1940" s="10">
        <v>45246</v>
      </c>
      <c r="E1940" s="10" t="s">
        <v>8</v>
      </c>
      <c r="F1940" s="10">
        <v>604</v>
      </c>
    </row>
    <row r="1941" spans="1:6" x14ac:dyDescent="0.2">
      <c r="A1941" s="10" t="s">
        <v>546</v>
      </c>
      <c r="B1941" s="10" t="s">
        <v>547</v>
      </c>
      <c r="C1941" s="10" t="s">
        <v>45</v>
      </c>
      <c r="D1941" s="10">
        <v>45150</v>
      </c>
      <c r="E1941" s="10" t="s">
        <v>6</v>
      </c>
      <c r="F1941" s="10">
        <v>1564</v>
      </c>
    </row>
    <row r="1942" spans="1:6" x14ac:dyDescent="0.2">
      <c r="A1942" s="10" t="s">
        <v>546</v>
      </c>
      <c r="B1942" s="10" t="s">
        <v>296</v>
      </c>
      <c r="C1942" s="10" t="s">
        <v>45</v>
      </c>
      <c r="D1942" s="10">
        <v>45211</v>
      </c>
      <c r="E1942" s="10" t="s">
        <v>5</v>
      </c>
      <c r="F1942" s="10">
        <v>1464</v>
      </c>
    </row>
    <row r="1943" spans="1:6" x14ac:dyDescent="0.2">
      <c r="A1943" s="10" t="s">
        <v>546</v>
      </c>
      <c r="B1943" s="10" t="s">
        <v>296</v>
      </c>
      <c r="C1943" s="10" t="s">
        <v>45</v>
      </c>
      <c r="D1943" s="10">
        <v>45030</v>
      </c>
      <c r="E1943" s="10" t="s">
        <v>5</v>
      </c>
      <c r="F1943" s="10">
        <v>4103</v>
      </c>
    </row>
    <row r="1944" spans="1:6" x14ac:dyDescent="0.2">
      <c r="A1944" s="10" t="s">
        <v>546</v>
      </c>
      <c r="B1944" s="10" t="s">
        <v>548</v>
      </c>
      <c r="C1944" s="10" t="s">
        <v>45</v>
      </c>
      <c r="D1944" s="10">
        <v>43056</v>
      </c>
      <c r="E1944" s="10" t="s">
        <v>5</v>
      </c>
      <c r="F1944" s="10">
        <v>1058</v>
      </c>
    </row>
    <row r="1945" spans="1:6" x14ac:dyDescent="0.2">
      <c r="A1945" s="10" t="s">
        <v>546</v>
      </c>
      <c r="B1945" s="10" t="s">
        <v>549</v>
      </c>
      <c r="C1945" s="10" t="s">
        <v>45</v>
      </c>
      <c r="D1945" s="10">
        <v>44134</v>
      </c>
      <c r="E1945" s="10" t="s">
        <v>7</v>
      </c>
      <c r="F1945" s="10">
        <v>1620</v>
      </c>
    </row>
    <row r="1946" spans="1:6" x14ac:dyDescent="0.2">
      <c r="A1946" s="10" t="s">
        <v>546</v>
      </c>
      <c r="B1946" s="10" t="s">
        <v>424</v>
      </c>
      <c r="C1946" s="10" t="s">
        <v>45</v>
      </c>
      <c r="D1946" s="10">
        <v>45069</v>
      </c>
      <c r="E1946" s="10" t="s">
        <v>6</v>
      </c>
      <c r="F1946" s="10">
        <v>2482</v>
      </c>
    </row>
    <row r="1947" spans="1:6" x14ac:dyDescent="0.2">
      <c r="A1947" s="10" t="s">
        <v>546</v>
      </c>
      <c r="B1947" s="10" t="s">
        <v>549</v>
      </c>
      <c r="C1947" s="10" t="s">
        <v>45</v>
      </c>
      <c r="D1947" s="10">
        <v>44070</v>
      </c>
      <c r="E1947" s="10" t="s">
        <v>7</v>
      </c>
      <c r="F1947" s="10">
        <v>1582</v>
      </c>
    </row>
    <row r="1948" spans="1:6" x14ac:dyDescent="0.2">
      <c r="A1948" s="10" t="s">
        <v>546</v>
      </c>
      <c r="B1948" s="10" t="s">
        <v>549</v>
      </c>
      <c r="C1948" s="10" t="s">
        <v>45</v>
      </c>
      <c r="D1948" s="10">
        <v>44116</v>
      </c>
      <c r="E1948" s="10" t="s">
        <v>7</v>
      </c>
      <c r="F1948" s="10">
        <v>1040</v>
      </c>
    </row>
    <row r="1949" spans="1:6" x14ac:dyDescent="0.2">
      <c r="A1949" s="10" t="s">
        <v>546</v>
      </c>
      <c r="B1949" s="10" t="s">
        <v>549</v>
      </c>
      <c r="C1949" s="10" t="s">
        <v>45</v>
      </c>
      <c r="D1949" s="10">
        <v>44130</v>
      </c>
      <c r="E1949" s="10" t="s">
        <v>7</v>
      </c>
      <c r="F1949" s="10">
        <v>442</v>
      </c>
    </row>
    <row r="1950" spans="1:6" x14ac:dyDescent="0.2">
      <c r="A1950" s="10" t="s">
        <v>546</v>
      </c>
      <c r="B1950" s="10" t="s">
        <v>550</v>
      </c>
      <c r="C1950" s="10" t="s">
        <v>45</v>
      </c>
      <c r="D1950" s="10">
        <v>44646</v>
      </c>
      <c r="E1950" s="10" t="s">
        <v>7</v>
      </c>
      <c r="F1950" s="10">
        <v>1306</v>
      </c>
    </row>
    <row r="1951" spans="1:6" x14ac:dyDescent="0.2">
      <c r="A1951" s="10" t="s">
        <v>546</v>
      </c>
      <c r="B1951" s="10" t="s">
        <v>296</v>
      </c>
      <c r="C1951" s="10" t="s">
        <v>45</v>
      </c>
      <c r="D1951" s="10">
        <v>45202</v>
      </c>
      <c r="E1951" s="10" t="s">
        <v>5</v>
      </c>
      <c r="F1951" s="10">
        <v>1688</v>
      </c>
    </row>
    <row r="1952" spans="1:6" x14ac:dyDescent="0.2">
      <c r="A1952" s="10" t="s">
        <v>546</v>
      </c>
      <c r="B1952" s="10" t="s">
        <v>549</v>
      </c>
      <c r="C1952" s="10" t="s">
        <v>45</v>
      </c>
      <c r="D1952" s="10">
        <v>44136</v>
      </c>
      <c r="E1952" s="10" t="s">
        <v>5</v>
      </c>
      <c r="F1952" s="10">
        <v>194</v>
      </c>
    </row>
    <row r="1953" spans="1:6" x14ac:dyDescent="0.2">
      <c r="A1953" s="10" t="s">
        <v>546</v>
      </c>
      <c r="B1953" s="10" t="s">
        <v>549</v>
      </c>
      <c r="C1953" s="10" t="s">
        <v>45</v>
      </c>
      <c r="D1953" s="10">
        <v>44139</v>
      </c>
      <c r="E1953" s="10" t="s">
        <v>7</v>
      </c>
      <c r="F1953" s="10">
        <v>1369</v>
      </c>
    </row>
    <row r="1954" spans="1:6" x14ac:dyDescent="0.2">
      <c r="A1954" s="10" t="s">
        <v>546</v>
      </c>
      <c r="B1954" s="10" t="s">
        <v>549</v>
      </c>
      <c r="C1954" s="10" t="s">
        <v>45</v>
      </c>
      <c r="D1954" s="10">
        <v>44118</v>
      </c>
      <c r="E1954" s="10" t="s">
        <v>7</v>
      </c>
      <c r="F1954" s="10">
        <v>1518</v>
      </c>
    </row>
    <row r="1955" spans="1:6" x14ac:dyDescent="0.2">
      <c r="A1955" s="10" t="s">
        <v>546</v>
      </c>
      <c r="B1955" s="10" t="s">
        <v>549</v>
      </c>
      <c r="C1955" s="10" t="s">
        <v>45</v>
      </c>
      <c r="D1955" s="10">
        <v>44122</v>
      </c>
      <c r="E1955" s="10" t="s">
        <v>10</v>
      </c>
      <c r="F1955" s="10">
        <v>995</v>
      </c>
    </row>
    <row r="1956" spans="1:6" x14ac:dyDescent="0.2">
      <c r="A1956" s="10" t="s">
        <v>546</v>
      </c>
      <c r="B1956" s="10" t="s">
        <v>549</v>
      </c>
      <c r="C1956" s="10" t="s">
        <v>45</v>
      </c>
      <c r="D1956" s="10">
        <v>44124</v>
      </c>
      <c r="E1956" s="10" t="s">
        <v>5</v>
      </c>
      <c r="F1956" s="10">
        <v>582</v>
      </c>
    </row>
    <row r="1957" spans="1:6" x14ac:dyDescent="0.2">
      <c r="A1957" s="10" t="s">
        <v>546</v>
      </c>
      <c r="B1957" s="10" t="s">
        <v>551</v>
      </c>
      <c r="C1957" s="10" t="s">
        <v>45</v>
      </c>
      <c r="D1957" s="10">
        <v>45601</v>
      </c>
      <c r="E1957" s="10" t="s">
        <v>7</v>
      </c>
      <c r="F1957" s="10">
        <v>7568</v>
      </c>
    </row>
    <row r="1958" spans="1:6" x14ac:dyDescent="0.2">
      <c r="A1958" s="10" t="s">
        <v>546</v>
      </c>
      <c r="B1958" s="10" t="s">
        <v>549</v>
      </c>
      <c r="C1958" s="10" t="s">
        <v>45</v>
      </c>
      <c r="D1958" s="10">
        <v>44145</v>
      </c>
      <c r="E1958" s="10" t="s">
        <v>9</v>
      </c>
      <c r="F1958" s="10">
        <v>3594</v>
      </c>
    </row>
    <row r="1959" spans="1:6" x14ac:dyDescent="0.2">
      <c r="A1959" s="10" t="s">
        <v>546</v>
      </c>
      <c r="B1959" s="10" t="s">
        <v>550</v>
      </c>
      <c r="C1959" s="10" t="s">
        <v>45</v>
      </c>
      <c r="D1959" s="10">
        <v>44720</v>
      </c>
      <c r="E1959" s="10" t="s">
        <v>7</v>
      </c>
      <c r="F1959" s="10">
        <v>3297</v>
      </c>
    </row>
    <row r="1960" spans="1:6" x14ac:dyDescent="0.2">
      <c r="A1960" s="10" t="s">
        <v>546</v>
      </c>
      <c r="B1960" s="10" t="s">
        <v>550</v>
      </c>
      <c r="C1960" s="10" t="s">
        <v>45</v>
      </c>
      <c r="D1960" s="10">
        <v>44720</v>
      </c>
      <c r="E1960" s="10" t="s">
        <v>8</v>
      </c>
      <c r="F1960" s="10">
        <v>2106</v>
      </c>
    </row>
    <row r="1961" spans="1:6" x14ac:dyDescent="0.2">
      <c r="A1961" s="10" t="s">
        <v>546</v>
      </c>
      <c r="B1961" s="10" t="s">
        <v>549</v>
      </c>
      <c r="C1961" s="10" t="s">
        <v>45</v>
      </c>
      <c r="D1961" s="10">
        <v>44136</v>
      </c>
      <c r="E1961" s="10" t="s">
        <v>7</v>
      </c>
      <c r="F1961" s="10">
        <v>975</v>
      </c>
    </row>
    <row r="1962" spans="1:6" x14ac:dyDescent="0.2">
      <c r="A1962" s="10" t="s">
        <v>546</v>
      </c>
      <c r="B1962" s="10" t="s">
        <v>552</v>
      </c>
      <c r="C1962" s="10" t="s">
        <v>45</v>
      </c>
      <c r="D1962" s="10">
        <v>44004</v>
      </c>
      <c r="E1962" s="10" t="s">
        <v>7</v>
      </c>
      <c r="F1962" s="10">
        <v>556</v>
      </c>
    </row>
    <row r="1963" spans="1:6" x14ac:dyDescent="0.2">
      <c r="A1963" s="10" t="s">
        <v>546</v>
      </c>
      <c r="B1963" s="10" t="s">
        <v>296</v>
      </c>
      <c r="C1963" s="10" t="s">
        <v>45</v>
      </c>
      <c r="D1963" s="10">
        <v>45209</v>
      </c>
      <c r="E1963" s="10" t="s">
        <v>5</v>
      </c>
      <c r="F1963" s="10">
        <v>1806</v>
      </c>
    </row>
    <row r="1964" spans="1:6" x14ac:dyDescent="0.2">
      <c r="A1964" s="10" t="s">
        <v>546</v>
      </c>
      <c r="B1964" s="10" t="s">
        <v>296</v>
      </c>
      <c r="C1964" s="10" t="s">
        <v>45</v>
      </c>
      <c r="D1964" s="10">
        <v>45239</v>
      </c>
      <c r="E1964" s="10" t="s">
        <v>5</v>
      </c>
      <c r="F1964" s="10">
        <v>1558</v>
      </c>
    </row>
    <row r="1965" spans="1:6" x14ac:dyDescent="0.2">
      <c r="A1965" s="10" t="s">
        <v>546</v>
      </c>
      <c r="B1965" s="10" t="s">
        <v>296</v>
      </c>
      <c r="C1965" s="10" t="s">
        <v>45</v>
      </c>
      <c r="D1965" s="10">
        <v>45246</v>
      </c>
      <c r="E1965" s="10" t="s">
        <v>6</v>
      </c>
      <c r="F1965" s="10">
        <v>1655</v>
      </c>
    </row>
    <row r="1966" spans="1:6" x14ac:dyDescent="0.2">
      <c r="A1966" s="10" t="s">
        <v>546</v>
      </c>
      <c r="B1966" s="10" t="s">
        <v>549</v>
      </c>
      <c r="C1966" s="10" t="s">
        <v>45</v>
      </c>
      <c r="D1966" s="10">
        <v>44122</v>
      </c>
      <c r="E1966" s="10" t="s">
        <v>7</v>
      </c>
      <c r="F1966" s="10">
        <v>1036</v>
      </c>
    </row>
    <row r="1967" spans="1:6" x14ac:dyDescent="0.2">
      <c r="A1967" s="10" t="s">
        <v>546</v>
      </c>
      <c r="B1967" s="10" t="s">
        <v>549</v>
      </c>
      <c r="C1967" s="10" t="s">
        <v>45</v>
      </c>
      <c r="D1967" s="10">
        <v>44111</v>
      </c>
      <c r="E1967" s="10" t="s">
        <v>5</v>
      </c>
      <c r="F1967" s="10">
        <v>2831</v>
      </c>
    </row>
    <row r="1968" spans="1:6" x14ac:dyDescent="0.2">
      <c r="A1968" s="10" t="s">
        <v>546</v>
      </c>
      <c r="B1968" s="10" t="s">
        <v>553</v>
      </c>
      <c r="C1968" s="10" t="s">
        <v>45</v>
      </c>
      <c r="D1968" s="10">
        <v>43420</v>
      </c>
      <c r="E1968" s="10" t="s">
        <v>5</v>
      </c>
      <c r="F1968" s="10">
        <v>1624</v>
      </c>
    </row>
    <row r="1969" spans="1:6" x14ac:dyDescent="0.2">
      <c r="A1969" s="10" t="s">
        <v>546</v>
      </c>
      <c r="B1969" s="10" t="s">
        <v>395</v>
      </c>
      <c r="C1969" s="10" t="s">
        <v>45</v>
      </c>
      <c r="D1969" s="10">
        <v>44691</v>
      </c>
      <c r="E1969" s="10" t="s">
        <v>5</v>
      </c>
      <c r="F1969" s="10">
        <v>1301</v>
      </c>
    </row>
    <row r="1970" spans="1:6" x14ac:dyDescent="0.2">
      <c r="A1970" s="10" t="s">
        <v>546</v>
      </c>
      <c r="B1970" s="10" t="s">
        <v>554</v>
      </c>
      <c r="C1970" s="10" t="s">
        <v>45</v>
      </c>
      <c r="D1970" s="10">
        <v>44241</v>
      </c>
      <c r="E1970" s="10" t="s">
        <v>5</v>
      </c>
      <c r="F1970" s="10">
        <v>559</v>
      </c>
    </row>
    <row r="1971" spans="1:6" x14ac:dyDescent="0.2">
      <c r="A1971" s="10" t="s">
        <v>546</v>
      </c>
      <c r="B1971" s="10" t="s">
        <v>549</v>
      </c>
      <c r="C1971" s="10" t="s">
        <v>45</v>
      </c>
      <c r="D1971" s="10">
        <v>44145</v>
      </c>
      <c r="E1971" s="10" t="s">
        <v>7</v>
      </c>
      <c r="F1971" s="10">
        <v>431</v>
      </c>
    </row>
    <row r="1972" spans="1:6" x14ac:dyDescent="0.2">
      <c r="A1972" s="10" t="s">
        <v>546</v>
      </c>
      <c r="B1972" s="10" t="s">
        <v>424</v>
      </c>
      <c r="C1972" s="10" t="s">
        <v>45</v>
      </c>
      <c r="D1972" s="10">
        <v>45011</v>
      </c>
      <c r="E1972" s="10" t="s">
        <v>5</v>
      </c>
      <c r="F1972" s="10">
        <v>2651</v>
      </c>
    </row>
    <row r="1973" spans="1:6" x14ac:dyDescent="0.2">
      <c r="A1973" s="10" t="s">
        <v>546</v>
      </c>
      <c r="B1973" s="10" t="s">
        <v>296</v>
      </c>
      <c r="C1973" s="10" t="s">
        <v>45</v>
      </c>
      <c r="D1973" s="10">
        <v>45255</v>
      </c>
      <c r="E1973" s="10" t="s">
        <v>5</v>
      </c>
      <c r="F1973" s="10">
        <v>1765</v>
      </c>
    </row>
    <row r="1974" spans="1:6" x14ac:dyDescent="0.2">
      <c r="A1974" s="10" t="s">
        <v>546</v>
      </c>
      <c r="B1974" s="10" t="s">
        <v>547</v>
      </c>
      <c r="C1974" s="10" t="s">
        <v>45</v>
      </c>
      <c r="D1974" s="10">
        <v>45245</v>
      </c>
      <c r="E1974" s="10" t="s">
        <v>7</v>
      </c>
      <c r="F1974" s="10">
        <v>1632</v>
      </c>
    </row>
    <row r="1975" spans="1:6" x14ac:dyDescent="0.2">
      <c r="A1975" s="10" t="s">
        <v>546</v>
      </c>
      <c r="B1975" s="10" t="s">
        <v>535</v>
      </c>
      <c r="C1975" s="10" t="s">
        <v>45</v>
      </c>
      <c r="D1975" s="10">
        <v>44870</v>
      </c>
      <c r="E1975" s="10" t="s">
        <v>5</v>
      </c>
      <c r="F1975" s="10">
        <v>926</v>
      </c>
    </row>
    <row r="1976" spans="1:6" x14ac:dyDescent="0.2">
      <c r="A1976" s="10" t="s">
        <v>546</v>
      </c>
      <c r="B1976" s="10" t="s">
        <v>550</v>
      </c>
      <c r="C1976" s="10" t="s">
        <v>45</v>
      </c>
      <c r="D1976" s="10">
        <v>44601</v>
      </c>
      <c r="E1976" s="10" t="s">
        <v>5</v>
      </c>
      <c r="F1976" s="10">
        <v>1058</v>
      </c>
    </row>
    <row r="1977" spans="1:6" x14ac:dyDescent="0.2">
      <c r="A1977" s="10" t="s">
        <v>546</v>
      </c>
      <c r="B1977" s="10" t="s">
        <v>296</v>
      </c>
      <c r="C1977" s="10" t="s">
        <v>45</v>
      </c>
      <c r="D1977" s="10">
        <v>45236</v>
      </c>
      <c r="E1977" s="10" t="s">
        <v>5</v>
      </c>
      <c r="F1977" s="10">
        <v>1149</v>
      </c>
    </row>
    <row r="1978" spans="1:6" x14ac:dyDescent="0.2">
      <c r="A1978" s="10" t="s">
        <v>546</v>
      </c>
      <c r="B1978" s="10" t="s">
        <v>555</v>
      </c>
      <c r="C1978" s="10" t="s">
        <v>46</v>
      </c>
      <c r="D1978" s="10">
        <v>44035</v>
      </c>
      <c r="E1978" s="10" t="s">
        <v>5</v>
      </c>
      <c r="F1978" s="10">
        <v>988</v>
      </c>
    </row>
    <row r="1979" spans="1:6" x14ac:dyDescent="0.2">
      <c r="A1979" s="10" t="s">
        <v>546</v>
      </c>
      <c r="B1979" s="10" t="s">
        <v>328</v>
      </c>
      <c r="C1979" s="10" t="s">
        <v>46</v>
      </c>
      <c r="D1979" s="10">
        <v>43068</v>
      </c>
      <c r="E1979" s="10" t="s">
        <v>7</v>
      </c>
      <c r="F1979" s="10">
        <v>1194</v>
      </c>
    </row>
    <row r="1980" spans="1:6" x14ac:dyDescent="0.2">
      <c r="A1980" s="10" t="s">
        <v>546</v>
      </c>
      <c r="B1980" s="10" t="s">
        <v>328</v>
      </c>
      <c r="C1980" s="10" t="s">
        <v>46</v>
      </c>
      <c r="D1980" s="10">
        <v>43230</v>
      </c>
      <c r="E1980" s="10" t="s">
        <v>8</v>
      </c>
      <c r="F1980" s="10">
        <v>925</v>
      </c>
    </row>
    <row r="1981" spans="1:6" x14ac:dyDescent="0.2">
      <c r="A1981" s="10" t="s">
        <v>546</v>
      </c>
      <c r="B1981" s="10" t="s">
        <v>301</v>
      </c>
      <c r="C1981" s="10" t="s">
        <v>46</v>
      </c>
      <c r="D1981" s="10">
        <v>45805</v>
      </c>
      <c r="E1981" s="10" t="s">
        <v>7</v>
      </c>
      <c r="F1981" s="10">
        <v>2924</v>
      </c>
    </row>
    <row r="1982" spans="1:6" x14ac:dyDescent="0.2">
      <c r="A1982" s="10" t="s">
        <v>546</v>
      </c>
      <c r="B1982" s="10" t="s">
        <v>328</v>
      </c>
      <c r="C1982" s="10" t="s">
        <v>46</v>
      </c>
      <c r="D1982" s="10">
        <v>43235</v>
      </c>
      <c r="E1982" s="10" t="s">
        <v>5</v>
      </c>
      <c r="F1982" s="10">
        <v>1939</v>
      </c>
    </row>
    <row r="1983" spans="1:6" x14ac:dyDescent="0.2">
      <c r="A1983" s="10" t="s">
        <v>546</v>
      </c>
      <c r="B1983" s="10" t="s">
        <v>328</v>
      </c>
      <c r="C1983" s="10" t="s">
        <v>46</v>
      </c>
      <c r="D1983" s="10">
        <v>43220</v>
      </c>
      <c r="E1983" s="10" t="s">
        <v>5</v>
      </c>
      <c r="F1983" s="10">
        <v>799</v>
      </c>
    </row>
    <row r="1984" spans="1:6" x14ac:dyDescent="0.2">
      <c r="A1984" s="10" t="s">
        <v>546</v>
      </c>
      <c r="B1984" s="10" t="s">
        <v>328</v>
      </c>
      <c r="C1984" s="10" t="s">
        <v>46</v>
      </c>
      <c r="D1984" s="10">
        <v>43068</v>
      </c>
      <c r="E1984" s="10" t="s">
        <v>5</v>
      </c>
      <c r="F1984" s="10">
        <v>1483</v>
      </c>
    </row>
    <row r="1985" spans="1:6" x14ac:dyDescent="0.2">
      <c r="A1985" s="10" t="s">
        <v>546</v>
      </c>
      <c r="B1985" s="10" t="s">
        <v>326</v>
      </c>
      <c r="C1985" s="10" t="s">
        <v>46</v>
      </c>
      <c r="D1985" s="10">
        <v>45005</v>
      </c>
      <c r="E1985" s="10" t="s">
        <v>5</v>
      </c>
      <c r="F1985" s="10">
        <v>1920</v>
      </c>
    </row>
    <row r="1986" spans="1:6" x14ac:dyDescent="0.2">
      <c r="A1986" s="10" t="s">
        <v>546</v>
      </c>
      <c r="B1986" s="10" t="s">
        <v>328</v>
      </c>
      <c r="C1986" s="10" t="s">
        <v>46</v>
      </c>
      <c r="D1986" s="10">
        <v>43219</v>
      </c>
      <c r="E1986" s="10" t="s">
        <v>7</v>
      </c>
      <c r="F1986" s="10">
        <v>1387</v>
      </c>
    </row>
    <row r="1987" spans="1:6" x14ac:dyDescent="0.2">
      <c r="A1987" s="10" t="s">
        <v>546</v>
      </c>
      <c r="B1987" s="10" t="s">
        <v>328</v>
      </c>
      <c r="C1987" s="10" t="s">
        <v>46</v>
      </c>
      <c r="D1987" s="10">
        <v>43213</v>
      </c>
      <c r="E1987" s="10" t="s">
        <v>5</v>
      </c>
      <c r="F1987" s="10">
        <v>809</v>
      </c>
    </row>
    <row r="1988" spans="1:6" x14ac:dyDescent="0.2">
      <c r="A1988" s="10" t="s">
        <v>546</v>
      </c>
      <c r="B1988" s="10" t="s">
        <v>328</v>
      </c>
      <c r="C1988" s="10" t="s">
        <v>46</v>
      </c>
      <c r="D1988" s="10">
        <v>43212</v>
      </c>
      <c r="E1988" s="10" t="s">
        <v>5</v>
      </c>
      <c r="F1988" s="10">
        <v>2404</v>
      </c>
    </row>
    <row r="1989" spans="1:6" x14ac:dyDescent="0.2">
      <c r="A1989" s="10" t="s">
        <v>546</v>
      </c>
      <c r="B1989" s="10" t="s">
        <v>293</v>
      </c>
      <c r="C1989" s="10" t="s">
        <v>46</v>
      </c>
      <c r="D1989" s="10">
        <v>43015</v>
      </c>
      <c r="E1989" s="10" t="s">
        <v>7</v>
      </c>
      <c r="F1989" s="10">
        <v>513</v>
      </c>
    </row>
    <row r="1990" spans="1:6" x14ac:dyDescent="0.2">
      <c r="A1990" s="10" t="s">
        <v>546</v>
      </c>
      <c r="B1990" s="10" t="s">
        <v>174</v>
      </c>
      <c r="C1990" s="10" t="s">
        <v>46</v>
      </c>
      <c r="D1990" s="10">
        <v>44094</v>
      </c>
      <c r="E1990" s="10" t="s">
        <v>7</v>
      </c>
      <c r="F1990" s="10">
        <v>3884</v>
      </c>
    </row>
    <row r="1991" spans="1:6" x14ac:dyDescent="0.2">
      <c r="A1991" s="10" t="s">
        <v>546</v>
      </c>
      <c r="B1991" s="10" t="s">
        <v>423</v>
      </c>
      <c r="C1991" s="10" t="s">
        <v>46</v>
      </c>
      <c r="D1991" s="10">
        <v>45459</v>
      </c>
      <c r="E1991" s="10" t="s">
        <v>6</v>
      </c>
      <c r="F1991" s="10">
        <v>742</v>
      </c>
    </row>
    <row r="1992" spans="1:6" x14ac:dyDescent="0.2">
      <c r="A1992" s="10" t="s">
        <v>546</v>
      </c>
      <c r="B1992" s="10" t="s">
        <v>326</v>
      </c>
      <c r="C1992" s="10" t="s">
        <v>46</v>
      </c>
      <c r="D1992" s="10">
        <v>45140</v>
      </c>
      <c r="E1992" s="10" t="s">
        <v>6</v>
      </c>
      <c r="F1992" s="10">
        <v>1013</v>
      </c>
    </row>
    <row r="1993" spans="1:6" x14ac:dyDescent="0.2">
      <c r="A1993" s="10" t="s">
        <v>546</v>
      </c>
      <c r="B1993" s="10" t="s">
        <v>423</v>
      </c>
      <c r="C1993" s="10" t="s">
        <v>46</v>
      </c>
      <c r="D1993" s="10">
        <v>45459</v>
      </c>
      <c r="E1993" s="10" t="s">
        <v>5</v>
      </c>
      <c r="F1993" s="10">
        <v>607</v>
      </c>
    </row>
    <row r="1994" spans="1:6" x14ac:dyDescent="0.2">
      <c r="A1994" s="10" t="s">
        <v>546</v>
      </c>
      <c r="B1994" s="10" t="s">
        <v>293</v>
      </c>
      <c r="C1994" s="10" t="s">
        <v>46</v>
      </c>
      <c r="D1994" s="10">
        <v>43035</v>
      </c>
      <c r="E1994" s="10" t="s">
        <v>5</v>
      </c>
      <c r="F1994" s="10">
        <v>3277</v>
      </c>
    </row>
    <row r="1995" spans="1:6" x14ac:dyDescent="0.2">
      <c r="A1995" s="10" t="s">
        <v>546</v>
      </c>
      <c r="B1995" s="10" t="s">
        <v>328</v>
      </c>
      <c r="C1995" s="10" t="s">
        <v>46</v>
      </c>
      <c r="D1995" s="10">
        <v>43017</v>
      </c>
      <c r="E1995" s="10" t="s">
        <v>8</v>
      </c>
      <c r="F1995" s="10">
        <v>105</v>
      </c>
    </row>
    <row r="1996" spans="1:6" x14ac:dyDescent="0.2">
      <c r="A1996" s="10" t="s">
        <v>546</v>
      </c>
      <c r="B1996" s="10" t="s">
        <v>326</v>
      </c>
      <c r="C1996" s="10" t="s">
        <v>46</v>
      </c>
      <c r="D1996" s="10">
        <v>45040</v>
      </c>
      <c r="E1996" s="10" t="s">
        <v>5</v>
      </c>
      <c r="F1996" s="10">
        <v>1696</v>
      </c>
    </row>
    <row r="1997" spans="1:6" x14ac:dyDescent="0.2">
      <c r="A1997" s="10" t="s">
        <v>546</v>
      </c>
      <c r="B1997" s="10" t="s">
        <v>328</v>
      </c>
      <c r="C1997" s="10" t="s">
        <v>46</v>
      </c>
      <c r="D1997" s="10">
        <v>43026</v>
      </c>
      <c r="E1997" s="10" t="s">
        <v>5</v>
      </c>
      <c r="F1997" s="10">
        <v>1503</v>
      </c>
    </row>
    <row r="1998" spans="1:6" x14ac:dyDescent="0.2">
      <c r="A1998" s="10" t="s">
        <v>546</v>
      </c>
      <c r="B1998" s="10" t="s">
        <v>423</v>
      </c>
      <c r="C1998" s="10" t="s">
        <v>46</v>
      </c>
      <c r="D1998" s="10">
        <v>45431</v>
      </c>
      <c r="E1998" s="10" t="s">
        <v>6</v>
      </c>
      <c r="F1998" s="10">
        <v>1050</v>
      </c>
    </row>
    <row r="1999" spans="1:6" x14ac:dyDescent="0.2">
      <c r="A1999" s="10" t="s">
        <v>546</v>
      </c>
      <c r="B1999" s="10" t="s">
        <v>74</v>
      </c>
      <c r="C1999" s="10" t="s">
        <v>46</v>
      </c>
      <c r="D1999" s="10">
        <v>45459</v>
      </c>
      <c r="E1999" s="10" t="s">
        <v>5</v>
      </c>
      <c r="F1999" s="10">
        <v>607</v>
      </c>
    </row>
    <row r="2000" spans="1:6" x14ac:dyDescent="0.2">
      <c r="A2000" s="10" t="s">
        <v>546</v>
      </c>
      <c r="B2000" s="10" t="s">
        <v>74</v>
      </c>
      <c r="C2000" s="10" t="s">
        <v>46</v>
      </c>
      <c r="D2000" s="10">
        <v>45414</v>
      </c>
      <c r="E2000" s="10" t="s">
        <v>6</v>
      </c>
      <c r="F2000" s="10">
        <v>993</v>
      </c>
    </row>
    <row r="2001" spans="1:6" x14ac:dyDescent="0.2">
      <c r="A2001" s="10" t="s">
        <v>546</v>
      </c>
      <c r="B2001" s="10" t="s">
        <v>74</v>
      </c>
      <c r="C2001" s="10" t="s">
        <v>46</v>
      </c>
      <c r="D2001" s="10">
        <v>45424</v>
      </c>
      <c r="E2001" s="10" t="s">
        <v>5</v>
      </c>
      <c r="F2001" s="10">
        <v>853</v>
      </c>
    </row>
    <row r="2002" spans="1:6" x14ac:dyDescent="0.2">
      <c r="A2002" s="10" t="s">
        <v>546</v>
      </c>
      <c r="B2002" s="10" t="s">
        <v>74</v>
      </c>
      <c r="C2002" s="10" t="s">
        <v>46</v>
      </c>
      <c r="D2002" s="10">
        <v>45459</v>
      </c>
      <c r="E2002" s="10" t="s">
        <v>6</v>
      </c>
      <c r="F2002" s="10">
        <v>742</v>
      </c>
    </row>
    <row r="2003" spans="1:6" x14ac:dyDescent="0.2">
      <c r="A2003" s="10" t="s">
        <v>546</v>
      </c>
      <c r="B2003" s="10" t="s">
        <v>556</v>
      </c>
      <c r="C2003" s="10" t="s">
        <v>46</v>
      </c>
      <c r="D2003" s="10">
        <v>44281</v>
      </c>
      <c r="E2003" s="10" t="s">
        <v>7</v>
      </c>
      <c r="F2003" s="10">
        <v>564</v>
      </c>
    </row>
    <row r="2004" spans="1:6" x14ac:dyDescent="0.2">
      <c r="A2004" s="10" t="s">
        <v>546</v>
      </c>
      <c r="B2004" s="10" t="s">
        <v>328</v>
      </c>
      <c r="C2004" s="10" t="s">
        <v>46</v>
      </c>
      <c r="D2004" s="10">
        <v>43219</v>
      </c>
      <c r="E2004" s="10" t="s">
        <v>5</v>
      </c>
      <c r="F2004" s="10">
        <v>1467</v>
      </c>
    </row>
    <row r="2005" spans="1:6" x14ac:dyDescent="0.2">
      <c r="A2005" s="10" t="s">
        <v>546</v>
      </c>
      <c r="B2005" s="10" t="s">
        <v>557</v>
      </c>
      <c r="C2005" s="10" t="s">
        <v>46</v>
      </c>
      <c r="D2005" s="10">
        <v>44906</v>
      </c>
      <c r="E2005" s="10" t="s">
        <v>7</v>
      </c>
      <c r="F2005" s="10">
        <v>879</v>
      </c>
    </row>
    <row r="2006" spans="1:6" x14ac:dyDescent="0.2">
      <c r="A2006" s="10" t="s">
        <v>546</v>
      </c>
      <c r="B2006" s="10" t="s">
        <v>328</v>
      </c>
      <c r="C2006" s="10" t="s">
        <v>46</v>
      </c>
      <c r="D2006" s="10">
        <v>43026</v>
      </c>
      <c r="E2006" s="10" t="s">
        <v>7</v>
      </c>
      <c r="F2006" s="10">
        <v>1127</v>
      </c>
    </row>
    <row r="2007" spans="1:6" x14ac:dyDescent="0.2">
      <c r="A2007" s="10" t="s">
        <v>546</v>
      </c>
      <c r="B2007" s="10" t="s">
        <v>558</v>
      </c>
      <c r="C2007" s="10" t="s">
        <v>46</v>
      </c>
      <c r="D2007" s="10">
        <v>43612</v>
      </c>
      <c r="E2007" s="10" t="s">
        <v>7</v>
      </c>
      <c r="F2007" s="10">
        <v>3543</v>
      </c>
    </row>
    <row r="2008" spans="1:6" x14ac:dyDescent="0.2">
      <c r="A2008" s="10" t="s">
        <v>546</v>
      </c>
      <c r="B2008" s="10" t="s">
        <v>328</v>
      </c>
      <c r="C2008" s="10" t="s">
        <v>46</v>
      </c>
      <c r="D2008" s="10">
        <v>43219</v>
      </c>
      <c r="E2008" s="10" t="s">
        <v>10</v>
      </c>
      <c r="F2008" s="10">
        <v>1592</v>
      </c>
    </row>
    <row r="2009" spans="1:6" x14ac:dyDescent="0.2">
      <c r="A2009" s="10" t="s">
        <v>546</v>
      </c>
      <c r="B2009" s="10" t="s">
        <v>559</v>
      </c>
      <c r="C2009" s="10" t="s">
        <v>46</v>
      </c>
      <c r="D2009" s="10">
        <v>43950</v>
      </c>
      <c r="E2009" s="10" t="s">
        <v>5</v>
      </c>
      <c r="F2009" s="10">
        <v>1458</v>
      </c>
    </row>
    <row r="2010" spans="1:6" x14ac:dyDescent="0.2">
      <c r="A2010" s="10" t="s">
        <v>546</v>
      </c>
      <c r="B2010" s="10" t="s">
        <v>74</v>
      </c>
      <c r="C2010" s="10" t="s">
        <v>46</v>
      </c>
      <c r="D2010" s="10">
        <v>45424</v>
      </c>
      <c r="E2010" s="10" t="s">
        <v>8</v>
      </c>
      <c r="F2010" s="10">
        <v>746</v>
      </c>
    </row>
    <row r="2011" spans="1:6" x14ac:dyDescent="0.2">
      <c r="A2011" s="10" t="s">
        <v>546</v>
      </c>
      <c r="B2011" s="10" t="s">
        <v>293</v>
      </c>
      <c r="C2011" s="10" t="s">
        <v>46</v>
      </c>
      <c r="D2011" s="10">
        <v>43240</v>
      </c>
      <c r="E2011" s="10" t="s">
        <v>7</v>
      </c>
      <c r="F2011" s="10">
        <v>1491</v>
      </c>
    </row>
    <row r="2012" spans="1:6" x14ac:dyDescent="0.2">
      <c r="A2012" s="10" t="s">
        <v>546</v>
      </c>
      <c r="B2012" s="10" t="s">
        <v>558</v>
      </c>
      <c r="C2012" s="10" t="s">
        <v>46</v>
      </c>
      <c r="D2012" s="10">
        <v>43528</v>
      </c>
      <c r="E2012" s="10" t="s">
        <v>7</v>
      </c>
      <c r="F2012" s="10">
        <v>1558</v>
      </c>
    </row>
    <row r="2013" spans="1:6" x14ac:dyDescent="0.2">
      <c r="A2013" s="10" t="s">
        <v>546</v>
      </c>
      <c r="B2013" s="10" t="s">
        <v>556</v>
      </c>
      <c r="C2013" s="10" t="s">
        <v>46</v>
      </c>
      <c r="D2013" s="10">
        <v>44256</v>
      </c>
      <c r="E2013" s="10" t="s">
        <v>5</v>
      </c>
      <c r="F2013" s="10">
        <v>1296</v>
      </c>
    </row>
    <row r="2014" spans="1:6" x14ac:dyDescent="0.2">
      <c r="A2014" s="10" t="s">
        <v>546</v>
      </c>
      <c r="B2014" s="10" t="s">
        <v>560</v>
      </c>
      <c r="C2014" s="10" t="s">
        <v>46</v>
      </c>
      <c r="D2014" s="10">
        <v>44663</v>
      </c>
      <c r="E2014" s="10" t="s">
        <v>5</v>
      </c>
      <c r="F2014" s="10">
        <v>1635</v>
      </c>
    </row>
    <row r="2015" spans="1:6" x14ac:dyDescent="0.2">
      <c r="A2015" s="10" t="s">
        <v>546</v>
      </c>
      <c r="B2015" s="10" t="s">
        <v>328</v>
      </c>
      <c r="C2015" s="10" t="s">
        <v>46</v>
      </c>
      <c r="D2015" s="10">
        <v>43026</v>
      </c>
      <c r="E2015" s="10" t="s">
        <v>8</v>
      </c>
      <c r="F2015" s="10">
        <v>369</v>
      </c>
    </row>
    <row r="2016" spans="1:6" x14ac:dyDescent="0.2">
      <c r="A2016" s="10" t="s">
        <v>546</v>
      </c>
      <c r="B2016" s="10" t="s">
        <v>558</v>
      </c>
      <c r="C2016" s="10" t="s">
        <v>46</v>
      </c>
      <c r="D2016" s="10">
        <v>43623</v>
      </c>
      <c r="E2016" s="10" t="s">
        <v>7</v>
      </c>
      <c r="F2016" s="10">
        <v>1665</v>
      </c>
    </row>
    <row r="2017" spans="1:6" x14ac:dyDescent="0.2">
      <c r="A2017" s="10" t="s">
        <v>546</v>
      </c>
      <c r="B2017" s="10" t="s">
        <v>74</v>
      </c>
      <c r="C2017" s="10" t="s">
        <v>46</v>
      </c>
      <c r="D2017" s="10">
        <v>45426</v>
      </c>
      <c r="E2017" s="10" t="s">
        <v>6</v>
      </c>
      <c r="F2017" s="10">
        <v>652</v>
      </c>
    </row>
    <row r="2018" spans="1:6" x14ac:dyDescent="0.2">
      <c r="A2018" s="10" t="s">
        <v>546</v>
      </c>
      <c r="B2018" s="10" t="s">
        <v>328</v>
      </c>
      <c r="C2018" s="10" t="s">
        <v>46</v>
      </c>
      <c r="D2018" s="10">
        <v>43212</v>
      </c>
      <c r="E2018" s="10" t="s">
        <v>8</v>
      </c>
      <c r="F2018" s="10">
        <v>422</v>
      </c>
    </row>
    <row r="2019" spans="1:6" x14ac:dyDescent="0.2">
      <c r="A2019" s="10" t="s">
        <v>546</v>
      </c>
      <c r="B2019" s="10" t="s">
        <v>561</v>
      </c>
      <c r="C2019" s="10" t="s">
        <v>46</v>
      </c>
      <c r="D2019" s="10">
        <v>43512</v>
      </c>
      <c r="E2019" s="10" t="s">
        <v>7</v>
      </c>
      <c r="F2019" s="10">
        <v>2150</v>
      </c>
    </row>
    <row r="2020" spans="1:6" x14ac:dyDescent="0.2">
      <c r="A2020" s="10" t="s">
        <v>546</v>
      </c>
      <c r="B2020" s="10" t="s">
        <v>308</v>
      </c>
      <c r="C2020" s="10" t="s">
        <v>46</v>
      </c>
      <c r="D2020" s="10">
        <v>45504</v>
      </c>
      <c r="E2020" s="10" t="s">
        <v>7</v>
      </c>
      <c r="F2020" s="10">
        <v>2330</v>
      </c>
    </row>
    <row r="2021" spans="1:6" x14ac:dyDescent="0.2">
      <c r="A2021" s="10" t="s">
        <v>546</v>
      </c>
      <c r="B2021" s="10" t="s">
        <v>328</v>
      </c>
      <c r="C2021" s="10" t="s">
        <v>46</v>
      </c>
      <c r="D2021" s="10">
        <v>43123</v>
      </c>
      <c r="E2021" s="10" t="s">
        <v>5</v>
      </c>
      <c r="F2021" s="10">
        <v>2450</v>
      </c>
    </row>
    <row r="2022" spans="1:6" x14ac:dyDescent="0.2">
      <c r="A2022" s="10" t="s">
        <v>546</v>
      </c>
      <c r="B2022" s="10" t="s">
        <v>174</v>
      </c>
      <c r="C2022" s="10" t="s">
        <v>46</v>
      </c>
      <c r="D2022" s="10">
        <v>44060</v>
      </c>
      <c r="E2022" s="10" t="s">
        <v>5</v>
      </c>
      <c r="F2022" s="10">
        <v>460</v>
      </c>
    </row>
    <row r="2023" spans="1:6" x14ac:dyDescent="0.2">
      <c r="A2023" s="10" t="s">
        <v>546</v>
      </c>
      <c r="B2023" s="10" t="s">
        <v>562</v>
      </c>
      <c r="C2023" s="10" t="s">
        <v>47</v>
      </c>
      <c r="D2023" s="10">
        <v>45373</v>
      </c>
      <c r="E2023" s="10" t="s">
        <v>5</v>
      </c>
      <c r="F2023" s="10">
        <v>1259</v>
      </c>
    </row>
    <row r="2024" spans="1:6" x14ac:dyDescent="0.2">
      <c r="A2024" s="10" t="s">
        <v>546</v>
      </c>
      <c r="B2024" s="10" t="s">
        <v>307</v>
      </c>
      <c r="C2024" s="10" t="s">
        <v>47</v>
      </c>
      <c r="D2024" s="10">
        <v>43050</v>
      </c>
      <c r="E2024" s="10" t="s">
        <v>5</v>
      </c>
      <c r="F2024" s="10">
        <v>1852</v>
      </c>
    </row>
    <row r="2025" spans="1:6" x14ac:dyDescent="0.2">
      <c r="A2025" s="10" t="s">
        <v>546</v>
      </c>
      <c r="B2025" s="10" t="s">
        <v>563</v>
      </c>
      <c r="C2025" s="10" t="s">
        <v>47</v>
      </c>
      <c r="D2025" s="10">
        <v>44446</v>
      </c>
      <c r="E2025" s="10" t="s">
        <v>5</v>
      </c>
      <c r="F2025" s="10">
        <v>2805</v>
      </c>
    </row>
    <row r="2026" spans="1:6" x14ac:dyDescent="0.2">
      <c r="A2026" s="10" t="s">
        <v>546</v>
      </c>
      <c r="B2026" s="10" t="s">
        <v>162</v>
      </c>
      <c r="C2026" s="10" t="s">
        <v>47</v>
      </c>
      <c r="D2026" s="10">
        <v>43068</v>
      </c>
      <c r="E2026" s="10" t="s">
        <v>5</v>
      </c>
      <c r="F2026" s="10">
        <v>1483</v>
      </c>
    </row>
    <row r="2027" spans="1:6" x14ac:dyDescent="0.2">
      <c r="A2027" s="10" t="s">
        <v>546</v>
      </c>
      <c r="B2027" s="10" t="s">
        <v>564</v>
      </c>
      <c r="C2027" s="10" t="s">
        <v>47</v>
      </c>
      <c r="D2027" s="10">
        <v>43701</v>
      </c>
      <c r="E2027" s="10" t="s">
        <v>5</v>
      </c>
      <c r="F2027" s="10">
        <v>2254</v>
      </c>
    </row>
    <row r="2028" spans="1:6" x14ac:dyDescent="0.2">
      <c r="A2028" s="10" t="s">
        <v>546</v>
      </c>
      <c r="B2028" s="10" t="s">
        <v>75</v>
      </c>
      <c r="C2028" s="10" t="s">
        <v>47</v>
      </c>
      <c r="D2028" s="10">
        <v>43952</v>
      </c>
      <c r="E2028" s="10" t="s">
        <v>7</v>
      </c>
      <c r="F2028" s="10">
        <v>2066</v>
      </c>
    </row>
    <row r="2029" spans="1:6" x14ac:dyDescent="0.2">
      <c r="A2029" s="10" t="s">
        <v>546</v>
      </c>
      <c r="B2029" s="10" t="s">
        <v>155</v>
      </c>
      <c r="C2029" s="10" t="s">
        <v>47</v>
      </c>
      <c r="D2029" s="10">
        <v>44333</v>
      </c>
      <c r="E2029" s="10" t="s">
        <v>7</v>
      </c>
      <c r="F2029" s="10">
        <v>657</v>
      </c>
    </row>
    <row r="2030" spans="1:6" x14ac:dyDescent="0.2">
      <c r="A2030" s="10" t="s">
        <v>546</v>
      </c>
      <c r="B2030" s="10" t="s">
        <v>565</v>
      </c>
      <c r="C2030" s="10" t="s">
        <v>47</v>
      </c>
      <c r="D2030" s="10">
        <v>44512</v>
      </c>
      <c r="E2030" s="10" t="s">
        <v>7</v>
      </c>
      <c r="F2030" s="10">
        <v>5110</v>
      </c>
    </row>
    <row r="2031" spans="1:6" x14ac:dyDescent="0.2">
      <c r="A2031" s="10" t="s">
        <v>546</v>
      </c>
      <c r="B2031" s="10" t="s">
        <v>566</v>
      </c>
      <c r="C2031" s="10" t="s">
        <v>47</v>
      </c>
      <c r="D2031" s="10">
        <v>43551</v>
      </c>
      <c r="E2031" s="10" t="s">
        <v>7</v>
      </c>
      <c r="F2031" s="10">
        <v>1161</v>
      </c>
    </row>
    <row r="2032" spans="1:6" x14ac:dyDescent="0.2">
      <c r="A2032" s="10" t="s">
        <v>546</v>
      </c>
      <c r="B2032" s="10" t="s">
        <v>205</v>
      </c>
      <c r="C2032" s="10" t="s">
        <v>47</v>
      </c>
      <c r="D2032" s="10">
        <v>43302</v>
      </c>
      <c r="E2032" s="10" t="s">
        <v>6</v>
      </c>
      <c r="F2032" s="10">
        <v>1445</v>
      </c>
    </row>
    <row r="2033" spans="1:6" x14ac:dyDescent="0.2">
      <c r="A2033" s="10" t="s">
        <v>546</v>
      </c>
      <c r="B2033" s="10" t="s">
        <v>566</v>
      </c>
      <c r="C2033" s="10" t="s">
        <v>47</v>
      </c>
      <c r="D2033" s="10">
        <v>43402</v>
      </c>
      <c r="E2033" s="10" t="s">
        <v>5</v>
      </c>
      <c r="F2033" s="10">
        <v>256</v>
      </c>
    </row>
    <row r="2034" spans="1:6" x14ac:dyDescent="0.2">
      <c r="A2034" s="10" t="s">
        <v>546</v>
      </c>
      <c r="B2034" s="10" t="s">
        <v>155</v>
      </c>
      <c r="C2034" s="10" t="s">
        <v>47</v>
      </c>
      <c r="D2034" s="10">
        <v>44056</v>
      </c>
      <c r="E2034" s="10" t="s">
        <v>7</v>
      </c>
      <c r="F2034" s="10">
        <v>794</v>
      </c>
    </row>
    <row r="2035" spans="1:6" x14ac:dyDescent="0.2">
      <c r="A2035" s="10" t="s">
        <v>546</v>
      </c>
      <c r="B2035" s="10" t="s">
        <v>155</v>
      </c>
      <c r="C2035" s="10" t="s">
        <v>47</v>
      </c>
      <c r="D2035" s="10">
        <v>44224</v>
      </c>
      <c r="E2035" s="10" t="s">
        <v>7</v>
      </c>
      <c r="F2035" s="10">
        <v>1451</v>
      </c>
    </row>
    <row r="2036" spans="1:6" x14ac:dyDescent="0.2">
      <c r="A2036" s="10" t="s">
        <v>546</v>
      </c>
      <c r="B2036" s="10" t="s">
        <v>155</v>
      </c>
      <c r="C2036" s="10" t="s">
        <v>47</v>
      </c>
      <c r="D2036" s="10">
        <v>44310</v>
      </c>
      <c r="E2036" s="10" t="s">
        <v>8</v>
      </c>
      <c r="F2036" s="10">
        <v>354</v>
      </c>
    </row>
    <row r="2037" spans="1:6" x14ac:dyDescent="0.2">
      <c r="A2037" s="10" t="s">
        <v>546</v>
      </c>
      <c r="B2037" s="10" t="s">
        <v>155</v>
      </c>
      <c r="C2037" s="10" t="s">
        <v>47</v>
      </c>
      <c r="D2037" s="10">
        <v>44333</v>
      </c>
      <c r="E2037" s="10" t="s">
        <v>5</v>
      </c>
      <c r="F2037" s="10">
        <v>2925</v>
      </c>
    </row>
    <row r="2038" spans="1:6" x14ac:dyDescent="0.2">
      <c r="A2038" s="10" t="s">
        <v>546</v>
      </c>
      <c r="B2038" s="10" t="s">
        <v>155</v>
      </c>
      <c r="C2038" s="10" t="s">
        <v>47</v>
      </c>
      <c r="D2038" s="10">
        <v>44312</v>
      </c>
      <c r="E2038" s="10" t="s">
        <v>5</v>
      </c>
      <c r="F2038" s="10">
        <v>1392</v>
      </c>
    </row>
    <row r="2039" spans="1:6" x14ac:dyDescent="0.2">
      <c r="A2039" s="10" t="s">
        <v>546</v>
      </c>
      <c r="B2039" s="10" t="s">
        <v>162</v>
      </c>
      <c r="C2039" s="10" t="s">
        <v>47</v>
      </c>
      <c r="D2039" s="10">
        <v>43068</v>
      </c>
      <c r="E2039" s="10" t="s">
        <v>7</v>
      </c>
      <c r="F2039" s="10">
        <v>1194</v>
      </c>
    </row>
    <row r="2040" spans="1:6" x14ac:dyDescent="0.2">
      <c r="A2040" s="10" t="s">
        <v>546</v>
      </c>
      <c r="B2040" s="10" t="s">
        <v>155</v>
      </c>
      <c r="C2040" s="10" t="s">
        <v>47</v>
      </c>
      <c r="D2040" s="10">
        <v>44221</v>
      </c>
      <c r="E2040" s="10" t="s">
        <v>5</v>
      </c>
      <c r="F2040" s="10">
        <v>546</v>
      </c>
    </row>
    <row r="2041" spans="1:6" x14ac:dyDescent="0.2">
      <c r="A2041" s="10" t="s">
        <v>546</v>
      </c>
      <c r="B2041" s="10" t="s">
        <v>162</v>
      </c>
      <c r="C2041" s="10" t="s">
        <v>47</v>
      </c>
      <c r="D2041" s="10">
        <v>43130</v>
      </c>
      <c r="E2041" s="10" t="s">
        <v>7</v>
      </c>
      <c r="F2041" s="10">
        <v>1335</v>
      </c>
    </row>
    <row r="2042" spans="1:6" x14ac:dyDescent="0.2">
      <c r="A2042" s="10" t="s">
        <v>567</v>
      </c>
      <c r="B2042" s="10" t="s">
        <v>568</v>
      </c>
      <c r="C2042" s="10" t="s">
        <v>45</v>
      </c>
      <c r="D2042" s="10">
        <v>74055</v>
      </c>
      <c r="E2042" s="10" t="s">
        <v>6</v>
      </c>
      <c r="F2042" s="10">
        <v>1520</v>
      </c>
    </row>
    <row r="2043" spans="1:6" x14ac:dyDescent="0.2">
      <c r="A2043" s="10" t="s">
        <v>567</v>
      </c>
      <c r="B2043" s="10" t="s">
        <v>312</v>
      </c>
      <c r="C2043" s="10" t="s">
        <v>45</v>
      </c>
      <c r="D2043" s="10">
        <v>74804</v>
      </c>
      <c r="E2043" s="10" t="s">
        <v>5</v>
      </c>
      <c r="F2043" s="10">
        <v>3773</v>
      </c>
    </row>
    <row r="2044" spans="1:6" x14ac:dyDescent="0.2">
      <c r="A2044" s="10" t="s">
        <v>567</v>
      </c>
      <c r="B2044" s="10" t="s">
        <v>569</v>
      </c>
      <c r="C2044" s="10" t="s">
        <v>45</v>
      </c>
      <c r="D2044" s="10">
        <v>74601</v>
      </c>
      <c r="E2044" s="10" t="s">
        <v>5</v>
      </c>
      <c r="F2044" s="10">
        <v>1500</v>
      </c>
    </row>
    <row r="2045" spans="1:6" x14ac:dyDescent="0.2">
      <c r="A2045" s="10" t="s">
        <v>567</v>
      </c>
      <c r="B2045" s="10" t="s">
        <v>568</v>
      </c>
      <c r="C2045" s="10" t="s">
        <v>45</v>
      </c>
      <c r="D2045" s="10">
        <v>74112</v>
      </c>
      <c r="E2045" s="10" t="s">
        <v>8</v>
      </c>
      <c r="F2045" s="10">
        <v>417</v>
      </c>
    </row>
    <row r="2046" spans="1:6" x14ac:dyDescent="0.2">
      <c r="A2046" s="10" t="s">
        <v>567</v>
      </c>
      <c r="B2046" s="10" t="s">
        <v>568</v>
      </c>
      <c r="C2046" s="10" t="s">
        <v>45</v>
      </c>
      <c r="D2046" s="10">
        <v>74136</v>
      </c>
      <c r="E2046" s="10" t="s">
        <v>6</v>
      </c>
      <c r="F2046" s="10">
        <v>1419</v>
      </c>
    </row>
    <row r="2047" spans="1:6" x14ac:dyDescent="0.2">
      <c r="A2047" s="10" t="s">
        <v>567</v>
      </c>
      <c r="B2047" s="10" t="s">
        <v>568</v>
      </c>
      <c r="C2047" s="10" t="s">
        <v>45</v>
      </c>
      <c r="D2047" s="10">
        <v>74145</v>
      </c>
      <c r="E2047" s="10" t="s">
        <v>6</v>
      </c>
      <c r="F2047" s="10">
        <v>1147</v>
      </c>
    </row>
    <row r="2048" spans="1:6" x14ac:dyDescent="0.2">
      <c r="A2048" s="10" t="s">
        <v>567</v>
      </c>
      <c r="B2048" s="10" t="s">
        <v>568</v>
      </c>
      <c r="C2048" s="10" t="s">
        <v>45</v>
      </c>
      <c r="D2048" s="10">
        <v>74112</v>
      </c>
      <c r="E2048" s="10" t="s">
        <v>6</v>
      </c>
      <c r="F2048" s="10">
        <v>810</v>
      </c>
    </row>
    <row r="2049" spans="1:6" x14ac:dyDescent="0.2">
      <c r="A2049" s="10" t="s">
        <v>567</v>
      </c>
      <c r="B2049" s="10" t="s">
        <v>570</v>
      </c>
      <c r="C2049" s="10" t="s">
        <v>45</v>
      </c>
      <c r="D2049" s="10">
        <v>73099</v>
      </c>
      <c r="E2049" s="10" t="s">
        <v>5</v>
      </c>
      <c r="F2049" s="10">
        <v>3337</v>
      </c>
    </row>
    <row r="2050" spans="1:6" x14ac:dyDescent="0.2">
      <c r="A2050" s="10" t="s">
        <v>567</v>
      </c>
      <c r="B2050" s="10" t="s">
        <v>568</v>
      </c>
      <c r="C2050" s="10" t="s">
        <v>45</v>
      </c>
      <c r="D2050" s="10">
        <v>74133</v>
      </c>
      <c r="E2050" s="10" t="s">
        <v>5</v>
      </c>
      <c r="F2050" s="10">
        <v>1299</v>
      </c>
    </row>
    <row r="2051" spans="1:6" x14ac:dyDescent="0.2">
      <c r="A2051" s="10" t="s">
        <v>567</v>
      </c>
      <c r="B2051" s="10" t="s">
        <v>568</v>
      </c>
      <c r="C2051" s="10" t="s">
        <v>45</v>
      </c>
      <c r="D2051" s="10">
        <v>74012</v>
      </c>
      <c r="E2051" s="10" t="s">
        <v>8</v>
      </c>
      <c r="F2051" s="10">
        <v>1506</v>
      </c>
    </row>
    <row r="2052" spans="1:6" x14ac:dyDescent="0.2">
      <c r="A2052" s="10" t="s">
        <v>567</v>
      </c>
      <c r="B2052" s="10" t="s">
        <v>568</v>
      </c>
      <c r="C2052" s="10" t="s">
        <v>45</v>
      </c>
      <c r="D2052" s="10">
        <v>74133</v>
      </c>
      <c r="E2052" s="10" t="s">
        <v>6</v>
      </c>
      <c r="F2052" s="10">
        <v>2255</v>
      </c>
    </row>
    <row r="2053" spans="1:6" x14ac:dyDescent="0.2">
      <c r="A2053" s="10" t="s">
        <v>567</v>
      </c>
      <c r="B2053" s="10" t="s">
        <v>571</v>
      </c>
      <c r="C2053" s="10" t="s">
        <v>45</v>
      </c>
      <c r="D2053" s="10">
        <v>74820</v>
      </c>
      <c r="E2053" s="10" t="s">
        <v>5</v>
      </c>
      <c r="F2053" s="10">
        <v>2792</v>
      </c>
    </row>
    <row r="2054" spans="1:6" x14ac:dyDescent="0.2">
      <c r="A2054" s="10" t="s">
        <v>567</v>
      </c>
      <c r="B2054" s="10" t="s">
        <v>568</v>
      </c>
      <c r="C2054" s="10" t="s">
        <v>45</v>
      </c>
      <c r="D2054" s="10">
        <v>74132</v>
      </c>
      <c r="E2054" s="10" t="s">
        <v>5</v>
      </c>
      <c r="F2054" s="10">
        <v>2084</v>
      </c>
    </row>
    <row r="2055" spans="1:6" x14ac:dyDescent="0.2">
      <c r="A2055" s="10" t="s">
        <v>567</v>
      </c>
      <c r="B2055" s="10" t="s">
        <v>568</v>
      </c>
      <c r="C2055" s="10" t="s">
        <v>45</v>
      </c>
      <c r="D2055" s="10">
        <v>74104</v>
      </c>
      <c r="E2055" s="10" t="s">
        <v>6</v>
      </c>
      <c r="F2055" s="10">
        <v>2289</v>
      </c>
    </row>
    <row r="2056" spans="1:6" x14ac:dyDescent="0.2">
      <c r="A2056" s="10" t="s">
        <v>567</v>
      </c>
      <c r="B2056" s="10" t="s">
        <v>568</v>
      </c>
      <c r="C2056" s="10" t="s">
        <v>45</v>
      </c>
      <c r="D2056" s="10">
        <v>74114</v>
      </c>
      <c r="E2056" s="10" t="s">
        <v>5</v>
      </c>
      <c r="F2056" s="10">
        <v>1657</v>
      </c>
    </row>
    <row r="2057" spans="1:6" x14ac:dyDescent="0.2">
      <c r="A2057" s="10" t="s">
        <v>567</v>
      </c>
      <c r="B2057" s="10" t="s">
        <v>572</v>
      </c>
      <c r="C2057" s="10" t="s">
        <v>46</v>
      </c>
      <c r="D2057" s="10">
        <v>73505</v>
      </c>
      <c r="E2057" s="10" t="s">
        <v>5</v>
      </c>
      <c r="F2057" s="10">
        <v>2076</v>
      </c>
    </row>
    <row r="2058" spans="1:6" x14ac:dyDescent="0.2">
      <c r="A2058" s="10" t="s">
        <v>567</v>
      </c>
      <c r="B2058" s="10" t="s">
        <v>82</v>
      </c>
      <c r="C2058" s="10" t="s">
        <v>46</v>
      </c>
      <c r="D2058" s="10">
        <v>74006</v>
      </c>
      <c r="E2058" s="10" t="s">
        <v>5</v>
      </c>
      <c r="F2058" s="10">
        <v>735</v>
      </c>
    </row>
    <row r="2059" spans="1:6" x14ac:dyDescent="0.2">
      <c r="A2059" s="10" t="s">
        <v>567</v>
      </c>
      <c r="B2059" s="10" t="s">
        <v>573</v>
      </c>
      <c r="C2059" s="10" t="s">
        <v>47</v>
      </c>
      <c r="D2059" s="10">
        <v>74075</v>
      </c>
      <c r="E2059" s="10" t="s">
        <v>5</v>
      </c>
      <c r="F2059" s="10">
        <v>1094</v>
      </c>
    </row>
    <row r="2060" spans="1:6" x14ac:dyDescent="0.2">
      <c r="A2060" s="10" t="s">
        <v>567</v>
      </c>
      <c r="B2060" s="10" t="s">
        <v>574</v>
      </c>
      <c r="C2060" s="10" t="s">
        <v>47</v>
      </c>
      <c r="D2060" s="10">
        <v>73034</v>
      </c>
      <c r="E2060" s="10" t="s">
        <v>6</v>
      </c>
      <c r="F2060" s="10">
        <v>1696</v>
      </c>
    </row>
    <row r="2061" spans="1:6" x14ac:dyDescent="0.2">
      <c r="A2061" s="10" t="s">
        <v>567</v>
      </c>
      <c r="B2061" s="10" t="s">
        <v>574</v>
      </c>
      <c r="C2061" s="10" t="s">
        <v>47</v>
      </c>
      <c r="D2061" s="10">
        <v>73013</v>
      </c>
      <c r="E2061" s="10" t="s">
        <v>8</v>
      </c>
      <c r="F2061" s="10">
        <v>3677</v>
      </c>
    </row>
    <row r="2062" spans="1:6" x14ac:dyDescent="0.2">
      <c r="A2062" s="10" t="s">
        <v>567</v>
      </c>
      <c r="B2062" s="10" t="s">
        <v>574</v>
      </c>
      <c r="C2062" s="10" t="s">
        <v>47</v>
      </c>
      <c r="D2062" s="10">
        <v>73128</v>
      </c>
      <c r="E2062" s="10" t="s">
        <v>6</v>
      </c>
      <c r="F2062" s="10">
        <v>1514</v>
      </c>
    </row>
    <row r="2063" spans="1:6" x14ac:dyDescent="0.2">
      <c r="A2063" s="10" t="s">
        <v>567</v>
      </c>
      <c r="B2063" s="10" t="s">
        <v>471</v>
      </c>
      <c r="C2063" s="10" t="s">
        <v>47</v>
      </c>
      <c r="D2063" s="10">
        <v>73160</v>
      </c>
      <c r="E2063" s="10" t="s">
        <v>6</v>
      </c>
      <c r="F2063" s="10">
        <v>2131</v>
      </c>
    </row>
    <row r="2064" spans="1:6" x14ac:dyDescent="0.2">
      <c r="A2064" s="10" t="s">
        <v>567</v>
      </c>
      <c r="B2064" s="10" t="s">
        <v>575</v>
      </c>
      <c r="C2064" s="10" t="s">
        <v>47</v>
      </c>
      <c r="D2064" s="10">
        <v>74401</v>
      </c>
      <c r="E2064" s="10" t="s">
        <v>6</v>
      </c>
      <c r="F2064" s="10">
        <v>1216</v>
      </c>
    </row>
    <row r="2065" spans="1:6" x14ac:dyDescent="0.2">
      <c r="A2065" s="10" t="s">
        <v>567</v>
      </c>
      <c r="B2065" s="10" t="s">
        <v>574</v>
      </c>
      <c r="C2065" s="10" t="s">
        <v>47</v>
      </c>
      <c r="D2065" s="10">
        <v>73110</v>
      </c>
      <c r="E2065" s="10" t="s">
        <v>6</v>
      </c>
      <c r="F2065" s="10">
        <v>3908</v>
      </c>
    </row>
    <row r="2066" spans="1:6" x14ac:dyDescent="0.2">
      <c r="A2066" s="10" t="s">
        <v>567</v>
      </c>
      <c r="B2066" s="10" t="s">
        <v>471</v>
      </c>
      <c r="C2066" s="10" t="s">
        <v>47</v>
      </c>
      <c r="D2066" s="10">
        <v>73069</v>
      </c>
      <c r="E2066" s="10" t="s">
        <v>6</v>
      </c>
      <c r="F2066" s="10">
        <v>1974</v>
      </c>
    </row>
    <row r="2067" spans="1:6" x14ac:dyDescent="0.2">
      <c r="A2067" s="10" t="s">
        <v>567</v>
      </c>
      <c r="B2067" s="10" t="s">
        <v>574</v>
      </c>
      <c r="C2067" s="10" t="s">
        <v>47</v>
      </c>
      <c r="D2067" s="10">
        <v>73132</v>
      </c>
      <c r="E2067" s="10" t="s">
        <v>6</v>
      </c>
      <c r="F2067" s="10">
        <v>4674</v>
      </c>
    </row>
    <row r="2068" spans="1:6" x14ac:dyDescent="0.2">
      <c r="A2068" s="10" t="s">
        <v>567</v>
      </c>
      <c r="B2068" s="10" t="s">
        <v>574</v>
      </c>
      <c r="C2068" s="10" t="s">
        <v>47</v>
      </c>
      <c r="D2068" s="10">
        <v>73112</v>
      </c>
      <c r="E2068" s="10" t="s">
        <v>6</v>
      </c>
      <c r="F2068" s="10">
        <v>1081</v>
      </c>
    </row>
    <row r="2069" spans="1:6" x14ac:dyDescent="0.2">
      <c r="A2069" s="10" t="s">
        <v>567</v>
      </c>
      <c r="B2069" s="10" t="s">
        <v>576</v>
      </c>
      <c r="C2069" s="10" t="s">
        <v>47</v>
      </c>
      <c r="D2069" s="10">
        <v>73401</v>
      </c>
      <c r="E2069" s="10" t="s">
        <v>5</v>
      </c>
      <c r="F2069" s="10">
        <v>2501</v>
      </c>
    </row>
    <row r="2070" spans="1:6" x14ac:dyDescent="0.2">
      <c r="A2070" s="10" t="s">
        <v>567</v>
      </c>
      <c r="B2070" s="10" t="s">
        <v>574</v>
      </c>
      <c r="C2070" s="10" t="s">
        <v>47</v>
      </c>
      <c r="D2070" s="10">
        <v>73134</v>
      </c>
      <c r="E2070" s="10" t="s">
        <v>6</v>
      </c>
      <c r="F2070" s="10">
        <v>2090</v>
      </c>
    </row>
    <row r="2071" spans="1:6" x14ac:dyDescent="0.2">
      <c r="A2071" s="10" t="s">
        <v>567</v>
      </c>
      <c r="B2071" s="10" t="s">
        <v>574</v>
      </c>
      <c r="C2071" s="10" t="s">
        <v>47</v>
      </c>
      <c r="D2071" s="10">
        <v>73116</v>
      </c>
      <c r="E2071" s="10" t="s">
        <v>5</v>
      </c>
      <c r="F2071" s="10">
        <v>1981</v>
      </c>
    </row>
    <row r="2072" spans="1:6" x14ac:dyDescent="0.2">
      <c r="A2072" s="10" t="s">
        <v>567</v>
      </c>
      <c r="B2072" s="10" t="s">
        <v>574</v>
      </c>
      <c r="C2072" s="10" t="s">
        <v>47</v>
      </c>
      <c r="D2072" s="10">
        <v>73139</v>
      </c>
      <c r="E2072" s="10" t="s">
        <v>6</v>
      </c>
      <c r="F2072" s="10">
        <v>2100</v>
      </c>
    </row>
    <row r="2073" spans="1:6" x14ac:dyDescent="0.2">
      <c r="A2073" s="10" t="s">
        <v>567</v>
      </c>
      <c r="B2073" s="10" t="s">
        <v>574</v>
      </c>
      <c r="C2073" s="10" t="s">
        <v>47</v>
      </c>
      <c r="D2073" s="10">
        <v>73139</v>
      </c>
      <c r="E2073" s="10" t="s">
        <v>5</v>
      </c>
      <c r="F2073" s="10">
        <v>1691</v>
      </c>
    </row>
    <row r="2074" spans="1:6" x14ac:dyDescent="0.2">
      <c r="A2074" s="10" t="s">
        <v>567</v>
      </c>
      <c r="B2074" s="10" t="s">
        <v>153</v>
      </c>
      <c r="C2074" s="10" t="s">
        <v>47</v>
      </c>
      <c r="D2074" s="10">
        <v>73703</v>
      </c>
      <c r="E2074" s="10" t="s">
        <v>5</v>
      </c>
      <c r="F2074" s="10">
        <v>1739</v>
      </c>
    </row>
    <row r="2075" spans="1:6" x14ac:dyDescent="0.2">
      <c r="A2075" s="10" t="s">
        <v>577</v>
      </c>
      <c r="B2075" s="10" t="s">
        <v>578</v>
      </c>
      <c r="C2075" s="10" t="s">
        <v>45</v>
      </c>
      <c r="D2075" s="10">
        <v>97128</v>
      </c>
      <c r="E2075" s="10" t="s">
        <v>5</v>
      </c>
      <c r="F2075" s="10">
        <v>1480</v>
      </c>
    </row>
    <row r="2076" spans="1:6" x14ac:dyDescent="0.2">
      <c r="A2076" s="10" t="s">
        <v>577</v>
      </c>
      <c r="B2076" s="10" t="s">
        <v>579</v>
      </c>
      <c r="C2076" s="10" t="s">
        <v>45</v>
      </c>
      <c r="D2076" s="10">
        <v>97214</v>
      </c>
      <c r="E2076" s="10" t="s">
        <v>6</v>
      </c>
      <c r="F2076" s="10">
        <v>817</v>
      </c>
    </row>
    <row r="2077" spans="1:6" x14ac:dyDescent="0.2">
      <c r="A2077" s="10" t="s">
        <v>577</v>
      </c>
      <c r="B2077" s="10" t="s">
        <v>580</v>
      </c>
      <c r="C2077" s="10" t="s">
        <v>45</v>
      </c>
      <c r="D2077" s="10">
        <v>97603</v>
      </c>
      <c r="E2077" s="10" t="s">
        <v>5</v>
      </c>
      <c r="F2077" s="10">
        <v>1142</v>
      </c>
    </row>
    <row r="2078" spans="1:6" x14ac:dyDescent="0.2">
      <c r="A2078" s="10" t="s">
        <v>577</v>
      </c>
      <c r="B2078" s="10" t="s">
        <v>579</v>
      </c>
      <c r="C2078" s="10" t="s">
        <v>45</v>
      </c>
      <c r="D2078" s="10">
        <v>97205</v>
      </c>
      <c r="E2078" s="10" t="s">
        <v>6</v>
      </c>
      <c r="F2078" s="10">
        <v>910</v>
      </c>
    </row>
    <row r="2079" spans="1:6" x14ac:dyDescent="0.2">
      <c r="A2079" s="10" t="s">
        <v>577</v>
      </c>
      <c r="B2079" s="10" t="s">
        <v>579</v>
      </c>
      <c r="C2079" s="10" t="s">
        <v>45</v>
      </c>
      <c r="D2079" s="10">
        <v>97220</v>
      </c>
      <c r="E2079" s="10" t="s">
        <v>5</v>
      </c>
      <c r="F2079" s="10">
        <v>748</v>
      </c>
    </row>
    <row r="2080" spans="1:6" x14ac:dyDescent="0.2">
      <c r="A2080" s="10" t="s">
        <v>577</v>
      </c>
      <c r="B2080" s="10" t="s">
        <v>579</v>
      </c>
      <c r="C2080" s="10" t="s">
        <v>45</v>
      </c>
      <c r="D2080" s="10">
        <v>97220</v>
      </c>
      <c r="E2080" s="10" t="s">
        <v>6</v>
      </c>
      <c r="F2080" s="10">
        <v>866</v>
      </c>
    </row>
    <row r="2081" spans="1:6" x14ac:dyDescent="0.2">
      <c r="A2081" s="10" t="s">
        <v>577</v>
      </c>
      <c r="B2081" s="10" t="s">
        <v>579</v>
      </c>
      <c r="C2081" s="10" t="s">
        <v>45</v>
      </c>
      <c r="D2081" s="10">
        <v>97210</v>
      </c>
      <c r="E2081" s="10" t="s">
        <v>10</v>
      </c>
      <c r="F2081" s="10">
        <v>164</v>
      </c>
    </row>
    <row r="2082" spans="1:6" x14ac:dyDescent="0.2">
      <c r="A2082" s="10" t="s">
        <v>577</v>
      </c>
      <c r="B2082" s="10" t="s">
        <v>579</v>
      </c>
      <c r="C2082" s="10" t="s">
        <v>45</v>
      </c>
      <c r="D2082" s="10">
        <v>97217</v>
      </c>
      <c r="E2082" s="10" t="s">
        <v>5</v>
      </c>
      <c r="F2082" s="10">
        <v>569</v>
      </c>
    </row>
    <row r="2083" spans="1:6" x14ac:dyDescent="0.2">
      <c r="A2083" s="10" t="s">
        <v>577</v>
      </c>
      <c r="B2083" s="10" t="s">
        <v>579</v>
      </c>
      <c r="C2083" s="10" t="s">
        <v>45</v>
      </c>
      <c r="D2083" s="10">
        <v>97030</v>
      </c>
      <c r="E2083" s="10" t="s">
        <v>6</v>
      </c>
      <c r="F2083" s="10">
        <v>2061</v>
      </c>
    </row>
    <row r="2084" spans="1:6" x14ac:dyDescent="0.2">
      <c r="A2084" s="10" t="s">
        <v>577</v>
      </c>
      <c r="B2084" s="10" t="s">
        <v>581</v>
      </c>
      <c r="C2084" s="10" t="s">
        <v>45</v>
      </c>
      <c r="D2084" s="10">
        <v>97146</v>
      </c>
      <c r="E2084" s="10" t="s">
        <v>5</v>
      </c>
      <c r="F2084" s="10">
        <v>237</v>
      </c>
    </row>
    <row r="2085" spans="1:6" x14ac:dyDescent="0.2">
      <c r="A2085" s="10" t="s">
        <v>577</v>
      </c>
      <c r="B2085" s="10" t="s">
        <v>582</v>
      </c>
      <c r="C2085" s="10" t="s">
        <v>45</v>
      </c>
      <c r="D2085" s="10">
        <v>97526</v>
      </c>
      <c r="E2085" s="10" t="s">
        <v>5</v>
      </c>
      <c r="F2085" s="10">
        <v>2006</v>
      </c>
    </row>
    <row r="2086" spans="1:6" x14ac:dyDescent="0.2">
      <c r="A2086" s="10" t="s">
        <v>577</v>
      </c>
      <c r="B2086" s="10" t="s">
        <v>256</v>
      </c>
      <c r="C2086" s="10" t="s">
        <v>45</v>
      </c>
      <c r="D2086" s="10">
        <v>97322</v>
      </c>
      <c r="E2086" s="10" t="s">
        <v>5</v>
      </c>
      <c r="F2086" s="10">
        <v>1657</v>
      </c>
    </row>
    <row r="2087" spans="1:6" x14ac:dyDescent="0.2">
      <c r="A2087" s="10" t="s">
        <v>577</v>
      </c>
      <c r="B2087" s="10" t="s">
        <v>583</v>
      </c>
      <c r="C2087" s="10" t="s">
        <v>45</v>
      </c>
      <c r="D2087" s="10">
        <v>97703</v>
      </c>
      <c r="E2087" s="10" t="s">
        <v>5</v>
      </c>
      <c r="F2087" s="10">
        <v>630</v>
      </c>
    </row>
    <row r="2088" spans="1:6" x14ac:dyDescent="0.2">
      <c r="A2088" s="10" t="s">
        <v>577</v>
      </c>
      <c r="B2088" s="10" t="s">
        <v>583</v>
      </c>
      <c r="C2088" s="10" t="s">
        <v>45</v>
      </c>
      <c r="D2088" s="10">
        <v>97701</v>
      </c>
      <c r="E2088" s="10" t="s">
        <v>7</v>
      </c>
      <c r="F2088" s="10">
        <v>1487</v>
      </c>
    </row>
    <row r="2089" spans="1:6" x14ac:dyDescent="0.2">
      <c r="A2089" s="10" t="s">
        <v>577</v>
      </c>
      <c r="B2089" s="10" t="s">
        <v>84</v>
      </c>
      <c r="C2089" s="10" t="s">
        <v>46</v>
      </c>
      <c r="D2089" s="10">
        <v>97330</v>
      </c>
      <c r="E2089" s="10" t="s">
        <v>7</v>
      </c>
      <c r="F2089" s="10">
        <v>92</v>
      </c>
    </row>
    <row r="2090" spans="1:6" x14ac:dyDescent="0.2">
      <c r="A2090" s="10" t="s">
        <v>577</v>
      </c>
      <c r="B2090" s="10" t="s">
        <v>84</v>
      </c>
      <c r="C2090" s="10" t="s">
        <v>46</v>
      </c>
      <c r="D2090" s="10">
        <v>97333</v>
      </c>
      <c r="E2090" s="10" t="s">
        <v>11</v>
      </c>
      <c r="F2090" s="10">
        <v>329</v>
      </c>
    </row>
    <row r="2091" spans="1:6" x14ac:dyDescent="0.2">
      <c r="A2091" s="10" t="s">
        <v>577</v>
      </c>
      <c r="B2091" s="10" t="s">
        <v>82</v>
      </c>
      <c r="C2091" s="10" t="s">
        <v>46</v>
      </c>
      <c r="D2091" s="10">
        <v>97223</v>
      </c>
      <c r="E2091" s="10" t="s">
        <v>6</v>
      </c>
      <c r="F2091" s="10">
        <v>615</v>
      </c>
    </row>
    <row r="2092" spans="1:6" x14ac:dyDescent="0.2">
      <c r="A2092" s="10" t="s">
        <v>577</v>
      </c>
      <c r="B2092" s="10" t="s">
        <v>82</v>
      </c>
      <c r="C2092" s="10" t="s">
        <v>46</v>
      </c>
      <c r="D2092" s="10">
        <v>97006</v>
      </c>
      <c r="E2092" s="10" t="s">
        <v>6</v>
      </c>
      <c r="F2092" s="10">
        <v>972</v>
      </c>
    </row>
    <row r="2093" spans="1:6" x14ac:dyDescent="0.2">
      <c r="A2093" s="10" t="s">
        <v>577</v>
      </c>
      <c r="B2093" s="10" t="s">
        <v>584</v>
      </c>
      <c r="C2093" s="10" t="s">
        <v>46</v>
      </c>
      <c r="D2093" s="10">
        <v>97405</v>
      </c>
      <c r="E2093" s="10" t="s">
        <v>7</v>
      </c>
      <c r="F2093" s="10">
        <v>502</v>
      </c>
    </row>
    <row r="2094" spans="1:6" x14ac:dyDescent="0.2">
      <c r="A2094" s="10" t="s">
        <v>577</v>
      </c>
      <c r="B2094" s="10" t="s">
        <v>82</v>
      </c>
      <c r="C2094" s="10" t="s">
        <v>46</v>
      </c>
      <c r="D2094" s="10">
        <v>97062</v>
      </c>
      <c r="E2094" s="10" t="s">
        <v>5</v>
      </c>
      <c r="F2094" s="10">
        <v>214</v>
      </c>
    </row>
    <row r="2095" spans="1:6" x14ac:dyDescent="0.2">
      <c r="A2095" s="10" t="s">
        <v>577</v>
      </c>
      <c r="B2095" s="10" t="s">
        <v>585</v>
      </c>
      <c r="C2095" s="10" t="s">
        <v>46</v>
      </c>
      <c r="D2095" s="10">
        <v>97267</v>
      </c>
      <c r="E2095" s="10" t="s">
        <v>7</v>
      </c>
      <c r="F2095" s="10">
        <v>1526</v>
      </c>
    </row>
    <row r="2096" spans="1:6" x14ac:dyDescent="0.2">
      <c r="A2096" s="10" t="s">
        <v>577</v>
      </c>
      <c r="B2096" s="10" t="s">
        <v>82</v>
      </c>
      <c r="C2096" s="10" t="s">
        <v>46</v>
      </c>
      <c r="D2096" s="10">
        <v>97224</v>
      </c>
      <c r="E2096" s="10" t="s">
        <v>6</v>
      </c>
      <c r="F2096" s="10">
        <v>961</v>
      </c>
    </row>
    <row r="2097" spans="1:6" x14ac:dyDescent="0.2">
      <c r="A2097" s="10" t="s">
        <v>577</v>
      </c>
      <c r="B2097" s="10" t="s">
        <v>585</v>
      </c>
      <c r="C2097" s="10" t="s">
        <v>46</v>
      </c>
      <c r="D2097" s="10">
        <v>97086</v>
      </c>
      <c r="E2097" s="10" t="s">
        <v>6</v>
      </c>
      <c r="F2097" s="10">
        <v>688</v>
      </c>
    </row>
    <row r="2098" spans="1:6" x14ac:dyDescent="0.2">
      <c r="A2098" s="10" t="s">
        <v>577</v>
      </c>
      <c r="B2098" s="10" t="s">
        <v>82</v>
      </c>
      <c r="C2098" s="10" t="s">
        <v>46</v>
      </c>
      <c r="D2098" s="10">
        <v>97224</v>
      </c>
      <c r="E2098" s="10" t="s">
        <v>10</v>
      </c>
      <c r="F2098" s="10">
        <v>2275</v>
      </c>
    </row>
    <row r="2099" spans="1:6" x14ac:dyDescent="0.2">
      <c r="A2099" s="10" t="s">
        <v>577</v>
      </c>
      <c r="B2099" s="10" t="s">
        <v>82</v>
      </c>
      <c r="C2099" s="10" t="s">
        <v>46</v>
      </c>
      <c r="D2099" s="10">
        <v>97123</v>
      </c>
      <c r="E2099" s="10" t="s">
        <v>6</v>
      </c>
      <c r="F2099" s="10">
        <v>1080</v>
      </c>
    </row>
    <row r="2100" spans="1:6" x14ac:dyDescent="0.2">
      <c r="A2100" s="10" t="s">
        <v>577</v>
      </c>
      <c r="B2100" s="10" t="s">
        <v>82</v>
      </c>
      <c r="C2100" s="10" t="s">
        <v>46</v>
      </c>
      <c r="D2100" s="10">
        <v>97070</v>
      </c>
      <c r="E2100" s="10" t="s">
        <v>6</v>
      </c>
      <c r="F2100" s="10">
        <v>1015</v>
      </c>
    </row>
    <row r="2101" spans="1:6" x14ac:dyDescent="0.2">
      <c r="A2101" s="10" t="s">
        <v>577</v>
      </c>
      <c r="B2101" s="10" t="s">
        <v>584</v>
      </c>
      <c r="C2101" s="10" t="s">
        <v>46</v>
      </c>
      <c r="D2101" s="10">
        <v>97408</v>
      </c>
      <c r="E2101" s="10" t="s">
        <v>6</v>
      </c>
      <c r="F2101" s="10">
        <v>1364</v>
      </c>
    </row>
    <row r="2102" spans="1:6" x14ac:dyDescent="0.2">
      <c r="A2102" s="10" t="s">
        <v>577</v>
      </c>
      <c r="B2102" s="10" t="s">
        <v>205</v>
      </c>
      <c r="C2102" s="10" t="s">
        <v>47</v>
      </c>
      <c r="D2102" s="10">
        <v>97301</v>
      </c>
      <c r="E2102" s="10" t="s">
        <v>7</v>
      </c>
      <c r="F2102" s="10">
        <v>1583</v>
      </c>
    </row>
    <row r="2103" spans="1:6" x14ac:dyDescent="0.2">
      <c r="A2103" s="10" t="s">
        <v>577</v>
      </c>
      <c r="B2103" s="10" t="s">
        <v>205</v>
      </c>
      <c r="C2103" s="10" t="s">
        <v>47</v>
      </c>
      <c r="D2103" s="10">
        <v>97301</v>
      </c>
      <c r="E2103" s="10" t="s">
        <v>11</v>
      </c>
      <c r="F2103" s="10">
        <v>1810</v>
      </c>
    </row>
    <row r="2104" spans="1:6" x14ac:dyDescent="0.2">
      <c r="A2104" s="10" t="s">
        <v>577</v>
      </c>
      <c r="B2104" s="10" t="s">
        <v>285</v>
      </c>
      <c r="C2104" s="10" t="s">
        <v>47</v>
      </c>
      <c r="D2104" s="10">
        <v>97501</v>
      </c>
      <c r="E2104" s="10" t="s">
        <v>5</v>
      </c>
      <c r="F2104" s="10">
        <v>1443</v>
      </c>
    </row>
    <row r="2105" spans="1:6" x14ac:dyDescent="0.2">
      <c r="A2105" s="10" t="s">
        <v>577</v>
      </c>
      <c r="B2105" s="10" t="s">
        <v>285</v>
      </c>
      <c r="C2105" s="10" t="s">
        <v>47</v>
      </c>
      <c r="D2105" s="10">
        <v>97504</v>
      </c>
      <c r="E2105" s="10" t="s">
        <v>6</v>
      </c>
      <c r="F2105" s="10">
        <v>5755</v>
      </c>
    </row>
    <row r="2106" spans="1:6" x14ac:dyDescent="0.2">
      <c r="A2106" s="10" t="s">
        <v>577</v>
      </c>
      <c r="B2106" s="10" t="s">
        <v>586</v>
      </c>
      <c r="C2106" s="10" t="s">
        <v>47</v>
      </c>
      <c r="D2106" s="10">
        <v>97420</v>
      </c>
      <c r="E2106" s="10" t="s">
        <v>5</v>
      </c>
      <c r="F2106" s="10">
        <v>2884</v>
      </c>
    </row>
    <row r="2107" spans="1:6" x14ac:dyDescent="0.2">
      <c r="A2107" s="10" t="s">
        <v>577</v>
      </c>
      <c r="B2107" s="10" t="s">
        <v>205</v>
      </c>
      <c r="C2107" s="10" t="s">
        <v>47</v>
      </c>
      <c r="D2107" s="10">
        <v>97303</v>
      </c>
      <c r="E2107" s="10" t="s">
        <v>5</v>
      </c>
      <c r="F2107" s="10">
        <v>1197</v>
      </c>
    </row>
    <row r="2108" spans="1:6" x14ac:dyDescent="0.2">
      <c r="A2108" s="10" t="s">
        <v>577</v>
      </c>
      <c r="B2108" s="10" t="s">
        <v>587</v>
      </c>
      <c r="C2108" s="10" t="s">
        <v>47</v>
      </c>
      <c r="D2108" s="10">
        <v>97058</v>
      </c>
      <c r="E2108" s="10" t="s">
        <v>5</v>
      </c>
      <c r="F2108" s="10">
        <v>1586</v>
      </c>
    </row>
    <row r="2109" spans="1:6" x14ac:dyDescent="0.2">
      <c r="A2109" s="10" t="s">
        <v>577</v>
      </c>
      <c r="B2109" s="10" t="s">
        <v>144</v>
      </c>
      <c r="C2109" s="10" t="s">
        <v>47</v>
      </c>
      <c r="D2109" s="10">
        <v>97471</v>
      </c>
      <c r="E2109" s="10" t="s">
        <v>5</v>
      </c>
      <c r="F2109" s="10">
        <v>1215</v>
      </c>
    </row>
    <row r="2110" spans="1:6" x14ac:dyDescent="0.2">
      <c r="A2110" s="10" t="s">
        <v>577</v>
      </c>
      <c r="B2110" s="10" t="s">
        <v>205</v>
      </c>
      <c r="C2110" s="10" t="s">
        <v>47</v>
      </c>
      <c r="D2110" s="10">
        <v>97302</v>
      </c>
      <c r="E2110" s="10" t="s">
        <v>6</v>
      </c>
      <c r="F2110" s="10">
        <v>1044</v>
      </c>
    </row>
    <row r="2111" spans="1:6" x14ac:dyDescent="0.2">
      <c r="A2111" s="10" t="s">
        <v>577</v>
      </c>
      <c r="B2111" s="10" t="s">
        <v>588</v>
      </c>
      <c r="C2111" s="10" t="s">
        <v>47</v>
      </c>
      <c r="D2111" s="10">
        <v>97914</v>
      </c>
      <c r="E2111" s="10" t="s">
        <v>5</v>
      </c>
      <c r="F2111" s="10">
        <v>955</v>
      </c>
    </row>
    <row r="2112" spans="1:6" x14ac:dyDescent="0.2">
      <c r="A2112" s="10" t="s">
        <v>589</v>
      </c>
      <c r="B2112" s="10" t="s">
        <v>374</v>
      </c>
      <c r="C2112" s="10" t="s">
        <v>45</v>
      </c>
      <c r="D2112" s="10">
        <v>17331</v>
      </c>
      <c r="E2112" s="10" t="s">
        <v>5</v>
      </c>
      <c r="F2112" s="10">
        <v>1033</v>
      </c>
    </row>
    <row r="2113" spans="1:6" x14ac:dyDescent="0.2">
      <c r="A2113" s="10" t="s">
        <v>589</v>
      </c>
      <c r="B2113" s="10" t="s">
        <v>590</v>
      </c>
      <c r="C2113" s="10" t="s">
        <v>45</v>
      </c>
      <c r="D2113" s="10">
        <v>18702</v>
      </c>
      <c r="E2113" s="10" t="s">
        <v>7</v>
      </c>
      <c r="F2113" s="10">
        <v>1048</v>
      </c>
    </row>
    <row r="2114" spans="1:6" x14ac:dyDescent="0.2">
      <c r="A2114" s="10" t="s">
        <v>589</v>
      </c>
      <c r="B2114" s="10" t="s">
        <v>484</v>
      </c>
      <c r="C2114" s="10" t="s">
        <v>45</v>
      </c>
      <c r="D2114" s="10">
        <v>17522</v>
      </c>
      <c r="E2114" s="10" t="s">
        <v>5</v>
      </c>
      <c r="F2114" s="10">
        <v>893</v>
      </c>
    </row>
    <row r="2115" spans="1:6" x14ac:dyDescent="0.2">
      <c r="A2115" s="10" t="s">
        <v>589</v>
      </c>
      <c r="B2115" s="10" t="s">
        <v>591</v>
      </c>
      <c r="C2115" s="10" t="s">
        <v>45</v>
      </c>
      <c r="D2115" s="10">
        <v>18969</v>
      </c>
      <c r="E2115" s="10" t="s">
        <v>5</v>
      </c>
      <c r="F2115" s="10">
        <v>626</v>
      </c>
    </row>
    <row r="2116" spans="1:6" x14ac:dyDescent="0.2">
      <c r="A2116" s="10" t="s">
        <v>589</v>
      </c>
      <c r="B2116" s="10" t="s">
        <v>591</v>
      </c>
      <c r="C2116" s="10" t="s">
        <v>45</v>
      </c>
      <c r="D2116" s="10">
        <v>19020</v>
      </c>
      <c r="E2116" s="10" t="s">
        <v>5</v>
      </c>
      <c r="F2116" s="10">
        <v>1161</v>
      </c>
    </row>
    <row r="2117" spans="1:6" x14ac:dyDescent="0.2">
      <c r="A2117" s="10" t="s">
        <v>589</v>
      </c>
      <c r="B2117" s="10" t="s">
        <v>591</v>
      </c>
      <c r="C2117" s="10" t="s">
        <v>45</v>
      </c>
      <c r="D2117" s="10">
        <v>19030</v>
      </c>
      <c r="E2117" s="10" t="s">
        <v>7</v>
      </c>
      <c r="F2117" s="10">
        <v>2700</v>
      </c>
    </row>
    <row r="2118" spans="1:6" x14ac:dyDescent="0.2">
      <c r="A2118" s="10" t="s">
        <v>589</v>
      </c>
      <c r="B2118" s="10" t="s">
        <v>374</v>
      </c>
      <c r="C2118" s="10" t="s">
        <v>45</v>
      </c>
      <c r="D2118" s="10">
        <v>17402</v>
      </c>
      <c r="E2118" s="10" t="s">
        <v>5</v>
      </c>
      <c r="F2118" s="10">
        <v>1324</v>
      </c>
    </row>
    <row r="2119" spans="1:6" x14ac:dyDescent="0.2">
      <c r="A2119" s="10" t="s">
        <v>589</v>
      </c>
      <c r="B2119" s="10" t="s">
        <v>82</v>
      </c>
      <c r="C2119" s="10" t="s">
        <v>45</v>
      </c>
      <c r="D2119" s="10">
        <v>15301</v>
      </c>
      <c r="E2119" s="10" t="s">
        <v>7</v>
      </c>
      <c r="F2119" s="10">
        <v>2318</v>
      </c>
    </row>
    <row r="2120" spans="1:6" x14ac:dyDescent="0.2">
      <c r="A2120" s="10" t="s">
        <v>589</v>
      </c>
      <c r="B2120" s="10" t="s">
        <v>592</v>
      </c>
      <c r="C2120" s="10" t="s">
        <v>45</v>
      </c>
      <c r="D2120" s="10">
        <v>17033</v>
      </c>
      <c r="E2120" s="10" t="s">
        <v>5</v>
      </c>
      <c r="F2120" s="10">
        <v>1291</v>
      </c>
    </row>
    <row r="2121" spans="1:6" x14ac:dyDescent="0.2">
      <c r="A2121" s="10" t="s">
        <v>589</v>
      </c>
      <c r="B2121" s="10" t="s">
        <v>230</v>
      </c>
      <c r="C2121" s="10" t="s">
        <v>45</v>
      </c>
      <c r="D2121" s="10">
        <v>15401</v>
      </c>
      <c r="E2121" s="10" t="s">
        <v>5</v>
      </c>
      <c r="F2121" s="10">
        <v>1223</v>
      </c>
    </row>
    <row r="2122" spans="1:6" x14ac:dyDescent="0.2">
      <c r="A2122" s="10" t="s">
        <v>589</v>
      </c>
      <c r="B2122" s="10" t="s">
        <v>484</v>
      </c>
      <c r="C2122" s="10" t="s">
        <v>45</v>
      </c>
      <c r="D2122" s="10">
        <v>17601</v>
      </c>
      <c r="E2122" s="10" t="s">
        <v>5</v>
      </c>
      <c r="F2122" s="10">
        <v>1220</v>
      </c>
    </row>
    <row r="2123" spans="1:6" x14ac:dyDescent="0.2">
      <c r="A2123" s="10" t="s">
        <v>589</v>
      </c>
      <c r="B2123" s="10" t="s">
        <v>591</v>
      </c>
      <c r="C2123" s="10" t="s">
        <v>45</v>
      </c>
      <c r="D2123" s="10">
        <v>18951</v>
      </c>
      <c r="E2123" s="10" t="s">
        <v>5</v>
      </c>
      <c r="F2123" s="10">
        <v>818</v>
      </c>
    </row>
    <row r="2124" spans="1:6" x14ac:dyDescent="0.2">
      <c r="A2124" s="10" t="s">
        <v>589</v>
      </c>
      <c r="B2124" s="10" t="s">
        <v>484</v>
      </c>
      <c r="C2124" s="10" t="s">
        <v>45</v>
      </c>
      <c r="D2124" s="10">
        <v>17522</v>
      </c>
      <c r="E2124" s="10" t="s">
        <v>8</v>
      </c>
      <c r="F2124" s="10">
        <v>15</v>
      </c>
    </row>
    <row r="2125" spans="1:6" x14ac:dyDescent="0.2">
      <c r="A2125" s="10" t="s">
        <v>589</v>
      </c>
      <c r="B2125" s="10" t="s">
        <v>593</v>
      </c>
      <c r="C2125" s="10" t="s">
        <v>45</v>
      </c>
      <c r="D2125" s="10">
        <v>18519</v>
      </c>
      <c r="E2125" s="10" t="s">
        <v>5</v>
      </c>
      <c r="F2125" s="10">
        <v>1144</v>
      </c>
    </row>
    <row r="2126" spans="1:6" x14ac:dyDescent="0.2">
      <c r="A2126" s="10" t="s">
        <v>589</v>
      </c>
      <c r="B2126" s="10" t="s">
        <v>590</v>
      </c>
      <c r="C2126" s="10" t="s">
        <v>45</v>
      </c>
      <c r="D2126" s="10">
        <v>18640</v>
      </c>
      <c r="E2126" s="10" t="s">
        <v>8</v>
      </c>
      <c r="F2126" s="10">
        <v>472</v>
      </c>
    </row>
    <row r="2127" spans="1:6" x14ac:dyDescent="0.2">
      <c r="A2127" s="10" t="s">
        <v>589</v>
      </c>
      <c r="B2127" s="10" t="s">
        <v>82</v>
      </c>
      <c r="C2127" s="10" t="s">
        <v>45</v>
      </c>
      <c r="D2127" s="10">
        <v>15301</v>
      </c>
      <c r="E2127" s="10" t="s">
        <v>5</v>
      </c>
      <c r="F2127" s="10">
        <v>441</v>
      </c>
    </row>
    <row r="2128" spans="1:6" x14ac:dyDescent="0.2">
      <c r="A2128" s="10" t="s">
        <v>589</v>
      </c>
      <c r="B2128" s="10" t="s">
        <v>374</v>
      </c>
      <c r="C2128" s="10" t="s">
        <v>45</v>
      </c>
      <c r="D2128" s="10">
        <v>17404</v>
      </c>
      <c r="E2128" s="10" t="s">
        <v>5</v>
      </c>
      <c r="F2128" s="10">
        <v>1156</v>
      </c>
    </row>
    <row r="2129" spans="1:6" x14ac:dyDescent="0.2">
      <c r="A2129" s="10" t="s">
        <v>589</v>
      </c>
      <c r="B2129" s="10" t="s">
        <v>594</v>
      </c>
      <c r="C2129" s="10" t="s">
        <v>45</v>
      </c>
      <c r="D2129" s="10">
        <v>15061</v>
      </c>
      <c r="E2129" s="10" t="s">
        <v>5</v>
      </c>
      <c r="F2129" s="10">
        <v>764</v>
      </c>
    </row>
    <row r="2130" spans="1:6" x14ac:dyDescent="0.2">
      <c r="A2130" s="10" t="s">
        <v>589</v>
      </c>
      <c r="B2130" s="10" t="s">
        <v>178</v>
      </c>
      <c r="C2130" s="10" t="s">
        <v>45</v>
      </c>
      <c r="D2130" s="10">
        <v>18360</v>
      </c>
      <c r="E2130" s="10" t="s">
        <v>5</v>
      </c>
      <c r="F2130" s="10">
        <v>1740</v>
      </c>
    </row>
    <row r="2131" spans="1:6" x14ac:dyDescent="0.2">
      <c r="A2131" s="10" t="s">
        <v>589</v>
      </c>
      <c r="B2131" s="10" t="s">
        <v>590</v>
      </c>
      <c r="C2131" s="10" t="s">
        <v>45</v>
      </c>
      <c r="D2131" s="10">
        <v>18704</v>
      </c>
      <c r="E2131" s="10" t="s">
        <v>8</v>
      </c>
      <c r="F2131" s="10">
        <v>1219</v>
      </c>
    </row>
    <row r="2132" spans="1:6" x14ac:dyDescent="0.2">
      <c r="A2132" s="10" t="s">
        <v>589</v>
      </c>
      <c r="B2132" s="10" t="s">
        <v>591</v>
      </c>
      <c r="C2132" s="10" t="s">
        <v>45</v>
      </c>
      <c r="D2132" s="10">
        <v>18976</v>
      </c>
      <c r="E2132" s="10" t="s">
        <v>5</v>
      </c>
      <c r="F2132" s="10">
        <v>1464</v>
      </c>
    </row>
    <row r="2133" spans="1:6" x14ac:dyDescent="0.2">
      <c r="A2133" s="10" t="s">
        <v>589</v>
      </c>
      <c r="B2133" s="10" t="s">
        <v>591</v>
      </c>
      <c r="C2133" s="10" t="s">
        <v>45</v>
      </c>
      <c r="D2133" s="10">
        <v>18940</v>
      </c>
      <c r="E2133" s="10" t="s">
        <v>5</v>
      </c>
      <c r="F2133" s="10">
        <v>1960</v>
      </c>
    </row>
    <row r="2134" spans="1:6" x14ac:dyDescent="0.2">
      <c r="A2134" s="10" t="s">
        <v>589</v>
      </c>
      <c r="B2134" s="10" t="s">
        <v>374</v>
      </c>
      <c r="C2134" s="10" t="s">
        <v>45</v>
      </c>
      <c r="D2134" s="10">
        <v>17408</v>
      </c>
      <c r="E2134" s="10" t="s">
        <v>8</v>
      </c>
      <c r="F2134" s="10">
        <v>467</v>
      </c>
    </row>
    <row r="2135" spans="1:6" x14ac:dyDescent="0.2">
      <c r="A2135" s="10" t="s">
        <v>589</v>
      </c>
      <c r="B2135" s="10" t="s">
        <v>590</v>
      </c>
      <c r="C2135" s="10" t="s">
        <v>45</v>
      </c>
      <c r="D2135" s="10">
        <v>18702</v>
      </c>
      <c r="E2135" s="10" t="s">
        <v>5</v>
      </c>
      <c r="F2135" s="10">
        <v>1710</v>
      </c>
    </row>
    <row r="2136" spans="1:6" x14ac:dyDescent="0.2">
      <c r="A2136" s="10" t="s">
        <v>589</v>
      </c>
      <c r="B2136" s="10" t="s">
        <v>592</v>
      </c>
      <c r="C2136" s="10" t="s">
        <v>45</v>
      </c>
      <c r="D2136" s="10">
        <v>17111</v>
      </c>
      <c r="E2136" s="10" t="s">
        <v>5</v>
      </c>
      <c r="F2136" s="10">
        <v>2058</v>
      </c>
    </row>
    <row r="2137" spans="1:6" x14ac:dyDescent="0.2">
      <c r="A2137" s="10" t="s">
        <v>589</v>
      </c>
      <c r="B2137" s="10" t="s">
        <v>591</v>
      </c>
      <c r="C2137" s="10" t="s">
        <v>45</v>
      </c>
      <c r="D2137" s="10">
        <v>19053</v>
      </c>
      <c r="E2137" s="10" t="s">
        <v>5</v>
      </c>
      <c r="F2137" s="10">
        <v>1145</v>
      </c>
    </row>
    <row r="2138" spans="1:6" x14ac:dyDescent="0.2">
      <c r="A2138" s="10" t="s">
        <v>589</v>
      </c>
      <c r="B2138" s="10" t="s">
        <v>591</v>
      </c>
      <c r="C2138" s="10" t="s">
        <v>45</v>
      </c>
      <c r="D2138" s="10">
        <v>18901</v>
      </c>
      <c r="E2138" s="10" t="s">
        <v>5</v>
      </c>
      <c r="F2138" s="10">
        <v>174</v>
      </c>
    </row>
    <row r="2139" spans="1:6" x14ac:dyDescent="0.2">
      <c r="A2139" s="10" t="s">
        <v>589</v>
      </c>
      <c r="B2139" s="10" t="s">
        <v>484</v>
      </c>
      <c r="C2139" s="10" t="s">
        <v>45</v>
      </c>
      <c r="D2139" s="10">
        <v>17602</v>
      </c>
      <c r="E2139" s="10" t="s">
        <v>5</v>
      </c>
      <c r="F2139" s="10">
        <v>1555</v>
      </c>
    </row>
    <row r="2140" spans="1:6" x14ac:dyDescent="0.2">
      <c r="A2140" s="10" t="s">
        <v>589</v>
      </c>
      <c r="B2140" s="10" t="s">
        <v>484</v>
      </c>
      <c r="C2140" s="10" t="s">
        <v>45</v>
      </c>
      <c r="D2140" s="10">
        <v>17601</v>
      </c>
      <c r="E2140" s="10" t="s">
        <v>7</v>
      </c>
      <c r="F2140" s="10">
        <v>2435</v>
      </c>
    </row>
    <row r="2141" spans="1:6" x14ac:dyDescent="0.2">
      <c r="A2141" s="10" t="s">
        <v>589</v>
      </c>
      <c r="B2141" s="10" t="s">
        <v>484</v>
      </c>
      <c r="C2141" s="10" t="s">
        <v>45</v>
      </c>
      <c r="D2141" s="10">
        <v>17601</v>
      </c>
      <c r="E2141" s="10" t="s">
        <v>8</v>
      </c>
      <c r="F2141" s="10">
        <v>162</v>
      </c>
    </row>
    <row r="2142" spans="1:6" x14ac:dyDescent="0.2">
      <c r="A2142" s="10" t="s">
        <v>589</v>
      </c>
      <c r="B2142" s="10" t="s">
        <v>595</v>
      </c>
      <c r="C2142" s="10" t="s">
        <v>46</v>
      </c>
      <c r="D2142" s="10">
        <v>15237</v>
      </c>
      <c r="E2142" s="10" t="s">
        <v>7</v>
      </c>
      <c r="F2142" s="10">
        <v>402</v>
      </c>
    </row>
    <row r="2143" spans="1:6" x14ac:dyDescent="0.2">
      <c r="A2143" s="10" t="s">
        <v>589</v>
      </c>
      <c r="B2143" s="10" t="s">
        <v>596</v>
      </c>
      <c r="C2143" s="10" t="s">
        <v>46</v>
      </c>
      <c r="D2143" s="10">
        <v>18103</v>
      </c>
      <c r="E2143" s="10" t="s">
        <v>5</v>
      </c>
      <c r="F2143" s="10">
        <v>1767</v>
      </c>
    </row>
    <row r="2144" spans="1:6" x14ac:dyDescent="0.2">
      <c r="A2144" s="10" t="s">
        <v>589</v>
      </c>
      <c r="B2144" s="10" t="s">
        <v>597</v>
      </c>
      <c r="C2144" s="10" t="s">
        <v>46</v>
      </c>
      <c r="D2144" s="10">
        <v>15068</v>
      </c>
      <c r="E2144" s="10" t="s">
        <v>5</v>
      </c>
      <c r="F2144" s="10">
        <v>930</v>
      </c>
    </row>
    <row r="2145" spans="1:6" x14ac:dyDescent="0.2">
      <c r="A2145" s="10" t="s">
        <v>589</v>
      </c>
      <c r="B2145" s="10" t="s">
        <v>595</v>
      </c>
      <c r="C2145" s="10" t="s">
        <v>46</v>
      </c>
      <c r="D2145" s="10">
        <v>15216</v>
      </c>
      <c r="E2145" s="10" t="s">
        <v>5</v>
      </c>
      <c r="F2145" s="10">
        <v>4501</v>
      </c>
    </row>
    <row r="2146" spans="1:6" x14ac:dyDescent="0.2">
      <c r="A2146" s="10" t="s">
        <v>589</v>
      </c>
      <c r="B2146" s="10" t="s">
        <v>319</v>
      </c>
      <c r="C2146" s="10" t="s">
        <v>46</v>
      </c>
      <c r="D2146" s="10">
        <v>18337</v>
      </c>
      <c r="E2146" s="10" t="s">
        <v>5</v>
      </c>
      <c r="F2146" s="10">
        <v>797</v>
      </c>
    </row>
    <row r="2147" spans="1:6" x14ac:dyDescent="0.2">
      <c r="A2147" s="10" t="s">
        <v>589</v>
      </c>
      <c r="B2147" s="10" t="s">
        <v>596</v>
      </c>
      <c r="C2147" s="10" t="s">
        <v>46</v>
      </c>
      <c r="D2147" s="10">
        <v>18104</v>
      </c>
      <c r="E2147" s="10" t="s">
        <v>5</v>
      </c>
      <c r="F2147" s="10">
        <v>1734</v>
      </c>
    </row>
    <row r="2148" spans="1:6" x14ac:dyDescent="0.2">
      <c r="A2148" s="10" t="s">
        <v>589</v>
      </c>
      <c r="B2148" s="10" t="s">
        <v>595</v>
      </c>
      <c r="C2148" s="10" t="s">
        <v>46</v>
      </c>
      <c r="D2148" s="10">
        <v>15146</v>
      </c>
      <c r="E2148" s="10" t="s">
        <v>7</v>
      </c>
      <c r="F2148" s="10">
        <v>2180</v>
      </c>
    </row>
    <row r="2149" spans="1:6" x14ac:dyDescent="0.2">
      <c r="A2149" s="10" t="s">
        <v>589</v>
      </c>
      <c r="B2149" s="10" t="s">
        <v>597</v>
      </c>
      <c r="C2149" s="10" t="s">
        <v>46</v>
      </c>
      <c r="D2149" s="10">
        <v>15601</v>
      </c>
      <c r="E2149" s="10" t="s">
        <v>5</v>
      </c>
      <c r="F2149" s="10">
        <v>1231</v>
      </c>
    </row>
    <row r="2150" spans="1:6" x14ac:dyDescent="0.2">
      <c r="A2150" s="10" t="s">
        <v>589</v>
      </c>
      <c r="B2150" s="10" t="s">
        <v>598</v>
      </c>
      <c r="C2150" s="10" t="s">
        <v>46</v>
      </c>
      <c r="D2150" s="10">
        <v>15904</v>
      </c>
      <c r="E2150" s="10" t="s">
        <v>8</v>
      </c>
      <c r="F2150" s="10">
        <v>235</v>
      </c>
    </row>
    <row r="2151" spans="1:6" x14ac:dyDescent="0.2">
      <c r="A2151" s="10" t="s">
        <v>589</v>
      </c>
      <c r="B2151" s="10" t="s">
        <v>595</v>
      </c>
      <c r="C2151" s="10" t="s">
        <v>46</v>
      </c>
      <c r="D2151" s="10">
        <v>15017</v>
      </c>
      <c r="E2151" s="10" t="s">
        <v>7</v>
      </c>
      <c r="F2151" s="10">
        <v>986</v>
      </c>
    </row>
    <row r="2152" spans="1:6" x14ac:dyDescent="0.2">
      <c r="A2152" s="10" t="s">
        <v>589</v>
      </c>
      <c r="B2152" s="10" t="s">
        <v>535</v>
      </c>
      <c r="C2152" s="10" t="s">
        <v>46</v>
      </c>
      <c r="D2152" s="10">
        <v>16565</v>
      </c>
      <c r="E2152" s="10" t="s">
        <v>7</v>
      </c>
      <c r="F2152" s="10">
        <v>791</v>
      </c>
    </row>
    <row r="2153" spans="1:6" x14ac:dyDescent="0.2">
      <c r="A2153" s="10" t="s">
        <v>589</v>
      </c>
      <c r="B2153" s="10" t="s">
        <v>599</v>
      </c>
      <c r="C2153" s="10" t="s">
        <v>46</v>
      </c>
      <c r="D2153" s="10">
        <v>18045</v>
      </c>
      <c r="E2153" s="10" t="s">
        <v>5</v>
      </c>
      <c r="F2153" s="10">
        <v>1530</v>
      </c>
    </row>
    <row r="2154" spans="1:6" x14ac:dyDescent="0.2">
      <c r="A2154" s="10" t="s">
        <v>589</v>
      </c>
      <c r="B2154" s="10" t="s">
        <v>596</v>
      </c>
      <c r="C2154" s="10" t="s">
        <v>46</v>
      </c>
      <c r="D2154" s="10">
        <v>18018</v>
      </c>
      <c r="E2154" s="10" t="s">
        <v>5</v>
      </c>
      <c r="F2154" s="10">
        <v>2282</v>
      </c>
    </row>
    <row r="2155" spans="1:6" x14ac:dyDescent="0.2">
      <c r="A2155" s="10" t="s">
        <v>589</v>
      </c>
      <c r="B2155" s="10" t="s">
        <v>375</v>
      </c>
      <c r="C2155" s="10" t="s">
        <v>46</v>
      </c>
      <c r="D2155" s="10">
        <v>17013</v>
      </c>
      <c r="E2155" s="10" t="s">
        <v>8</v>
      </c>
      <c r="F2155" s="10">
        <v>178</v>
      </c>
    </row>
    <row r="2156" spans="1:6" x14ac:dyDescent="0.2">
      <c r="A2156" s="10" t="s">
        <v>589</v>
      </c>
      <c r="B2156" s="10" t="s">
        <v>597</v>
      </c>
      <c r="C2156" s="10" t="s">
        <v>46</v>
      </c>
      <c r="D2156" s="10">
        <v>15012</v>
      </c>
      <c r="E2156" s="10" t="s">
        <v>5</v>
      </c>
      <c r="F2156" s="10">
        <v>577</v>
      </c>
    </row>
    <row r="2157" spans="1:6" x14ac:dyDescent="0.2">
      <c r="A2157" s="10" t="s">
        <v>589</v>
      </c>
      <c r="B2157" s="10" t="s">
        <v>596</v>
      </c>
      <c r="C2157" s="10" t="s">
        <v>46</v>
      </c>
      <c r="D2157" s="10">
        <v>18052</v>
      </c>
      <c r="E2157" s="10" t="s">
        <v>5</v>
      </c>
      <c r="F2157" s="10">
        <v>2695</v>
      </c>
    </row>
    <row r="2158" spans="1:6" x14ac:dyDescent="0.2">
      <c r="A2158" s="10" t="s">
        <v>589</v>
      </c>
      <c r="B2158" s="10" t="s">
        <v>600</v>
      </c>
      <c r="C2158" s="10" t="s">
        <v>46</v>
      </c>
      <c r="D2158" s="10">
        <v>17042</v>
      </c>
      <c r="E2158" s="10" t="s">
        <v>5</v>
      </c>
      <c r="F2158" s="10">
        <v>1430</v>
      </c>
    </row>
    <row r="2159" spans="1:6" x14ac:dyDescent="0.2">
      <c r="A2159" s="10" t="s">
        <v>589</v>
      </c>
      <c r="B2159" s="10" t="s">
        <v>597</v>
      </c>
      <c r="C2159" s="10" t="s">
        <v>46</v>
      </c>
      <c r="D2159" s="10">
        <v>15601</v>
      </c>
      <c r="E2159" s="10" t="s">
        <v>7</v>
      </c>
      <c r="F2159" s="10">
        <v>713</v>
      </c>
    </row>
    <row r="2160" spans="1:6" x14ac:dyDescent="0.2">
      <c r="A2160" s="10" t="s">
        <v>589</v>
      </c>
      <c r="B2160" s="10" t="s">
        <v>595</v>
      </c>
      <c r="C2160" s="10" t="s">
        <v>46</v>
      </c>
      <c r="D2160" s="10">
        <v>15206</v>
      </c>
      <c r="E2160" s="10" t="s">
        <v>5</v>
      </c>
      <c r="F2160" s="10">
        <v>663</v>
      </c>
    </row>
    <row r="2161" spans="1:6" x14ac:dyDescent="0.2">
      <c r="A2161" s="10" t="s">
        <v>589</v>
      </c>
      <c r="B2161" s="10" t="s">
        <v>595</v>
      </c>
      <c r="C2161" s="10" t="s">
        <v>46</v>
      </c>
      <c r="D2161" s="10">
        <v>15237</v>
      </c>
      <c r="E2161" s="10" t="s">
        <v>5</v>
      </c>
      <c r="F2161" s="10">
        <v>794</v>
      </c>
    </row>
    <row r="2162" spans="1:6" x14ac:dyDescent="0.2">
      <c r="A2162" s="10" t="s">
        <v>589</v>
      </c>
      <c r="B2162" s="10" t="s">
        <v>595</v>
      </c>
      <c r="C2162" s="10" t="s">
        <v>46</v>
      </c>
      <c r="D2162" s="10">
        <v>15205</v>
      </c>
      <c r="E2162" s="10" t="s">
        <v>5</v>
      </c>
      <c r="F2162" s="10">
        <v>1409</v>
      </c>
    </row>
    <row r="2163" spans="1:6" x14ac:dyDescent="0.2">
      <c r="A2163" s="10" t="s">
        <v>589</v>
      </c>
      <c r="B2163" s="10" t="s">
        <v>595</v>
      </c>
      <c r="C2163" s="10" t="s">
        <v>46</v>
      </c>
      <c r="D2163" s="10">
        <v>15238</v>
      </c>
      <c r="E2163" s="10" t="s">
        <v>5</v>
      </c>
      <c r="F2163" s="10">
        <v>562</v>
      </c>
    </row>
    <row r="2164" spans="1:6" x14ac:dyDescent="0.2">
      <c r="A2164" s="10" t="s">
        <v>589</v>
      </c>
      <c r="B2164" s="10" t="s">
        <v>375</v>
      </c>
      <c r="C2164" s="10" t="s">
        <v>46</v>
      </c>
      <c r="D2164" s="10">
        <v>17013</v>
      </c>
      <c r="E2164" s="10" t="s">
        <v>7</v>
      </c>
      <c r="F2164" s="10">
        <v>1114</v>
      </c>
    </row>
    <row r="2165" spans="1:6" x14ac:dyDescent="0.2">
      <c r="A2165" s="10" t="s">
        <v>589</v>
      </c>
      <c r="B2165" s="10" t="s">
        <v>601</v>
      </c>
      <c r="C2165" s="10" t="s">
        <v>46</v>
      </c>
      <c r="D2165" s="10">
        <v>16602</v>
      </c>
      <c r="E2165" s="10" t="s">
        <v>8</v>
      </c>
      <c r="F2165" s="10">
        <v>1298</v>
      </c>
    </row>
    <row r="2166" spans="1:6" x14ac:dyDescent="0.2">
      <c r="A2166" s="10" t="s">
        <v>589</v>
      </c>
      <c r="B2166" s="10" t="s">
        <v>596</v>
      </c>
      <c r="C2166" s="10" t="s">
        <v>46</v>
      </c>
      <c r="D2166" s="10">
        <v>18103</v>
      </c>
      <c r="E2166" s="10" t="s">
        <v>6</v>
      </c>
      <c r="F2166" s="10">
        <v>965</v>
      </c>
    </row>
    <row r="2167" spans="1:6" x14ac:dyDescent="0.2">
      <c r="A2167" s="10" t="s">
        <v>589</v>
      </c>
      <c r="B2167" s="10" t="s">
        <v>598</v>
      </c>
      <c r="C2167" s="10" t="s">
        <v>46</v>
      </c>
      <c r="D2167" s="10">
        <v>15904</v>
      </c>
      <c r="E2167" s="10" t="s">
        <v>5</v>
      </c>
      <c r="F2167" s="10">
        <v>786</v>
      </c>
    </row>
    <row r="2168" spans="1:6" x14ac:dyDescent="0.2">
      <c r="A2168" s="10" t="s">
        <v>589</v>
      </c>
      <c r="B2168" s="10" t="s">
        <v>601</v>
      </c>
      <c r="C2168" s="10" t="s">
        <v>46</v>
      </c>
      <c r="D2168" s="10">
        <v>16602</v>
      </c>
      <c r="E2168" s="10" t="s">
        <v>5</v>
      </c>
      <c r="F2168" s="10">
        <v>680</v>
      </c>
    </row>
    <row r="2169" spans="1:6" x14ac:dyDescent="0.2">
      <c r="A2169" s="10" t="s">
        <v>589</v>
      </c>
      <c r="B2169" s="10" t="s">
        <v>500</v>
      </c>
      <c r="C2169" s="10" t="s">
        <v>46</v>
      </c>
      <c r="D2169" s="10">
        <v>16148</v>
      </c>
      <c r="E2169" s="10" t="s">
        <v>5</v>
      </c>
      <c r="F2169" s="10">
        <v>911</v>
      </c>
    </row>
    <row r="2170" spans="1:6" x14ac:dyDescent="0.2">
      <c r="A2170" s="10" t="s">
        <v>589</v>
      </c>
      <c r="B2170" s="10" t="s">
        <v>535</v>
      </c>
      <c r="C2170" s="10" t="s">
        <v>46</v>
      </c>
      <c r="D2170" s="10">
        <v>16509</v>
      </c>
      <c r="E2170" s="10" t="s">
        <v>5</v>
      </c>
      <c r="F2170" s="10">
        <v>1078</v>
      </c>
    </row>
    <row r="2171" spans="1:6" x14ac:dyDescent="0.2">
      <c r="A2171" s="10" t="s">
        <v>589</v>
      </c>
      <c r="B2171" s="10" t="s">
        <v>375</v>
      </c>
      <c r="C2171" s="10" t="s">
        <v>46</v>
      </c>
      <c r="D2171" s="10">
        <v>17013</v>
      </c>
      <c r="E2171" s="10" t="s">
        <v>5</v>
      </c>
      <c r="F2171" s="10">
        <v>836</v>
      </c>
    </row>
    <row r="2172" spans="1:6" x14ac:dyDescent="0.2">
      <c r="A2172" s="10" t="s">
        <v>589</v>
      </c>
      <c r="B2172" s="10" t="s">
        <v>595</v>
      </c>
      <c r="C2172" s="10" t="s">
        <v>46</v>
      </c>
      <c r="D2172" s="10">
        <v>15102</v>
      </c>
      <c r="E2172" s="10" t="s">
        <v>6</v>
      </c>
      <c r="F2172" s="10">
        <v>4551</v>
      </c>
    </row>
    <row r="2173" spans="1:6" x14ac:dyDescent="0.2">
      <c r="A2173" s="10" t="s">
        <v>589</v>
      </c>
      <c r="B2173" s="10" t="s">
        <v>74</v>
      </c>
      <c r="C2173" s="10" t="s">
        <v>47</v>
      </c>
      <c r="D2173" s="10">
        <v>19090</v>
      </c>
      <c r="E2173" s="10" t="s">
        <v>5</v>
      </c>
      <c r="F2173" s="10">
        <v>1024</v>
      </c>
    </row>
    <row r="2174" spans="1:6" x14ac:dyDescent="0.2">
      <c r="A2174" s="10" t="s">
        <v>589</v>
      </c>
      <c r="B2174" s="10" t="s">
        <v>602</v>
      </c>
      <c r="C2174" s="10" t="s">
        <v>47</v>
      </c>
      <c r="D2174" s="10">
        <v>19118</v>
      </c>
      <c r="E2174" s="10" t="s">
        <v>5</v>
      </c>
      <c r="F2174" s="10">
        <v>1161</v>
      </c>
    </row>
    <row r="2175" spans="1:6" x14ac:dyDescent="0.2">
      <c r="A2175" s="10" t="s">
        <v>589</v>
      </c>
      <c r="B2175" s="10" t="s">
        <v>603</v>
      </c>
      <c r="C2175" s="10" t="s">
        <v>47</v>
      </c>
      <c r="D2175" s="10">
        <v>19606</v>
      </c>
      <c r="E2175" s="10" t="s">
        <v>5</v>
      </c>
      <c r="F2175" s="10">
        <v>882</v>
      </c>
    </row>
    <row r="2176" spans="1:6" x14ac:dyDescent="0.2">
      <c r="A2176" s="10" t="s">
        <v>589</v>
      </c>
      <c r="B2176" s="10" t="s">
        <v>604</v>
      </c>
      <c r="C2176" s="10" t="s">
        <v>47</v>
      </c>
      <c r="D2176" s="10">
        <v>19335</v>
      </c>
      <c r="E2176" s="10" t="s">
        <v>5</v>
      </c>
      <c r="F2176" s="10">
        <v>1407</v>
      </c>
    </row>
    <row r="2177" spans="1:6" x14ac:dyDescent="0.2">
      <c r="A2177" s="10" t="s">
        <v>589</v>
      </c>
      <c r="B2177" s="10" t="s">
        <v>602</v>
      </c>
      <c r="C2177" s="10" t="s">
        <v>47</v>
      </c>
      <c r="D2177" s="10">
        <v>19149</v>
      </c>
      <c r="E2177" s="10" t="s">
        <v>7</v>
      </c>
      <c r="F2177" s="10">
        <v>1477</v>
      </c>
    </row>
    <row r="2178" spans="1:6" x14ac:dyDescent="0.2">
      <c r="A2178" s="10" t="s">
        <v>589</v>
      </c>
      <c r="B2178" s="10" t="s">
        <v>602</v>
      </c>
      <c r="C2178" s="10" t="s">
        <v>47</v>
      </c>
      <c r="D2178" s="10">
        <v>19103</v>
      </c>
      <c r="E2178" s="10" t="s">
        <v>9</v>
      </c>
      <c r="F2178" s="10">
        <v>220</v>
      </c>
    </row>
    <row r="2179" spans="1:6" x14ac:dyDescent="0.2">
      <c r="A2179" s="10" t="s">
        <v>589</v>
      </c>
      <c r="B2179" s="10" t="s">
        <v>424</v>
      </c>
      <c r="C2179" s="10" t="s">
        <v>47</v>
      </c>
      <c r="D2179" s="10">
        <v>16066</v>
      </c>
      <c r="E2179" s="10" t="s">
        <v>7</v>
      </c>
      <c r="F2179" s="10">
        <v>2519</v>
      </c>
    </row>
    <row r="2180" spans="1:6" x14ac:dyDescent="0.2">
      <c r="A2180" s="10" t="s">
        <v>589</v>
      </c>
      <c r="B2180" s="10" t="s">
        <v>194</v>
      </c>
      <c r="C2180" s="10" t="s">
        <v>47</v>
      </c>
      <c r="D2180" s="10">
        <v>17815</v>
      </c>
      <c r="E2180" s="10" t="s">
        <v>5</v>
      </c>
      <c r="F2180" s="10">
        <v>1026</v>
      </c>
    </row>
    <row r="2181" spans="1:6" x14ac:dyDescent="0.2">
      <c r="A2181" s="10" t="s">
        <v>589</v>
      </c>
      <c r="B2181" s="10" t="s">
        <v>74</v>
      </c>
      <c r="C2181" s="10" t="s">
        <v>47</v>
      </c>
      <c r="D2181" s="10">
        <v>19454</v>
      </c>
      <c r="E2181" s="10" t="s">
        <v>5</v>
      </c>
      <c r="F2181" s="10">
        <v>1033</v>
      </c>
    </row>
    <row r="2182" spans="1:6" x14ac:dyDescent="0.2">
      <c r="A2182" s="10" t="s">
        <v>589</v>
      </c>
      <c r="B2182" s="10" t="s">
        <v>604</v>
      </c>
      <c r="C2182" s="10" t="s">
        <v>47</v>
      </c>
      <c r="D2182" s="10">
        <v>19301</v>
      </c>
      <c r="E2182" s="10" t="s">
        <v>10</v>
      </c>
      <c r="F2182" s="10">
        <v>298</v>
      </c>
    </row>
    <row r="2183" spans="1:6" x14ac:dyDescent="0.2">
      <c r="A2183" s="10" t="s">
        <v>589</v>
      </c>
      <c r="B2183" s="10" t="s">
        <v>602</v>
      </c>
      <c r="C2183" s="10" t="s">
        <v>47</v>
      </c>
      <c r="D2183" s="10">
        <v>19145</v>
      </c>
      <c r="E2183" s="10" t="s">
        <v>5</v>
      </c>
      <c r="F2183" s="10">
        <v>1397</v>
      </c>
    </row>
    <row r="2184" spans="1:6" x14ac:dyDescent="0.2">
      <c r="A2184" s="10" t="s">
        <v>589</v>
      </c>
      <c r="B2184" s="10" t="s">
        <v>604</v>
      </c>
      <c r="C2184" s="10" t="s">
        <v>47</v>
      </c>
      <c r="D2184" s="10">
        <v>19087</v>
      </c>
      <c r="E2184" s="10" t="s">
        <v>5</v>
      </c>
      <c r="F2184" s="10">
        <v>1031</v>
      </c>
    </row>
    <row r="2185" spans="1:6" x14ac:dyDescent="0.2">
      <c r="A2185" s="10" t="s">
        <v>589</v>
      </c>
      <c r="B2185" s="10" t="s">
        <v>602</v>
      </c>
      <c r="C2185" s="10" t="s">
        <v>47</v>
      </c>
      <c r="D2185" s="10">
        <v>19102</v>
      </c>
      <c r="E2185" s="10" t="s">
        <v>5</v>
      </c>
      <c r="F2185" s="10">
        <v>1175</v>
      </c>
    </row>
    <row r="2186" spans="1:6" x14ac:dyDescent="0.2">
      <c r="A2186" s="10" t="s">
        <v>589</v>
      </c>
      <c r="B2186" s="10" t="s">
        <v>74</v>
      </c>
      <c r="C2186" s="10" t="s">
        <v>47</v>
      </c>
      <c r="D2186" s="10">
        <v>19468</v>
      </c>
      <c r="E2186" s="10" t="s">
        <v>5</v>
      </c>
      <c r="F2186" s="10">
        <v>700</v>
      </c>
    </row>
    <row r="2187" spans="1:6" x14ac:dyDescent="0.2">
      <c r="A2187" s="10" t="s">
        <v>589</v>
      </c>
      <c r="B2187" s="10" t="s">
        <v>74</v>
      </c>
      <c r="C2187" s="10" t="s">
        <v>47</v>
      </c>
      <c r="D2187" s="10">
        <v>19446</v>
      </c>
      <c r="E2187" s="10" t="s">
        <v>7</v>
      </c>
      <c r="F2187" s="10">
        <v>1313</v>
      </c>
    </row>
    <row r="2188" spans="1:6" x14ac:dyDescent="0.2">
      <c r="A2188" s="10" t="s">
        <v>589</v>
      </c>
      <c r="B2188" s="10" t="s">
        <v>605</v>
      </c>
      <c r="C2188" s="10" t="s">
        <v>47</v>
      </c>
      <c r="D2188" s="10">
        <v>15701</v>
      </c>
      <c r="E2188" s="10" t="s">
        <v>8</v>
      </c>
      <c r="F2188" s="10">
        <v>31205</v>
      </c>
    </row>
    <row r="2189" spans="1:6" x14ac:dyDescent="0.2">
      <c r="A2189" s="10" t="s">
        <v>589</v>
      </c>
      <c r="B2189" s="10" t="s">
        <v>424</v>
      </c>
      <c r="C2189" s="10" t="s">
        <v>47</v>
      </c>
      <c r="D2189" s="10">
        <v>16001</v>
      </c>
      <c r="E2189" s="10" t="s">
        <v>5</v>
      </c>
      <c r="F2189" s="10">
        <v>1524</v>
      </c>
    </row>
    <row r="2190" spans="1:6" x14ac:dyDescent="0.2">
      <c r="A2190" s="10" t="s">
        <v>589</v>
      </c>
      <c r="B2190" s="10" t="s">
        <v>603</v>
      </c>
      <c r="C2190" s="10" t="s">
        <v>47</v>
      </c>
      <c r="D2190" s="10">
        <v>19608</v>
      </c>
      <c r="E2190" s="10" t="s">
        <v>8</v>
      </c>
      <c r="F2190" s="10">
        <v>1019</v>
      </c>
    </row>
    <row r="2191" spans="1:6" x14ac:dyDescent="0.2">
      <c r="A2191" s="10" t="s">
        <v>589</v>
      </c>
      <c r="B2191" s="10" t="s">
        <v>424</v>
      </c>
      <c r="C2191" s="10" t="s">
        <v>47</v>
      </c>
      <c r="D2191" s="10">
        <v>16066</v>
      </c>
      <c r="E2191" s="10" t="s">
        <v>5</v>
      </c>
      <c r="F2191" s="10">
        <v>1532</v>
      </c>
    </row>
    <row r="2192" spans="1:6" x14ac:dyDescent="0.2">
      <c r="A2192" s="10" t="s">
        <v>589</v>
      </c>
      <c r="B2192" s="10" t="s">
        <v>74</v>
      </c>
      <c r="C2192" s="10" t="s">
        <v>47</v>
      </c>
      <c r="D2192" s="10">
        <v>19401</v>
      </c>
      <c r="E2192" s="10" t="s">
        <v>5</v>
      </c>
      <c r="F2192" s="10">
        <v>576</v>
      </c>
    </row>
    <row r="2193" spans="1:6" x14ac:dyDescent="0.2">
      <c r="A2193" s="10" t="s">
        <v>589</v>
      </c>
      <c r="B2193" s="10" t="s">
        <v>328</v>
      </c>
      <c r="C2193" s="10" t="s">
        <v>47</v>
      </c>
      <c r="D2193" s="10">
        <v>17201</v>
      </c>
      <c r="E2193" s="10" t="s">
        <v>5</v>
      </c>
      <c r="F2193" s="10">
        <v>714</v>
      </c>
    </row>
    <row r="2194" spans="1:6" x14ac:dyDescent="0.2">
      <c r="A2194" s="10" t="s">
        <v>589</v>
      </c>
      <c r="B2194" s="10" t="s">
        <v>74</v>
      </c>
      <c r="C2194" s="10" t="s">
        <v>47</v>
      </c>
      <c r="D2194" s="10">
        <v>19003</v>
      </c>
      <c r="E2194" s="10" t="s">
        <v>10</v>
      </c>
      <c r="F2194" s="10">
        <v>574</v>
      </c>
    </row>
    <row r="2195" spans="1:6" x14ac:dyDescent="0.2">
      <c r="A2195" s="10" t="s">
        <v>589</v>
      </c>
      <c r="B2195" s="10" t="s">
        <v>74</v>
      </c>
      <c r="C2195" s="10" t="s">
        <v>47</v>
      </c>
      <c r="D2195" s="10">
        <v>19010</v>
      </c>
      <c r="E2195" s="10" t="s">
        <v>5</v>
      </c>
      <c r="F2195" s="10">
        <v>1353</v>
      </c>
    </row>
    <row r="2196" spans="1:6" x14ac:dyDescent="0.2">
      <c r="A2196" s="10" t="s">
        <v>589</v>
      </c>
      <c r="B2196" s="10" t="s">
        <v>74</v>
      </c>
      <c r="C2196" s="10" t="s">
        <v>47</v>
      </c>
      <c r="D2196" s="10">
        <v>19072</v>
      </c>
      <c r="E2196" s="10" t="s">
        <v>5</v>
      </c>
      <c r="F2196" s="10">
        <v>1212</v>
      </c>
    </row>
    <row r="2197" spans="1:6" x14ac:dyDescent="0.2">
      <c r="A2197" s="10" t="s">
        <v>589</v>
      </c>
      <c r="B2197" s="10" t="s">
        <v>603</v>
      </c>
      <c r="C2197" s="10" t="s">
        <v>47</v>
      </c>
      <c r="D2197" s="10">
        <v>19605</v>
      </c>
      <c r="E2197" s="10" t="s">
        <v>7</v>
      </c>
      <c r="F2197" s="10">
        <v>987</v>
      </c>
    </row>
    <row r="2198" spans="1:6" x14ac:dyDescent="0.2">
      <c r="A2198" s="10" t="s">
        <v>589</v>
      </c>
      <c r="B2198" s="10" t="s">
        <v>604</v>
      </c>
      <c r="C2198" s="10" t="s">
        <v>47</v>
      </c>
      <c r="D2198" s="10">
        <v>19380</v>
      </c>
      <c r="E2198" s="10" t="s">
        <v>5</v>
      </c>
      <c r="F2198" s="10">
        <v>738</v>
      </c>
    </row>
    <row r="2199" spans="1:6" x14ac:dyDescent="0.2">
      <c r="A2199" s="10" t="s">
        <v>589</v>
      </c>
      <c r="B2199" s="10" t="s">
        <v>604</v>
      </c>
      <c r="C2199" s="10" t="s">
        <v>47</v>
      </c>
      <c r="D2199" s="10">
        <v>19341</v>
      </c>
      <c r="E2199" s="10" t="s">
        <v>5</v>
      </c>
      <c r="F2199" s="10">
        <v>1013</v>
      </c>
    </row>
    <row r="2200" spans="1:6" x14ac:dyDescent="0.2">
      <c r="A2200" s="10" t="s">
        <v>589</v>
      </c>
      <c r="B2200" s="10" t="s">
        <v>602</v>
      </c>
      <c r="C2200" s="10" t="s">
        <v>47</v>
      </c>
      <c r="D2200" s="10">
        <v>19124</v>
      </c>
      <c r="E2200" s="10" t="s">
        <v>5</v>
      </c>
      <c r="F2200" s="10">
        <v>1782</v>
      </c>
    </row>
    <row r="2201" spans="1:6" x14ac:dyDescent="0.2">
      <c r="A2201" s="10" t="s">
        <v>589</v>
      </c>
      <c r="B2201" s="10" t="s">
        <v>605</v>
      </c>
      <c r="C2201" s="10" t="s">
        <v>47</v>
      </c>
      <c r="D2201" s="10">
        <v>15701</v>
      </c>
      <c r="E2201" s="10" t="s">
        <v>5</v>
      </c>
      <c r="F2201" s="10">
        <v>808</v>
      </c>
    </row>
    <row r="2202" spans="1:6" x14ac:dyDescent="0.2">
      <c r="A2202" s="10" t="s">
        <v>589</v>
      </c>
      <c r="B2202" s="10" t="s">
        <v>606</v>
      </c>
      <c r="C2202" s="10" t="s">
        <v>47</v>
      </c>
      <c r="D2202" s="10">
        <v>16803</v>
      </c>
      <c r="E2202" s="10" t="s">
        <v>5</v>
      </c>
      <c r="F2202" s="10">
        <v>1061</v>
      </c>
    </row>
    <row r="2203" spans="1:6" x14ac:dyDescent="0.2">
      <c r="A2203" s="10" t="s">
        <v>589</v>
      </c>
      <c r="B2203" s="10" t="s">
        <v>293</v>
      </c>
      <c r="C2203" s="10" t="s">
        <v>47</v>
      </c>
      <c r="D2203" s="10">
        <v>19033</v>
      </c>
      <c r="E2203" s="10" t="s">
        <v>5</v>
      </c>
      <c r="F2203" s="10">
        <v>3409</v>
      </c>
    </row>
    <row r="2204" spans="1:6" x14ac:dyDescent="0.2">
      <c r="A2204" s="10" t="s">
        <v>589</v>
      </c>
      <c r="B2204" s="10" t="s">
        <v>293</v>
      </c>
      <c r="C2204" s="10" t="s">
        <v>47</v>
      </c>
      <c r="D2204" s="10">
        <v>19064</v>
      </c>
      <c r="E2204" s="10" t="s">
        <v>5</v>
      </c>
      <c r="F2204" s="10">
        <v>1833</v>
      </c>
    </row>
    <row r="2205" spans="1:6" x14ac:dyDescent="0.2">
      <c r="A2205" s="10" t="s">
        <v>589</v>
      </c>
      <c r="B2205" s="10" t="s">
        <v>74</v>
      </c>
      <c r="C2205" s="10" t="s">
        <v>47</v>
      </c>
      <c r="D2205" s="10">
        <v>19464</v>
      </c>
      <c r="E2205" s="10" t="s">
        <v>5</v>
      </c>
      <c r="F2205" s="10">
        <v>1508</v>
      </c>
    </row>
    <row r="2206" spans="1:6" x14ac:dyDescent="0.2">
      <c r="A2206" s="10" t="s">
        <v>589</v>
      </c>
      <c r="B2206" s="10" t="s">
        <v>602</v>
      </c>
      <c r="C2206" s="10" t="s">
        <v>47</v>
      </c>
      <c r="D2206" s="10">
        <v>19147</v>
      </c>
      <c r="E2206" s="10" t="s">
        <v>5</v>
      </c>
      <c r="F2206" s="10">
        <v>2332</v>
      </c>
    </row>
    <row r="2207" spans="1:6" x14ac:dyDescent="0.2">
      <c r="A2207" s="10" t="s">
        <v>589</v>
      </c>
      <c r="B2207" s="10" t="s">
        <v>293</v>
      </c>
      <c r="C2207" s="10" t="s">
        <v>47</v>
      </c>
      <c r="D2207" s="10">
        <v>19342</v>
      </c>
      <c r="E2207" s="10" t="s">
        <v>5</v>
      </c>
      <c r="F2207" s="10">
        <v>1657</v>
      </c>
    </row>
    <row r="2208" spans="1:6" x14ac:dyDescent="0.2">
      <c r="A2208" s="10" t="s">
        <v>589</v>
      </c>
      <c r="B2208" s="10" t="s">
        <v>607</v>
      </c>
      <c r="C2208" s="10" t="s">
        <v>47</v>
      </c>
      <c r="D2208" s="10">
        <v>17701</v>
      </c>
      <c r="E2208" s="10" t="s">
        <v>5</v>
      </c>
      <c r="F2208" s="10">
        <v>1460</v>
      </c>
    </row>
    <row r="2209" spans="1:6" x14ac:dyDescent="0.2">
      <c r="A2209" s="10" t="s">
        <v>589</v>
      </c>
      <c r="B2209" s="10" t="s">
        <v>604</v>
      </c>
      <c r="C2209" s="10" t="s">
        <v>47</v>
      </c>
      <c r="D2209" s="10">
        <v>19460</v>
      </c>
      <c r="E2209" s="10" t="s">
        <v>5</v>
      </c>
      <c r="F2209" s="10">
        <v>732</v>
      </c>
    </row>
    <row r="2210" spans="1:6" x14ac:dyDescent="0.2">
      <c r="A2210" s="10" t="s">
        <v>589</v>
      </c>
      <c r="B2210" s="10" t="s">
        <v>293</v>
      </c>
      <c r="C2210" s="10" t="s">
        <v>47</v>
      </c>
      <c r="D2210" s="10">
        <v>19083</v>
      </c>
      <c r="E2210" s="10" t="s">
        <v>5</v>
      </c>
      <c r="F2210" s="10">
        <v>865</v>
      </c>
    </row>
    <row r="2211" spans="1:6" x14ac:dyDescent="0.2">
      <c r="A2211" s="10" t="s">
        <v>589</v>
      </c>
      <c r="B2211" s="10" t="s">
        <v>603</v>
      </c>
      <c r="C2211" s="10" t="s">
        <v>47</v>
      </c>
      <c r="D2211" s="10">
        <v>19610</v>
      </c>
      <c r="E2211" s="10" t="s">
        <v>5</v>
      </c>
      <c r="F2211" s="10">
        <v>2200</v>
      </c>
    </row>
    <row r="2212" spans="1:6" x14ac:dyDescent="0.2">
      <c r="A2212" s="10" t="s">
        <v>589</v>
      </c>
      <c r="B2212" s="10" t="s">
        <v>602</v>
      </c>
      <c r="C2212" s="10" t="s">
        <v>47</v>
      </c>
      <c r="D2212" s="10">
        <v>19103</v>
      </c>
      <c r="E2212" s="10" t="s">
        <v>10</v>
      </c>
      <c r="F2212" s="10">
        <v>92</v>
      </c>
    </row>
    <row r="2213" spans="1:6" x14ac:dyDescent="0.2">
      <c r="A2213" s="10" t="s">
        <v>608</v>
      </c>
      <c r="B2213" s="10" t="s">
        <v>609</v>
      </c>
      <c r="C2213" s="10" t="s">
        <v>45</v>
      </c>
      <c r="D2213" s="10">
        <v>968</v>
      </c>
      <c r="E2213" s="10" t="s">
        <v>6</v>
      </c>
      <c r="F2213" s="10">
        <v>4184</v>
      </c>
    </row>
    <row r="2214" spans="1:6" x14ac:dyDescent="0.2">
      <c r="A2214" s="10" t="s">
        <v>608</v>
      </c>
      <c r="B2214" s="10" t="s">
        <v>610</v>
      </c>
      <c r="C2214" s="10" t="s">
        <v>45</v>
      </c>
      <c r="D2214" s="10">
        <v>725</v>
      </c>
      <c r="E2214" s="10" t="s">
        <v>7</v>
      </c>
      <c r="F2214" s="10">
        <v>2413</v>
      </c>
    </row>
    <row r="2215" spans="1:6" x14ac:dyDescent="0.2">
      <c r="A2215" s="10" t="s">
        <v>608</v>
      </c>
      <c r="B2215" s="10" t="s">
        <v>609</v>
      </c>
      <c r="C2215" s="10" t="s">
        <v>45</v>
      </c>
      <c r="D2215" s="10">
        <v>969</v>
      </c>
      <c r="E2215" s="10" t="s">
        <v>7</v>
      </c>
      <c r="F2215" s="10">
        <v>4607</v>
      </c>
    </row>
    <row r="2216" spans="1:6" x14ac:dyDescent="0.2">
      <c r="A2216" s="10" t="s">
        <v>608</v>
      </c>
      <c r="B2216" s="10" t="s">
        <v>611</v>
      </c>
      <c r="C2216" s="10" t="s">
        <v>46</v>
      </c>
      <c r="D2216" s="10">
        <v>987</v>
      </c>
      <c r="E2216" s="10" t="s">
        <v>7</v>
      </c>
      <c r="F2216" s="10">
        <v>3888</v>
      </c>
    </row>
    <row r="2217" spans="1:6" x14ac:dyDescent="0.2">
      <c r="A2217" s="10" t="s">
        <v>608</v>
      </c>
      <c r="B2217" s="10" t="s">
        <v>612</v>
      </c>
      <c r="C2217" s="10" t="s">
        <v>46</v>
      </c>
      <c r="D2217" s="10">
        <v>716</v>
      </c>
      <c r="E2217" s="10" t="s">
        <v>7</v>
      </c>
      <c r="F2217" s="10">
        <v>2451</v>
      </c>
    </row>
    <row r="2218" spans="1:6" x14ac:dyDescent="0.2">
      <c r="A2218" s="10" t="s">
        <v>608</v>
      </c>
      <c r="B2218" s="10" t="s">
        <v>613</v>
      </c>
      <c r="C2218" s="10" t="s">
        <v>46</v>
      </c>
      <c r="D2218" s="10">
        <v>680</v>
      </c>
      <c r="E2218" s="10" t="s">
        <v>7</v>
      </c>
      <c r="F2218" s="10">
        <v>8947</v>
      </c>
    </row>
    <row r="2219" spans="1:6" x14ac:dyDescent="0.2">
      <c r="A2219" s="10" t="s">
        <v>608</v>
      </c>
      <c r="B2219" s="10" t="s">
        <v>614</v>
      </c>
      <c r="C2219" s="10" t="s">
        <v>46</v>
      </c>
      <c r="D2219" s="10">
        <v>961</v>
      </c>
      <c r="E2219" s="10" t="s">
        <v>7</v>
      </c>
      <c r="F2219" s="10">
        <v>5561</v>
      </c>
    </row>
    <row r="2220" spans="1:6" x14ac:dyDescent="0.2">
      <c r="A2220" s="10" t="s">
        <v>608</v>
      </c>
      <c r="B2220" s="10" t="s">
        <v>615</v>
      </c>
      <c r="C2220" s="10" t="s">
        <v>47</v>
      </c>
      <c r="D2220" s="10">
        <v>987</v>
      </c>
      <c r="E2220" s="10" t="s">
        <v>7</v>
      </c>
      <c r="F2220" s="10">
        <v>3888</v>
      </c>
    </row>
    <row r="2221" spans="1:6" x14ac:dyDescent="0.2">
      <c r="A2221" s="10" t="s">
        <v>608</v>
      </c>
      <c r="B2221" s="10" t="s">
        <v>615</v>
      </c>
      <c r="C2221" s="10" t="s">
        <v>47</v>
      </c>
      <c r="D2221" s="10">
        <v>918</v>
      </c>
      <c r="E2221" s="10" t="s">
        <v>7</v>
      </c>
      <c r="F2221" s="10">
        <v>676</v>
      </c>
    </row>
    <row r="2222" spans="1:6" x14ac:dyDescent="0.2">
      <c r="A2222" s="10" t="s">
        <v>608</v>
      </c>
      <c r="B2222" s="10" t="s">
        <v>616</v>
      </c>
      <c r="C2222" s="10" t="s">
        <v>47</v>
      </c>
      <c r="D2222" s="10">
        <v>674</v>
      </c>
      <c r="E2222" s="10" t="s">
        <v>7</v>
      </c>
      <c r="F2222" s="10">
        <v>3845</v>
      </c>
    </row>
    <row r="2223" spans="1:6" x14ac:dyDescent="0.2">
      <c r="A2223" s="10" t="s">
        <v>617</v>
      </c>
      <c r="B2223" s="10" t="s">
        <v>618</v>
      </c>
      <c r="C2223" s="10" t="s">
        <v>45</v>
      </c>
      <c r="D2223" s="10">
        <v>2920</v>
      </c>
      <c r="E2223" s="10" t="s">
        <v>5</v>
      </c>
      <c r="F2223" s="10">
        <v>1128</v>
      </c>
    </row>
    <row r="2224" spans="1:6" x14ac:dyDescent="0.2">
      <c r="A2224" s="10" t="s">
        <v>617</v>
      </c>
      <c r="B2224" s="10" t="s">
        <v>618</v>
      </c>
      <c r="C2224" s="10" t="s">
        <v>45</v>
      </c>
      <c r="D2224" s="10">
        <v>2917</v>
      </c>
      <c r="E2224" s="10" t="s">
        <v>5</v>
      </c>
      <c r="F2224" s="10">
        <v>1895</v>
      </c>
    </row>
    <row r="2225" spans="1:6" x14ac:dyDescent="0.2">
      <c r="A2225" s="10" t="s">
        <v>617</v>
      </c>
      <c r="B2225" s="10" t="s">
        <v>618</v>
      </c>
      <c r="C2225" s="10" t="s">
        <v>45</v>
      </c>
      <c r="D2225" s="10">
        <v>2904</v>
      </c>
      <c r="E2225" s="10" t="s">
        <v>5</v>
      </c>
      <c r="F2225" s="10">
        <v>1407</v>
      </c>
    </row>
    <row r="2226" spans="1:6" x14ac:dyDescent="0.2">
      <c r="A2226" s="10" t="s">
        <v>617</v>
      </c>
      <c r="B2226" s="10" t="s">
        <v>170</v>
      </c>
      <c r="C2226" s="10" t="s">
        <v>46</v>
      </c>
      <c r="D2226" s="10">
        <v>2886</v>
      </c>
      <c r="E2226" s="10" t="s">
        <v>5</v>
      </c>
      <c r="F2226" s="10">
        <v>509</v>
      </c>
    </row>
    <row r="2227" spans="1:6" x14ac:dyDescent="0.2">
      <c r="A2227" s="10" t="s">
        <v>617</v>
      </c>
      <c r="B2227" s="10" t="s">
        <v>170</v>
      </c>
      <c r="C2227" s="10" t="s">
        <v>46</v>
      </c>
      <c r="D2227" s="10">
        <v>2818</v>
      </c>
      <c r="E2227" s="10" t="s">
        <v>8</v>
      </c>
      <c r="F2227" s="10">
        <v>191</v>
      </c>
    </row>
    <row r="2228" spans="1:6" x14ac:dyDescent="0.2">
      <c r="A2228" s="10" t="s">
        <v>617</v>
      </c>
      <c r="B2228" s="10" t="s">
        <v>619</v>
      </c>
      <c r="C2228" s="10" t="s">
        <v>46</v>
      </c>
      <c r="D2228" s="10">
        <v>2842</v>
      </c>
      <c r="E2228" s="10" t="s">
        <v>5</v>
      </c>
      <c r="F2228" s="10">
        <v>705</v>
      </c>
    </row>
    <row r="2229" spans="1:6" x14ac:dyDescent="0.2">
      <c r="A2229" s="10" t="s">
        <v>617</v>
      </c>
      <c r="B2229" s="10" t="s">
        <v>82</v>
      </c>
      <c r="C2229" s="10" t="s">
        <v>47</v>
      </c>
      <c r="D2229" s="10">
        <v>2852</v>
      </c>
      <c r="E2229" s="10" t="s">
        <v>5</v>
      </c>
      <c r="F2229" s="10">
        <v>1378</v>
      </c>
    </row>
    <row r="2230" spans="1:6" x14ac:dyDescent="0.2">
      <c r="A2230" s="10" t="s">
        <v>617</v>
      </c>
      <c r="B2230" s="10" t="s">
        <v>82</v>
      </c>
      <c r="C2230" s="10" t="s">
        <v>47</v>
      </c>
      <c r="D2230" s="10">
        <v>2891</v>
      </c>
      <c r="E2230" s="10" t="s">
        <v>5</v>
      </c>
      <c r="F2230" s="10">
        <v>23</v>
      </c>
    </row>
    <row r="2231" spans="1:6" x14ac:dyDescent="0.2">
      <c r="A2231" s="10" t="s">
        <v>617</v>
      </c>
      <c r="B2231" s="10" t="s">
        <v>82</v>
      </c>
      <c r="C2231" s="10" t="s">
        <v>47</v>
      </c>
      <c r="D2231" s="10">
        <v>2879</v>
      </c>
      <c r="E2231" s="10" t="s">
        <v>5</v>
      </c>
      <c r="F2231" s="10">
        <v>639</v>
      </c>
    </row>
    <row r="2232" spans="1:6" x14ac:dyDescent="0.2">
      <c r="A2232" s="10" t="s">
        <v>620</v>
      </c>
      <c r="B2232" s="10" t="s">
        <v>621</v>
      </c>
      <c r="C2232" s="10" t="s">
        <v>45</v>
      </c>
      <c r="D2232" s="10">
        <v>29582</v>
      </c>
      <c r="E2232" s="10" t="s">
        <v>6</v>
      </c>
      <c r="F2232" s="10">
        <v>1104</v>
      </c>
    </row>
    <row r="2233" spans="1:6" x14ac:dyDescent="0.2">
      <c r="A2233" s="10" t="s">
        <v>620</v>
      </c>
      <c r="B2233" s="10" t="s">
        <v>557</v>
      </c>
      <c r="C2233" s="10" t="s">
        <v>45</v>
      </c>
      <c r="D2233" s="10">
        <v>29223</v>
      </c>
      <c r="E2233" s="10" t="s">
        <v>6</v>
      </c>
      <c r="F2233" s="10">
        <v>2333</v>
      </c>
    </row>
    <row r="2234" spans="1:6" x14ac:dyDescent="0.2">
      <c r="A2234" s="10" t="s">
        <v>620</v>
      </c>
      <c r="B2234" s="10" t="s">
        <v>621</v>
      </c>
      <c r="C2234" s="10" t="s">
        <v>45</v>
      </c>
      <c r="D2234" s="10">
        <v>29577</v>
      </c>
      <c r="E2234" s="10" t="s">
        <v>7</v>
      </c>
      <c r="F2234" s="10">
        <v>5215</v>
      </c>
    </row>
    <row r="2235" spans="1:6" x14ac:dyDescent="0.2">
      <c r="A2235" s="10" t="s">
        <v>620</v>
      </c>
      <c r="B2235" s="10" t="s">
        <v>622</v>
      </c>
      <c r="C2235" s="10" t="s">
        <v>45</v>
      </c>
      <c r="D2235" s="10">
        <v>29483</v>
      </c>
      <c r="E2235" s="10" t="s">
        <v>5</v>
      </c>
      <c r="F2235" s="10">
        <v>2295</v>
      </c>
    </row>
    <row r="2236" spans="1:6" x14ac:dyDescent="0.2">
      <c r="A2236" s="10" t="s">
        <v>620</v>
      </c>
      <c r="B2236" s="10" t="s">
        <v>623</v>
      </c>
      <c r="C2236" s="10" t="s">
        <v>45</v>
      </c>
      <c r="D2236" s="10">
        <v>29621</v>
      </c>
      <c r="E2236" s="10" t="s">
        <v>6</v>
      </c>
      <c r="F2236" s="10">
        <v>1579</v>
      </c>
    </row>
    <row r="2237" spans="1:6" x14ac:dyDescent="0.2">
      <c r="A2237" s="10" t="s">
        <v>620</v>
      </c>
      <c r="B2237" s="10" t="s">
        <v>621</v>
      </c>
      <c r="C2237" s="10" t="s">
        <v>45</v>
      </c>
      <c r="D2237" s="10">
        <v>29588</v>
      </c>
      <c r="E2237" s="10" t="s">
        <v>6</v>
      </c>
      <c r="F2237" s="10">
        <v>3923</v>
      </c>
    </row>
    <row r="2238" spans="1:6" x14ac:dyDescent="0.2">
      <c r="A2238" s="10" t="s">
        <v>620</v>
      </c>
      <c r="B2238" s="10" t="s">
        <v>557</v>
      </c>
      <c r="C2238" s="10" t="s">
        <v>45</v>
      </c>
      <c r="D2238" s="10">
        <v>29205</v>
      </c>
      <c r="E2238" s="10" t="s">
        <v>6</v>
      </c>
      <c r="F2238" s="10">
        <v>2265</v>
      </c>
    </row>
    <row r="2239" spans="1:6" x14ac:dyDescent="0.2">
      <c r="A2239" s="10" t="s">
        <v>620</v>
      </c>
      <c r="B2239" s="10" t="s">
        <v>557</v>
      </c>
      <c r="C2239" s="10" t="s">
        <v>45</v>
      </c>
      <c r="D2239" s="10">
        <v>29205</v>
      </c>
      <c r="E2239" s="10" t="s">
        <v>5</v>
      </c>
      <c r="F2239" s="10">
        <v>1728</v>
      </c>
    </row>
    <row r="2240" spans="1:6" x14ac:dyDescent="0.2">
      <c r="A2240" s="10" t="s">
        <v>620</v>
      </c>
      <c r="B2240" s="10" t="s">
        <v>621</v>
      </c>
      <c r="C2240" s="10" t="s">
        <v>45</v>
      </c>
      <c r="D2240" s="10">
        <v>29526</v>
      </c>
      <c r="E2240" s="10" t="s">
        <v>6</v>
      </c>
      <c r="F2240" s="10">
        <v>2901</v>
      </c>
    </row>
    <row r="2241" spans="1:6" x14ac:dyDescent="0.2">
      <c r="A2241" s="10" t="s">
        <v>620</v>
      </c>
      <c r="B2241" s="10" t="s">
        <v>461</v>
      </c>
      <c r="C2241" s="10" t="s">
        <v>46</v>
      </c>
      <c r="D2241" s="10">
        <v>29910</v>
      </c>
      <c r="E2241" s="10" t="s">
        <v>5</v>
      </c>
      <c r="F2241" s="10">
        <v>1373</v>
      </c>
    </row>
    <row r="2242" spans="1:6" x14ac:dyDescent="0.2">
      <c r="A2242" s="10" t="s">
        <v>620</v>
      </c>
      <c r="B2242" s="10" t="s">
        <v>624</v>
      </c>
      <c r="C2242" s="10" t="s">
        <v>46</v>
      </c>
      <c r="D2242" s="10">
        <v>29640</v>
      </c>
      <c r="E2242" s="10" t="s">
        <v>5</v>
      </c>
      <c r="F2242" s="10">
        <v>1913</v>
      </c>
    </row>
    <row r="2243" spans="1:6" x14ac:dyDescent="0.2">
      <c r="A2243" s="10" t="s">
        <v>620</v>
      </c>
      <c r="B2243" s="10" t="s">
        <v>625</v>
      </c>
      <c r="C2243" s="10" t="s">
        <v>46</v>
      </c>
      <c r="D2243" s="10">
        <v>29803</v>
      </c>
      <c r="E2243" s="10" t="s">
        <v>5</v>
      </c>
      <c r="F2243" s="10">
        <v>1565</v>
      </c>
    </row>
    <row r="2244" spans="1:6" x14ac:dyDescent="0.2">
      <c r="A2244" s="10" t="s">
        <v>620</v>
      </c>
      <c r="B2244" s="10" t="s">
        <v>626</v>
      </c>
      <c r="C2244" s="10" t="s">
        <v>46</v>
      </c>
      <c r="D2244" s="10">
        <v>29501</v>
      </c>
      <c r="E2244" s="10" t="s">
        <v>6</v>
      </c>
      <c r="F2244" s="10">
        <v>2426</v>
      </c>
    </row>
    <row r="2245" spans="1:6" x14ac:dyDescent="0.2">
      <c r="A2245" s="10" t="s">
        <v>620</v>
      </c>
      <c r="B2245" s="10" t="s">
        <v>627</v>
      </c>
      <c r="C2245" s="10" t="s">
        <v>46</v>
      </c>
      <c r="D2245" s="10">
        <v>29150</v>
      </c>
      <c r="E2245" s="10" t="s">
        <v>5</v>
      </c>
      <c r="F2245" s="10">
        <v>2512</v>
      </c>
    </row>
    <row r="2246" spans="1:6" x14ac:dyDescent="0.2">
      <c r="A2246" s="10" t="s">
        <v>620</v>
      </c>
      <c r="B2246" s="10" t="s">
        <v>625</v>
      </c>
      <c r="C2246" s="10" t="s">
        <v>46</v>
      </c>
      <c r="D2246" s="10">
        <v>29841</v>
      </c>
      <c r="E2246" s="10" t="s">
        <v>6</v>
      </c>
      <c r="F2246" s="10">
        <v>6028</v>
      </c>
    </row>
    <row r="2247" spans="1:6" x14ac:dyDescent="0.2">
      <c r="A2247" s="10" t="s">
        <v>620</v>
      </c>
      <c r="B2247" s="10" t="s">
        <v>461</v>
      </c>
      <c r="C2247" s="10" t="s">
        <v>46</v>
      </c>
      <c r="D2247" s="10">
        <v>29928</v>
      </c>
      <c r="E2247" s="10" t="s">
        <v>5</v>
      </c>
      <c r="F2247" s="10">
        <v>953</v>
      </c>
    </row>
    <row r="2248" spans="1:6" x14ac:dyDescent="0.2">
      <c r="A2248" s="10" t="s">
        <v>620</v>
      </c>
      <c r="B2248" s="10" t="s">
        <v>461</v>
      </c>
      <c r="C2248" s="10" t="s">
        <v>46</v>
      </c>
      <c r="D2248" s="10">
        <v>29906</v>
      </c>
      <c r="E2248" s="10" t="s">
        <v>5</v>
      </c>
      <c r="F2248" s="10">
        <v>1359</v>
      </c>
    </row>
    <row r="2249" spans="1:6" x14ac:dyDescent="0.2">
      <c r="A2249" s="10" t="s">
        <v>620</v>
      </c>
      <c r="B2249" s="10" t="s">
        <v>628</v>
      </c>
      <c r="C2249" s="10" t="s">
        <v>46</v>
      </c>
      <c r="D2249" s="10">
        <v>29118</v>
      </c>
      <c r="E2249" s="10" t="s">
        <v>7</v>
      </c>
      <c r="F2249" s="10">
        <v>1259</v>
      </c>
    </row>
    <row r="2250" spans="1:6" x14ac:dyDescent="0.2">
      <c r="A2250" s="10" t="s">
        <v>620</v>
      </c>
      <c r="B2250" s="10" t="s">
        <v>374</v>
      </c>
      <c r="C2250" s="10" t="s">
        <v>47</v>
      </c>
      <c r="D2250" s="10">
        <v>29730</v>
      </c>
      <c r="E2250" s="10" t="s">
        <v>5</v>
      </c>
      <c r="F2250" s="10">
        <v>1251</v>
      </c>
    </row>
    <row r="2251" spans="1:6" x14ac:dyDescent="0.2">
      <c r="A2251" s="10" t="s">
        <v>620</v>
      </c>
      <c r="B2251" s="10" t="s">
        <v>629</v>
      </c>
      <c r="C2251" s="10" t="s">
        <v>47</v>
      </c>
      <c r="D2251" s="10">
        <v>29407</v>
      </c>
      <c r="E2251" s="10" t="s">
        <v>5</v>
      </c>
      <c r="F2251" s="10">
        <v>2127</v>
      </c>
    </row>
    <row r="2252" spans="1:6" x14ac:dyDescent="0.2">
      <c r="A2252" s="10" t="s">
        <v>620</v>
      </c>
      <c r="B2252" s="10" t="s">
        <v>629</v>
      </c>
      <c r="C2252" s="10" t="s">
        <v>47</v>
      </c>
      <c r="D2252" s="10">
        <v>29406</v>
      </c>
      <c r="E2252" s="10" t="s">
        <v>6</v>
      </c>
      <c r="F2252" s="10">
        <v>2517</v>
      </c>
    </row>
    <row r="2253" spans="1:6" x14ac:dyDescent="0.2">
      <c r="A2253" s="10" t="s">
        <v>620</v>
      </c>
      <c r="B2253" s="10" t="s">
        <v>630</v>
      </c>
      <c r="C2253" s="10" t="s">
        <v>47</v>
      </c>
      <c r="D2253" s="10">
        <v>29609</v>
      </c>
      <c r="E2253" s="10" t="s">
        <v>5</v>
      </c>
      <c r="F2253" s="10">
        <v>2120</v>
      </c>
    </row>
    <row r="2254" spans="1:6" x14ac:dyDescent="0.2">
      <c r="A2254" s="10" t="s">
        <v>620</v>
      </c>
      <c r="B2254" s="10" t="s">
        <v>630</v>
      </c>
      <c r="C2254" s="10" t="s">
        <v>47</v>
      </c>
      <c r="D2254" s="10">
        <v>29607</v>
      </c>
      <c r="E2254" s="10" t="s">
        <v>6</v>
      </c>
      <c r="F2254" s="10">
        <v>3266</v>
      </c>
    </row>
    <row r="2255" spans="1:6" x14ac:dyDescent="0.2">
      <c r="A2255" s="10" t="s">
        <v>620</v>
      </c>
      <c r="B2255" s="10" t="s">
        <v>374</v>
      </c>
      <c r="C2255" s="10" t="s">
        <v>47</v>
      </c>
      <c r="D2255" s="10">
        <v>29732</v>
      </c>
      <c r="E2255" s="10" t="s">
        <v>6</v>
      </c>
      <c r="F2255" s="10">
        <v>3336</v>
      </c>
    </row>
    <row r="2256" spans="1:6" x14ac:dyDescent="0.2">
      <c r="A2256" s="10" t="s">
        <v>620</v>
      </c>
      <c r="B2256" s="10" t="s">
        <v>629</v>
      </c>
      <c r="C2256" s="10" t="s">
        <v>47</v>
      </c>
      <c r="D2256" s="10">
        <v>29464</v>
      </c>
      <c r="E2256" s="10" t="s">
        <v>5</v>
      </c>
      <c r="F2256" s="10">
        <v>1273</v>
      </c>
    </row>
    <row r="2257" spans="1:6" x14ac:dyDescent="0.2">
      <c r="A2257" s="10" t="s">
        <v>620</v>
      </c>
      <c r="B2257" s="10" t="s">
        <v>629</v>
      </c>
      <c r="C2257" s="10" t="s">
        <v>47</v>
      </c>
      <c r="D2257" s="10">
        <v>29464</v>
      </c>
      <c r="E2257" s="10" t="s">
        <v>6</v>
      </c>
      <c r="F2257" s="10">
        <v>1704</v>
      </c>
    </row>
    <row r="2258" spans="1:6" x14ac:dyDescent="0.2">
      <c r="A2258" s="10" t="s">
        <v>620</v>
      </c>
      <c r="B2258" s="10" t="s">
        <v>630</v>
      </c>
      <c r="C2258" s="10" t="s">
        <v>47</v>
      </c>
      <c r="D2258" s="10">
        <v>29607</v>
      </c>
      <c r="E2258" s="10" t="s">
        <v>8</v>
      </c>
      <c r="F2258" s="10">
        <v>205</v>
      </c>
    </row>
    <row r="2259" spans="1:6" x14ac:dyDescent="0.2">
      <c r="A2259" s="10" t="s">
        <v>620</v>
      </c>
      <c r="B2259" s="10" t="s">
        <v>630</v>
      </c>
      <c r="C2259" s="10" t="s">
        <v>47</v>
      </c>
      <c r="D2259" s="10">
        <v>29607</v>
      </c>
      <c r="E2259" s="10" t="s">
        <v>5</v>
      </c>
      <c r="F2259" s="10">
        <v>2590</v>
      </c>
    </row>
    <row r="2260" spans="1:6" x14ac:dyDescent="0.2">
      <c r="A2260" s="10" t="s">
        <v>620</v>
      </c>
      <c r="B2260" s="10" t="s">
        <v>631</v>
      </c>
      <c r="C2260" s="10" t="s">
        <v>47</v>
      </c>
      <c r="D2260" s="10">
        <v>29649</v>
      </c>
      <c r="E2260" s="10" t="s">
        <v>7</v>
      </c>
      <c r="F2260" s="10">
        <v>3266</v>
      </c>
    </row>
    <row r="2261" spans="1:6" x14ac:dyDescent="0.2">
      <c r="A2261" s="10" t="s">
        <v>620</v>
      </c>
      <c r="B2261" s="10" t="s">
        <v>632</v>
      </c>
      <c r="C2261" s="10" t="s">
        <v>47</v>
      </c>
      <c r="D2261" s="10">
        <v>29301</v>
      </c>
      <c r="E2261" s="10" t="s">
        <v>8</v>
      </c>
      <c r="F2261" s="10">
        <v>2904</v>
      </c>
    </row>
    <row r="2262" spans="1:6" x14ac:dyDescent="0.2">
      <c r="A2262" s="10" t="s">
        <v>620</v>
      </c>
      <c r="B2262" s="10" t="s">
        <v>630</v>
      </c>
      <c r="C2262" s="10" t="s">
        <v>47</v>
      </c>
      <c r="D2262" s="10">
        <v>29601</v>
      </c>
      <c r="E2262" s="10" t="s">
        <v>5</v>
      </c>
      <c r="F2262" s="10">
        <v>2512</v>
      </c>
    </row>
    <row r="2263" spans="1:6" x14ac:dyDescent="0.2">
      <c r="A2263" s="10" t="s">
        <v>620</v>
      </c>
      <c r="B2263" s="10" t="s">
        <v>633</v>
      </c>
      <c r="C2263" s="10" t="s">
        <v>47</v>
      </c>
      <c r="D2263" s="10">
        <v>29678</v>
      </c>
      <c r="E2263" s="10" t="s">
        <v>5</v>
      </c>
      <c r="F2263" s="10">
        <v>2626</v>
      </c>
    </row>
    <row r="2264" spans="1:6" x14ac:dyDescent="0.2">
      <c r="A2264" s="10" t="s">
        <v>620</v>
      </c>
      <c r="B2264" s="10" t="s">
        <v>629</v>
      </c>
      <c r="C2264" s="10" t="s">
        <v>47</v>
      </c>
      <c r="D2264" s="10">
        <v>29407</v>
      </c>
      <c r="E2264" s="10" t="s">
        <v>6</v>
      </c>
      <c r="F2264" s="10">
        <v>5061</v>
      </c>
    </row>
    <row r="2265" spans="1:6" x14ac:dyDescent="0.2">
      <c r="A2265" s="10" t="s">
        <v>620</v>
      </c>
      <c r="B2265" s="10" t="s">
        <v>634</v>
      </c>
      <c r="C2265" s="10" t="s">
        <v>47</v>
      </c>
      <c r="D2265" s="10">
        <v>29072</v>
      </c>
      <c r="E2265" s="10" t="s">
        <v>6</v>
      </c>
      <c r="F2265" s="10">
        <v>3300</v>
      </c>
    </row>
    <row r="2266" spans="1:6" x14ac:dyDescent="0.2">
      <c r="A2266" s="10" t="s">
        <v>620</v>
      </c>
      <c r="B2266" s="10" t="s">
        <v>634</v>
      </c>
      <c r="C2266" s="10" t="s">
        <v>47</v>
      </c>
      <c r="D2266" s="10">
        <v>29212</v>
      </c>
      <c r="E2266" s="10" t="s">
        <v>5</v>
      </c>
      <c r="F2266" s="10">
        <v>4888</v>
      </c>
    </row>
    <row r="2267" spans="1:6" x14ac:dyDescent="0.2">
      <c r="A2267" s="10" t="s">
        <v>620</v>
      </c>
      <c r="B2267" s="10" t="s">
        <v>630</v>
      </c>
      <c r="C2267" s="10" t="s">
        <v>47</v>
      </c>
      <c r="D2267" s="10">
        <v>29650</v>
      </c>
      <c r="E2267" s="10" t="s">
        <v>5</v>
      </c>
      <c r="F2267" s="10">
        <v>2629</v>
      </c>
    </row>
    <row r="2268" spans="1:6" x14ac:dyDescent="0.2">
      <c r="A2268" s="10" t="s">
        <v>620</v>
      </c>
      <c r="B2268" s="10" t="s">
        <v>629</v>
      </c>
      <c r="C2268" s="10" t="s">
        <v>47</v>
      </c>
      <c r="D2268" s="10">
        <v>29418</v>
      </c>
      <c r="E2268" s="10" t="s">
        <v>5</v>
      </c>
      <c r="F2268" s="10">
        <v>1326</v>
      </c>
    </row>
    <row r="2269" spans="1:6" x14ac:dyDescent="0.2">
      <c r="A2269" s="10" t="s">
        <v>620</v>
      </c>
      <c r="B2269" s="10" t="s">
        <v>632</v>
      </c>
      <c r="C2269" s="10" t="s">
        <v>47</v>
      </c>
      <c r="D2269" s="10">
        <v>29307</v>
      </c>
      <c r="E2269" s="10" t="s">
        <v>6</v>
      </c>
      <c r="F2269" s="10">
        <v>2366</v>
      </c>
    </row>
    <row r="2270" spans="1:6" x14ac:dyDescent="0.2">
      <c r="A2270" s="10" t="s">
        <v>620</v>
      </c>
      <c r="B2270" s="10" t="s">
        <v>632</v>
      </c>
      <c r="C2270" s="10" t="s">
        <v>47</v>
      </c>
      <c r="D2270" s="10">
        <v>29301</v>
      </c>
      <c r="E2270" s="10" t="s">
        <v>6</v>
      </c>
      <c r="F2270" s="10">
        <v>3233</v>
      </c>
    </row>
    <row r="2271" spans="1:6" x14ac:dyDescent="0.2">
      <c r="A2271" s="10" t="s">
        <v>635</v>
      </c>
      <c r="B2271" s="10" t="s">
        <v>636</v>
      </c>
      <c r="C2271" s="10" t="s">
        <v>46</v>
      </c>
      <c r="D2271" s="10">
        <v>57701</v>
      </c>
      <c r="E2271" s="10" t="s">
        <v>6</v>
      </c>
      <c r="F2271" s="10">
        <v>933</v>
      </c>
    </row>
    <row r="2272" spans="1:6" x14ac:dyDescent="0.2">
      <c r="A2272" s="10" t="s">
        <v>635</v>
      </c>
      <c r="B2272" s="10" t="s">
        <v>637</v>
      </c>
      <c r="C2272" s="10" t="s">
        <v>46</v>
      </c>
      <c r="D2272" s="10">
        <v>57401</v>
      </c>
      <c r="E2272" s="10" t="s">
        <v>7</v>
      </c>
      <c r="F2272" s="10">
        <v>896</v>
      </c>
    </row>
    <row r="2273" spans="1:6" x14ac:dyDescent="0.2">
      <c r="A2273" s="10" t="s">
        <v>635</v>
      </c>
      <c r="B2273" s="10" t="s">
        <v>638</v>
      </c>
      <c r="C2273" s="10" t="s">
        <v>47</v>
      </c>
      <c r="D2273" s="10">
        <v>57108</v>
      </c>
      <c r="E2273" s="10" t="s">
        <v>8</v>
      </c>
      <c r="F2273" s="10">
        <v>635</v>
      </c>
    </row>
    <row r="2274" spans="1:6" x14ac:dyDescent="0.2">
      <c r="A2274" s="10" t="s">
        <v>635</v>
      </c>
      <c r="B2274" s="10" t="s">
        <v>639</v>
      </c>
      <c r="C2274" s="10" t="s">
        <v>47</v>
      </c>
      <c r="D2274" s="10">
        <v>57105</v>
      </c>
      <c r="E2274" s="10" t="s">
        <v>6</v>
      </c>
      <c r="F2274" s="10">
        <v>966</v>
      </c>
    </row>
    <row r="2275" spans="1:6" x14ac:dyDescent="0.2">
      <c r="A2275" s="10" t="s">
        <v>635</v>
      </c>
      <c r="B2275" s="10" t="s">
        <v>639</v>
      </c>
      <c r="C2275" s="10" t="s">
        <v>47</v>
      </c>
      <c r="D2275" s="10">
        <v>57105</v>
      </c>
      <c r="E2275" s="10" t="s">
        <v>5</v>
      </c>
      <c r="F2275" s="10">
        <v>1461</v>
      </c>
    </row>
    <row r="2276" spans="1:6" x14ac:dyDescent="0.2">
      <c r="A2276" s="10" t="s">
        <v>640</v>
      </c>
      <c r="B2276" s="10" t="s">
        <v>375</v>
      </c>
      <c r="C2276" s="10" t="s">
        <v>45</v>
      </c>
      <c r="D2276" s="10">
        <v>38555</v>
      </c>
      <c r="E2276" s="10" t="s">
        <v>5</v>
      </c>
      <c r="F2276" s="10">
        <v>1303</v>
      </c>
    </row>
    <row r="2277" spans="1:6" x14ac:dyDescent="0.2">
      <c r="A2277" s="10" t="s">
        <v>640</v>
      </c>
      <c r="B2277" s="10" t="s">
        <v>184</v>
      </c>
      <c r="C2277" s="10" t="s">
        <v>45</v>
      </c>
      <c r="D2277" s="10">
        <v>38501</v>
      </c>
      <c r="E2277" s="10" t="s">
        <v>7</v>
      </c>
      <c r="F2277" s="10">
        <v>4103</v>
      </c>
    </row>
    <row r="2278" spans="1:6" x14ac:dyDescent="0.2">
      <c r="A2278" s="10" t="s">
        <v>640</v>
      </c>
      <c r="B2278" s="10" t="s">
        <v>641</v>
      </c>
      <c r="C2278" s="10" t="s">
        <v>45</v>
      </c>
      <c r="D2278" s="10">
        <v>37303</v>
      </c>
      <c r="E2278" s="10" t="s">
        <v>5</v>
      </c>
      <c r="F2278" s="10">
        <v>882</v>
      </c>
    </row>
    <row r="2279" spans="1:6" x14ac:dyDescent="0.2">
      <c r="A2279" s="10" t="s">
        <v>640</v>
      </c>
      <c r="B2279" s="10" t="s">
        <v>642</v>
      </c>
      <c r="C2279" s="10" t="s">
        <v>45</v>
      </c>
      <c r="D2279" s="10">
        <v>37055</v>
      </c>
      <c r="E2279" s="10" t="s">
        <v>6</v>
      </c>
      <c r="F2279" s="10">
        <v>2567</v>
      </c>
    </row>
    <row r="2280" spans="1:6" x14ac:dyDescent="0.2">
      <c r="A2280" s="10" t="s">
        <v>640</v>
      </c>
      <c r="B2280" s="10" t="s">
        <v>184</v>
      </c>
      <c r="C2280" s="10" t="s">
        <v>45</v>
      </c>
      <c r="D2280" s="10">
        <v>38501</v>
      </c>
      <c r="E2280" s="10" t="s">
        <v>5</v>
      </c>
      <c r="F2280" s="10">
        <v>1899</v>
      </c>
    </row>
    <row r="2281" spans="1:6" x14ac:dyDescent="0.2">
      <c r="A2281" s="10" t="s">
        <v>640</v>
      </c>
      <c r="B2281" s="10" t="s">
        <v>643</v>
      </c>
      <c r="C2281" s="10" t="s">
        <v>45</v>
      </c>
      <c r="D2281" s="10">
        <v>37027</v>
      </c>
      <c r="E2281" s="10" t="s">
        <v>10</v>
      </c>
      <c r="F2281" s="10">
        <v>548</v>
      </c>
    </row>
    <row r="2282" spans="1:6" x14ac:dyDescent="0.2">
      <c r="A2282" s="10" t="s">
        <v>640</v>
      </c>
      <c r="B2282" s="10" t="s">
        <v>643</v>
      </c>
      <c r="C2282" s="10" t="s">
        <v>45</v>
      </c>
      <c r="D2282" s="10">
        <v>37027</v>
      </c>
      <c r="E2282" s="10" t="s">
        <v>6</v>
      </c>
      <c r="F2282" s="10">
        <v>3300</v>
      </c>
    </row>
    <row r="2283" spans="1:6" x14ac:dyDescent="0.2">
      <c r="A2283" s="10" t="s">
        <v>640</v>
      </c>
      <c r="B2283" s="10" t="s">
        <v>643</v>
      </c>
      <c r="C2283" s="10" t="s">
        <v>45</v>
      </c>
      <c r="D2283" s="10">
        <v>37067</v>
      </c>
      <c r="E2283" s="10" t="s">
        <v>6</v>
      </c>
      <c r="F2283" s="10">
        <v>888</v>
      </c>
    </row>
    <row r="2284" spans="1:6" x14ac:dyDescent="0.2">
      <c r="A2284" s="10" t="s">
        <v>640</v>
      </c>
      <c r="B2284" s="10" t="s">
        <v>643</v>
      </c>
      <c r="C2284" s="10" t="s">
        <v>45</v>
      </c>
      <c r="D2284" s="10">
        <v>37067</v>
      </c>
      <c r="E2284" s="10" t="s">
        <v>5</v>
      </c>
      <c r="F2284" s="10">
        <v>2657</v>
      </c>
    </row>
    <row r="2285" spans="1:6" x14ac:dyDescent="0.2">
      <c r="A2285" s="10" t="s">
        <v>640</v>
      </c>
      <c r="B2285" s="10" t="s">
        <v>82</v>
      </c>
      <c r="C2285" s="10" t="s">
        <v>45</v>
      </c>
      <c r="D2285" s="10">
        <v>37601</v>
      </c>
      <c r="E2285" s="10" t="s">
        <v>6</v>
      </c>
      <c r="F2285" s="10">
        <v>1262</v>
      </c>
    </row>
    <row r="2286" spans="1:6" x14ac:dyDescent="0.2">
      <c r="A2286" s="10" t="s">
        <v>640</v>
      </c>
      <c r="B2286" s="10" t="s">
        <v>74</v>
      </c>
      <c r="C2286" s="10" t="s">
        <v>45</v>
      </c>
      <c r="D2286" s="10">
        <v>37040</v>
      </c>
      <c r="E2286" s="10" t="s">
        <v>6</v>
      </c>
      <c r="F2286" s="10">
        <v>1814</v>
      </c>
    </row>
    <row r="2287" spans="1:6" x14ac:dyDescent="0.2">
      <c r="A2287" s="10" t="s">
        <v>640</v>
      </c>
      <c r="B2287" s="10" t="s">
        <v>77</v>
      </c>
      <c r="C2287" s="10" t="s">
        <v>46</v>
      </c>
      <c r="D2287" s="10">
        <v>38138</v>
      </c>
      <c r="E2287" s="10" t="s">
        <v>10</v>
      </c>
      <c r="F2287" s="10">
        <v>2266</v>
      </c>
    </row>
    <row r="2288" spans="1:6" x14ac:dyDescent="0.2">
      <c r="A2288" s="10" t="s">
        <v>640</v>
      </c>
      <c r="B2288" s="10" t="s">
        <v>644</v>
      </c>
      <c r="C2288" s="10" t="s">
        <v>46</v>
      </c>
      <c r="D2288" s="10">
        <v>37075</v>
      </c>
      <c r="E2288" s="10" t="s">
        <v>6</v>
      </c>
      <c r="F2288" s="10">
        <v>1415</v>
      </c>
    </row>
    <row r="2289" spans="1:6" x14ac:dyDescent="0.2">
      <c r="A2289" s="10" t="s">
        <v>640</v>
      </c>
      <c r="B2289" s="10" t="s">
        <v>446</v>
      </c>
      <c r="C2289" s="10" t="s">
        <v>46</v>
      </c>
      <c r="D2289" s="10">
        <v>37129</v>
      </c>
      <c r="E2289" s="10" t="s">
        <v>5</v>
      </c>
      <c r="F2289" s="10">
        <v>3049</v>
      </c>
    </row>
    <row r="2290" spans="1:6" x14ac:dyDescent="0.2">
      <c r="A2290" s="10" t="s">
        <v>640</v>
      </c>
      <c r="B2290" s="10" t="s">
        <v>77</v>
      </c>
      <c r="C2290" s="10" t="s">
        <v>46</v>
      </c>
      <c r="D2290" s="10">
        <v>38119</v>
      </c>
      <c r="E2290" s="10" t="s">
        <v>6</v>
      </c>
      <c r="F2290" s="10">
        <v>1354</v>
      </c>
    </row>
    <row r="2291" spans="1:6" x14ac:dyDescent="0.2">
      <c r="A2291" s="10" t="s">
        <v>640</v>
      </c>
      <c r="B2291" s="10" t="s">
        <v>307</v>
      </c>
      <c r="C2291" s="10" t="s">
        <v>46</v>
      </c>
      <c r="D2291" s="10">
        <v>37923</v>
      </c>
      <c r="E2291" s="10" t="s">
        <v>5</v>
      </c>
      <c r="F2291" s="10">
        <v>1666</v>
      </c>
    </row>
    <row r="2292" spans="1:6" x14ac:dyDescent="0.2">
      <c r="A2292" s="10" t="s">
        <v>640</v>
      </c>
      <c r="B2292" s="10" t="s">
        <v>307</v>
      </c>
      <c r="C2292" s="10" t="s">
        <v>46</v>
      </c>
      <c r="D2292" s="10">
        <v>37917</v>
      </c>
      <c r="E2292" s="10" t="s">
        <v>6</v>
      </c>
      <c r="F2292" s="10">
        <v>1081</v>
      </c>
    </row>
    <row r="2293" spans="1:6" x14ac:dyDescent="0.2">
      <c r="A2293" s="10" t="s">
        <v>640</v>
      </c>
      <c r="B2293" s="10" t="s">
        <v>307</v>
      </c>
      <c r="C2293" s="10" t="s">
        <v>46</v>
      </c>
      <c r="D2293" s="10">
        <v>37912</v>
      </c>
      <c r="E2293" s="10" t="s">
        <v>7</v>
      </c>
      <c r="F2293" s="10">
        <v>1372</v>
      </c>
    </row>
    <row r="2294" spans="1:6" x14ac:dyDescent="0.2">
      <c r="A2294" s="10" t="s">
        <v>640</v>
      </c>
      <c r="B2294" s="10" t="s">
        <v>446</v>
      </c>
      <c r="C2294" s="10" t="s">
        <v>46</v>
      </c>
      <c r="D2294" s="10">
        <v>37129</v>
      </c>
      <c r="E2294" s="10" t="s">
        <v>8</v>
      </c>
      <c r="F2294" s="10">
        <v>287</v>
      </c>
    </row>
    <row r="2295" spans="1:6" x14ac:dyDescent="0.2">
      <c r="A2295" s="10" t="s">
        <v>640</v>
      </c>
      <c r="B2295" s="10" t="s">
        <v>423</v>
      </c>
      <c r="C2295" s="10" t="s">
        <v>46</v>
      </c>
      <c r="D2295" s="10">
        <v>37745</v>
      </c>
      <c r="E2295" s="10" t="s">
        <v>5</v>
      </c>
      <c r="F2295" s="10">
        <v>2131</v>
      </c>
    </row>
    <row r="2296" spans="1:6" x14ac:dyDescent="0.2">
      <c r="A2296" s="10" t="s">
        <v>640</v>
      </c>
      <c r="B2296" s="10" t="s">
        <v>62</v>
      </c>
      <c r="C2296" s="10" t="s">
        <v>46</v>
      </c>
      <c r="D2296" s="10">
        <v>38305</v>
      </c>
      <c r="E2296" s="10" t="s">
        <v>7</v>
      </c>
      <c r="F2296" s="10">
        <v>1558</v>
      </c>
    </row>
    <row r="2297" spans="1:6" x14ac:dyDescent="0.2">
      <c r="A2297" s="10" t="s">
        <v>640</v>
      </c>
      <c r="B2297" s="10" t="s">
        <v>446</v>
      </c>
      <c r="C2297" s="10" t="s">
        <v>46</v>
      </c>
      <c r="D2297" s="10">
        <v>37129</v>
      </c>
      <c r="E2297" s="10" t="s">
        <v>6</v>
      </c>
      <c r="F2297" s="10">
        <v>2182</v>
      </c>
    </row>
    <row r="2298" spans="1:6" x14ac:dyDescent="0.2">
      <c r="A2298" s="10" t="s">
        <v>640</v>
      </c>
      <c r="B2298" s="10" t="s">
        <v>77</v>
      </c>
      <c r="C2298" s="10" t="s">
        <v>46</v>
      </c>
      <c r="D2298" s="10">
        <v>38138</v>
      </c>
      <c r="E2298" s="10" t="s">
        <v>6</v>
      </c>
      <c r="F2298" s="10">
        <v>2166</v>
      </c>
    </row>
    <row r="2299" spans="1:6" x14ac:dyDescent="0.2">
      <c r="A2299" s="10" t="s">
        <v>640</v>
      </c>
      <c r="B2299" s="10" t="s">
        <v>307</v>
      </c>
      <c r="C2299" s="10" t="s">
        <v>46</v>
      </c>
      <c r="D2299" s="10">
        <v>37923</v>
      </c>
      <c r="E2299" s="10" t="s">
        <v>8</v>
      </c>
      <c r="F2299" s="10">
        <v>1988</v>
      </c>
    </row>
    <row r="2300" spans="1:6" x14ac:dyDescent="0.2">
      <c r="A2300" s="10" t="s">
        <v>640</v>
      </c>
      <c r="B2300" s="10" t="s">
        <v>77</v>
      </c>
      <c r="C2300" s="10" t="s">
        <v>46</v>
      </c>
      <c r="D2300" s="10">
        <v>38017</v>
      </c>
      <c r="E2300" s="10" t="s">
        <v>6</v>
      </c>
      <c r="F2300" s="10">
        <v>2301</v>
      </c>
    </row>
    <row r="2301" spans="1:6" x14ac:dyDescent="0.2">
      <c r="A2301" s="10" t="s">
        <v>640</v>
      </c>
      <c r="B2301" s="10" t="s">
        <v>307</v>
      </c>
      <c r="C2301" s="10" t="s">
        <v>46</v>
      </c>
      <c r="D2301" s="10">
        <v>37934</v>
      </c>
      <c r="E2301" s="10" t="s">
        <v>6</v>
      </c>
      <c r="F2301" s="10">
        <v>2750</v>
      </c>
    </row>
    <row r="2302" spans="1:6" x14ac:dyDescent="0.2">
      <c r="A2302" s="10" t="s">
        <v>640</v>
      </c>
      <c r="B2302" s="10" t="s">
        <v>77</v>
      </c>
      <c r="C2302" s="10" t="s">
        <v>46</v>
      </c>
      <c r="D2302" s="10">
        <v>38117</v>
      </c>
      <c r="E2302" s="10" t="s">
        <v>8</v>
      </c>
      <c r="F2302" s="10">
        <v>808</v>
      </c>
    </row>
    <row r="2303" spans="1:6" x14ac:dyDescent="0.2">
      <c r="A2303" s="10" t="s">
        <v>640</v>
      </c>
      <c r="B2303" s="10" t="s">
        <v>77</v>
      </c>
      <c r="C2303" s="10" t="s">
        <v>46</v>
      </c>
      <c r="D2303" s="10">
        <v>38104</v>
      </c>
      <c r="E2303" s="10" t="s">
        <v>7</v>
      </c>
      <c r="F2303" s="10">
        <v>2306</v>
      </c>
    </row>
    <row r="2304" spans="1:6" x14ac:dyDescent="0.2">
      <c r="A2304" s="10" t="s">
        <v>640</v>
      </c>
      <c r="B2304" s="10" t="s">
        <v>77</v>
      </c>
      <c r="C2304" s="10" t="s">
        <v>46</v>
      </c>
      <c r="D2304" s="10">
        <v>38017</v>
      </c>
      <c r="E2304" s="10" t="s">
        <v>8</v>
      </c>
      <c r="F2304" s="10">
        <v>890</v>
      </c>
    </row>
    <row r="2305" spans="1:6" x14ac:dyDescent="0.2">
      <c r="A2305" s="10" t="s">
        <v>640</v>
      </c>
      <c r="B2305" s="10" t="s">
        <v>77</v>
      </c>
      <c r="C2305" s="10" t="s">
        <v>46</v>
      </c>
      <c r="D2305" s="10">
        <v>38133</v>
      </c>
      <c r="E2305" s="10" t="s">
        <v>6</v>
      </c>
      <c r="F2305" s="10">
        <v>4298</v>
      </c>
    </row>
    <row r="2306" spans="1:6" x14ac:dyDescent="0.2">
      <c r="A2306" s="10" t="s">
        <v>640</v>
      </c>
      <c r="B2306" s="10" t="s">
        <v>73</v>
      </c>
      <c r="C2306" s="10" t="s">
        <v>46</v>
      </c>
      <c r="D2306" s="10">
        <v>37388</v>
      </c>
      <c r="E2306" s="10" t="s">
        <v>7</v>
      </c>
      <c r="F2306" s="10">
        <v>3341</v>
      </c>
    </row>
    <row r="2307" spans="1:6" x14ac:dyDescent="0.2">
      <c r="A2307" s="10" t="s">
        <v>640</v>
      </c>
      <c r="B2307" s="10" t="s">
        <v>307</v>
      </c>
      <c r="C2307" s="10" t="s">
        <v>46</v>
      </c>
      <c r="D2307" s="10">
        <v>37919</v>
      </c>
      <c r="E2307" s="10" t="s">
        <v>6</v>
      </c>
      <c r="F2307" s="10">
        <v>2015</v>
      </c>
    </row>
    <row r="2308" spans="1:6" x14ac:dyDescent="0.2">
      <c r="A2308" s="10" t="s">
        <v>640</v>
      </c>
      <c r="B2308" s="10" t="s">
        <v>644</v>
      </c>
      <c r="C2308" s="10" t="s">
        <v>46</v>
      </c>
      <c r="D2308" s="10">
        <v>37075</v>
      </c>
      <c r="E2308" s="10" t="s">
        <v>5</v>
      </c>
      <c r="F2308" s="10">
        <v>4091</v>
      </c>
    </row>
    <row r="2309" spans="1:6" x14ac:dyDescent="0.2">
      <c r="A2309" s="10" t="s">
        <v>640</v>
      </c>
      <c r="B2309" s="10" t="s">
        <v>446</v>
      </c>
      <c r="C2309" s="10" t="s">
        <v>46</v>
      </c>
      <c r="D2309" s="10">
        <v>37167</v>
      </c>
      <c r="E2309" s="10" t="s">
        <v>5</v>
      </c>
      <c r="F2309" s="10">
        <v>2041</v>
      </c>
    </row>
    <row r="2310" spans="1:6" x14ac:dyDescent="0.2">
      <c r="A2310" s="10" t="s">
        <v>640</v>
      </c>
      <c r="B2310" s="10" t="s">
        <v>645</v>
      </c>
      <c r="C2310" s="10" t="s">
        <v>47</v>
      </c>
      <c r="D2310" s="10">
        <v>37115</v>
      </c>
      <c r="E2310" s="10" t="s">
        <v>6</v>
      </c>
      <c r="F2310" s="10">
        <v>5006</v>
      </c>
    </row>
    <row r="2311" spans="1:6" x14ac:dyDescent="0.2">
      <c r="A2311" s="10" t="s">
        <v>640</v>
      </c>
      <c r="B2311" s="10" t="s">
        <v>645</v>
      </c>
      <c r="C2311" s="10" t="s">
        <v>47</v>
      </c>
      <c r="D2311" s="10">
        <v>37221</v>
      </c>
      <c r="E2311" s="10" t="s">
        <v>5</v>
      </c>
      <c r="F2311" s="10">
        <v>1343</v>
      </c>
    </row>
    <row r="2312" spans="1:6" x14ac:dyDescent="0.2">
      <c r="A2312" s="10" t="s">
        <v>640</v>
      </c>
      <c r="B2312" s="10" t="s">
        <v>645</v>
      </c>
      <c r="C2312" s="10" t="s">
        <v>47</v>
      </c>
      <c r="D2312" s="10">
        <v>37203</v>
      </c>
      <c r="E2312" s="10" t="s">
        <v>6</v>
      </c>
      <c r="F2312" s="10">
        <v>2351</v>
      </c>
    </row>
    <row r="2313" spans="1:6" x14ac:dyDescent="0.2">
      <c r="A2313" s="10" t="s">
        <v>640</v>
      </c>
      <c r="B2313" s="10" t="s">
        <v>645</v>
      </c>
      <c r="C2313" s="10" t="s">
        <v>47</v>
      </c>
      <c r="D2313" s="10">
        <v>37211</v>
      </c>
      <c r="E2313" s="10" t="s">
        <v>7</v>
      </c>
      <c r="F2313" s="10">
        <v>1586</v>
      </c>
    </row>
    <row r="2314" spans="1:6" x14ac:dyDescent="0.2">
      <c r="A2314" s="10" t="s">
        <v>640</v>
      </c>
      <c r="B2314" s="10" t="s">
        <v>296</v>
      </c>
      <c r="C2314" s="10" t="s">
        <v>47</v>
      </c>
      <c r="D2314" s="10">
        <v>37421</v>
      </c>
      <c r="E2314" s="10" t="s">
        <v>6</v>
      </c>
      <c r="F2314" s="10">
        <v>943</v>
      </c>
    </row>
    <row r="2315" spans="1:6" x14ac:dyDescent="0.2">
      <c r="A2315" s="10" t="s">
        <v>640</v>
      </c>
      <c r="B2315" s="10" t="s">
        <v>646</v>
      </c>
      <c r="C2315" s="10" t="s">
        <v>47</v>
      </c>
      <c r="D2315" s="10">
        <v>37813</v>
      </c>
      <c r="E2315" s="10" t="s">
        <v>7</v>
      </c>
      <c r="F2315" s="10">
        <v>1812</v>
      </c>
    </row>
    <row r="2316" spans="1:6" x14ac:dyDescent="0.2">
      <c r="A2316" s="10" t="s">
        <v>640</v>
      </c>
      <c r="B2316" s="10" t="s">
        <v>645</v>
      </c>
      <c r="C2316" s="10" t="s">
        <v>47</v>
      </c>
      <c r="D2316" s="10">
        <v>37215</v>
      </c>
      <c r="E2316" s="10" t="s">
        <v>10</v>
      </c>
      <c r="F2316" s="10">
        <v>727</v>
      </c>
    </row>
    <row r="2317" spans="1:6" x14ac:dyDescent="0.2">
      <c r="A2317" s="10" t="s">
        <v>640</v>
      </c>
      <c r="B2317" s="10" t="s">
        <v>647</v>
      </c>
      <c r="C2317" s="10" t="s">
        <v>47</v>
      </c>
      <c r="D2317" s="10">
        <v>37701</v>
      </c>
      <c r="E2317" s="10" t="s">
        <v>6</v>
      </c>
      <c r="F2317" s="10">
        <v>2428</v>
      </c>
    </row>
    <row r="2318" spans="1:6" x14ac:dyDescent="0.2">
      <c r="A2318" s="10" t="s">
        <v>640</v>
      </c>
      <c r="B2318" s="10" t="s">
        <v>645</v>
      </c>
      <c r="C2318" s="10" t="s">
        <v>47</v>
      </c>
      <c r="D2318" s="10">
        <v>37205</v>
      </c>
      <c r="E2318" s="10" t="s">
        <v>6</v>
      </c>
      <c r="F2318" s="10">
        <v>171</v>
      </c>
    </row>
    <row r="2319" spans="1:6" x14ac:dyDescent="0.2">
      <c r="A2319" s="10" t="s">
        <v>640</v>
      </c>
      <c r="B2319" s="10" t="s">
        <v>451</v>
      </c>
      <c r="C2319" s="10" t="s">
        <v>47</v>
      </c>
      <c r="D2319" s="10">
        <v>37122</v>
      </c>
      <c r="E2319" s="10" t="s">
        <v>5</v>
      </c>
      <c r="F2319" s="10">
        <v>1460</v>
      </c>
    </row>
    <row r="2320" spans="1:6" x14ac:dyDescent="0.2">
      <c r="A2320" s="10" t="s">
        <v>640</v>
      </c>
      <c r="B2320" s="10" t="s">
        <v>645</v>
      </c>
      <c r="C2320" s="10" t="s">
        <v>47</v>
      </c>
      <c r="D2320" s="10">
        <v>37204</v>
      </c>
      <c r="E2320" s="10" t="s">
        <v>5</v>
      </c>
      <c r="F2320" s="10">
        <v>1048</v>
      </c>
    </row>
    <row r="2321" spans="1:6" x14ac:dyDescent="0.2">
      <c r="A2321" s="10" t="s">
        <v>640</v>
      </c>
      <c r="B2321" s="10" t="s">
        <v>296</v>
      </c>
      <c r="C2321" s="10" t="s">
        <v>47</v>
      </c>
      <c r="D2321" s="10">
        <v>37421</v>
      </c>
      <c r="E2321" s="10" t="s">
        <v>5</v>
      </c>
      <c r="F2321" s="10">
        <v>3200</v>
      </c>
    </row>
    <row r="2322" spans="1:6" x14ac:dyDescent="0.2">
      <c r="A2322" s="10" t="s">
        <v>640</v>
      </c>
      <c r="B2322" s="10" t="s">
        <v>645</v>
      </c>
      <c r="C2322" s="10" t="s">
        <v>47</v>
      </c>
      <c r="D2322" s="10">
        <v>37214</v>
      </c>
      <c r="E2322" s="10" t="s">
        <v>6</v>
      </c>
      <c r="F2322" s="10">
        <v>1563</v>
      </c>
    </row>
    <row r="2323" spans="1:6" x14ac:dyDescent="0.2">
      <c r="A2323" s="10" t="s">
        <v>640</v>
      </c>
      <c r="B2323" s="10" t="s">
        <v>296</v>
      </c>
      <c r="C2323" s="10" t="s">
        <v>47</v>
      </c>
      <c r="D2323" s="10">
        <v>37421</v>
      </c>
      <c r="E2323" s="10" t="s">
        <v>8</v>
      </c>
      <c r="F2323" s="10">
        <v>1444</v>
      </c>
    </row>
    <row r="2324" spans="1:6" x14ac:dyDescent="0.2">
      <c r="A2324" s="10" t="s">
        <v>640</v>
      </c>
      <c r="B2324" s="10" t="s">
        <v>623</v>
      </c>
      <c r="C2324" s="10" t="s">
        <v>47</v>
      </c>
      <c r="D2324" s="10">
        <v>37830</v>
      </c>
      <c r="E2324" s="10" t="s">
        <v>5</v>
      </c>
      <c r="F2324" s="10">
        <v>1470</v>
      </c>
    </row>
    <row r="2325" spans="1:6" x14ac:dyDescent="0.2">
      <c r="A2325" s="10" t="s">
        <v>640</v>
      </c>
      <c r="B2325" s="10" t="s">
        <v>648</v>
      </c>
      <c r="C2325" s="10" t="s">
        <v>47</v>
      </c>
      <c r="D2325" s="10">
        <v>38401</v>
      </c>
      <c r="E2325" s="10" t="s">
        <v>7</v>
      </c>
      <c r="F2325" s="10">
        <v>2598</v>
      </c>
    </row>
    <row r="2326" spans="1:6" x14ac:dyDescent="0.2">
      <c r="A2326" s="10" t="s">
        <v>640</v>
      </c>
      <c r="B2326" s="10" t="s">
        <v>649</v>
      </c>
      <c r="C2326" s="10" t="s">
        <v>47</v>
      </c>
      <c r="D2326" s="10">
        <v>37876</v>
      </c>
      <c r="E2326" s="10" t="s">
        <v>5</v>
      </c>
      <c r="F2326" s="10">
        <v>1474</v>
      </c>
    </row>
    <row r="2327" spans="1:6" x14ac:dyDescent="0.2">
      <c r="A2327" s="10" t="s">
        <v>640</v>
      </c>
      <c r="B2327" s="10" t="s">
        <v>296</v>
      </c>
      <c r="C2327" s="10" t="s">
        <v>47</v>
      </c>
      <c r="D2327" s="10">
        <v>37411</v>
      </c>
      <c r="E2327" s="10" t="s">
        <v>6</v>
      </c>
      <c r="F2327" s="10">
        <v>1137</v>
      </c>
    </row>
    <row r="2328" spans="1:6" x14ac:dyDescent="0.2">
      <c r="A2328" s="10" t="s">
        <v>640</v>
      </c>
      <c r="B2328" s="10" t="s">
        <v>296</v>
      </c>
      <c r="C2328" s="10" t="s">
        <v>47</v>
      </c>
      <c r="D2328" s="10">
        <v>37343</v>
      </c>
      <c r="E2328" s="10" t="s">
        <v>8</v>
      </c>
      <c r="F2328" s="10">
        <v>438</v>
      </c>
    </row>
    <row r="2329" spans="1:6" x14ac:dyDescent="0.2">
      <c r="A2329" s="10" t="s">
        <v>640</v>
      </c>
      <c r="B2329" s="10" t="s">
        <v>645</v>
      </c>
      <c r="C2329" s="10" t="s">
        <v>47</v>
      </c>
      <c r="D2329" s="10">
        <v>37203</v>
      </c>
      <c r="E2329" s="10" t="s">
        <v>8</v>
      </c>
      <c r="F2329" s="10">
        <v>3945</v>
      </c>
    </row>
    <row r="2330" spans="1:6" x14ac:dyDescent="0.2">
      <c r="A2330" s="10" t="s">
        <v>640</v>
      </c>
      <c r="B2330" s="10" t="s">
        <v>451</v>
      </c>
      <c r="C2330" s="10" t="s">
        <v>47</v>
      </c>
      <c r="D2330" s="10">
        <v>37087</v>
      </c>
      <c r="E2330" s="10" t="s">
        <v>7</v>
      </c>
      <c r="F2330" s="10">
        <v>2367</v>
      </c>
    </row>
    <row r="2331" spans="1:6" x14ac:dyDescent="0.2">
      <c r="A2331" s="10" t="s">
        <v>640</v>
      </c>
      <c r="B2331" s="10" t="s">
        <v>650</v>
      </c>
      <c r="C2331" s="10" t="s">
        <v>47</v>
      </c>
      <c r="D2331" s="10">
        <v>37660</v>
      </c>
      <c r="E2331" s="10" t="s">
        <v>6</v>
      </c>
      <c r="F2331" s="10">
        <v>1560</v>
      </c>
    </row>
    <row r="2332" spans="1:6" x14ac:dyDescent="0.2">
      <c r="A2332" s="10" t="s">
        <v>640</v>
      </c>
      <c r="B2332" s="10" t="s">
        <v>296</v>
      </c>
      <c r="C2332" s="10" t="s">
        <v>47</v>
      </c>
      <c r="D2332" s="10">
        <v>37343</v>
      </c>
      <c r="E2332" s="10" t="s">
        <v>5</v>
      </c>
      <c r="F2332" s="10">
        <v>1356</v>
      </c>
    </row>
    <row r="2333" spans="1:6" x14ac:dyDescent="0.2">
      <c r="A2333" s="10" t="s">
        <v>640</v>
      </c>
      <c r="B2333" s="10" t="s">
        <v>651</v>
      </c>
      <c r="C2333" s="10" t="s">
        <v>47</v>
      </c>
      <c r="D2333" s="10">
        <v>37312</v>
      </c>
      <c r="E2333" s="10" t="s">
        <v>5</v>
      </c>
      <c r="F2333" s="10">
        <v>3927</v>
      </c>
    </row>
    <row r="2334" spans="1:6" x14ac:dyDescent="0.2">
      <c r="A2334" s="10" t="s">
        <v>652</v>
      </c>
      <c r="B2334" s="10" t="s">
        <v>447</v>
      </c>
      <c r="C2334" s="10" t="s">
        <v>45</v>
      </c>
      <c r="D2334" s="10">
        <v>75751</v>
      </c>
      <c r="E2334" s="10" t="s">
        <v>6</v>
      </c>
      <c r="F2334" s="10">
        <v>3196</v>
      </c>
    </row>
    <row r="2335" spans="1:6" x14ac:dyDescent="0.2">
      <c r="A2335" s="10" t="s">
        <v>652</v>
      </c>
      <c r="B2335" s="10" t="s">
        <v>74</v>
      </c>
      <c r="C2335" s="10" t="s">
        <v>45</v>
      </c>
      <c r="D2335" s="10">
        <v>77380</v>
      </c>
      <c r="E2335" s="10" t="s">
        <v>7</v>
      </c>
      <c r="F2335" s="10">
        <v>1945</v>
      </c>
    </row>
    <row r="2336" spans="1:6" x14ac:dyDescent="0.2">
      <c r="A2336" s="10" t="s">
        <v>652</v>
      </c>
      <c r="B2336" s="10" t="s">
        <v>653</v>
      </c>
      <c r="C2336" s="10" t="s">
        <v>45</v>
      </c>
      <c r="D2336" s="10">
        <v>78550</v>
      </c>
      <c r="E2336" s="10" t="s">
        <v>6</v>
      </c>
      <c r="F2336" s="10">
        <v>6140</v>
      </c>
    </row>
    <row r="2337" spans="1:6" x14ac:dyDescent="0.2">
      <c r="A2337" s="10" t="s">
        <v>652</v>
      </c>
      <c r="B2337" s="10" t="s">
        <v>654</v>
      </c>
      <c r="C2337" s="10" t="s">
        <v>45</v>
      </c>
      <c r="D2337" s="10">
        <v>75402</v>
      </c>
      <c r="E2337" s="10" t="s">
        <v>5</v>
      </c>
      <c r="F2337" s="10">
        <v>2909</v>
      </c>
    </row>
    <row r="2338" spans="1:6" x14ac:dyDescent="0.2">
      <c r="A2338" s="10" t="s">
        <v>652</v>
      </c>
      <c r="B2338" s="10" t="s">
        <v>655</v>
      </c>
      <c r="C2338" s="10" t="s">
        <v>45</v>
      </c>
      <c r="D2338" s="10">
        <v>79413</v>
      </c>
      <c r="E2338" s="10" t="s">
        <v>6</v>
      </c>
      <c r="F2338" s="10">
        <v>3437</v>
      </c>
    </row>
    <row r="2339" spans="1:6" x14ac:dyDescent="0.2">
      <c r="A2339" s="10" t="s">
        <v>652</v>
      </c>
      <c r="B2339" s="10" t="s">
        <v>656</v>
      </c>
      <c r="C2339" s="10" t="s">
        <v>45</v>
      </c>
      <c r="D2339" s="10">
        <v>75109</v>
      </c>
      <c r="E2339" s="10" t="s">
        <v>6</v>
      </c>
      <c r="F2339" s="10">
        <v>2195</v>
      </c>
    </row>
    <row r="2340" spans="1:6" x14ac:dyDescent="0.2">
      <c r="A2340" s="10" t="s">
        <v>652</v>
      </c>
      <c r="B2340" s="10" t="s">
        <v>657</v>
      </c>
      <c r="C2340" s="10" t="s">
        <v>45</v>
      </c>
      <c r="D2340" s="10">
        <v>76011</v>
      </c>
      <c r="E2340" s="10" t="s">
        <v>6</v>
      </c>
      <c r="F2340" s="10">
        <v>706</v>
      </c>
    </row>
    <row r="2341" spans="1:6" x14ac:dyDescent="0.2">
      <c r="A2341" s="10" t="s">
        <v>652</v>
      </c>
      <c r="B2341" s="10" t="s">
        <v>657</v>
      </c>
      <c r="C2341" s="10" t="s">
        <v>45</v>
      </c>
      <c r="D2341" s="10">
        <v>76016</v>
      </c>
      <c r="E2341" s="10" t="s">
        <v>6</v>
      </c>
      <c r="F2341" s="10">
        <v>2107</v>
      </c>
    </row>
    <row r="2342" spans="1:6" x14ac:dyDescent="0.2">
      <c r="A2342" s="10" t="s">
        <v>652</v>
      </c>
      <c r="B2342" s="10" t="s">
        <v>657</v>
      </c>
      <c r="C2342" s="10" t="s">
        <v>45</v>
      </c>
      <c r="D2342" s="10">
        <v>76017</v>
      </c>
      <c r="E2342" s="10" t="s">
        <v>7</v>
      </c>
      <c r="F2342" s="10">
        <v>741</v>
      </c>
    </row>
    <row r="2343" spans="1:6" x14ac:dyDescent="0.2">
      <c r="A2343" s="10" t="s">
        <v>652</v>
      </c>
      <c r="B2343" s="10" t="s">
        <v>657</v>
      </c>
      <c r="C2343" s="10" t="s">
        <v>45</v>
      </c>
      <c r="D2343" s="10">
        <v>76051</v>
      </c>
      <c r="E2343" s="10" t="s">
        <v>6</v>
      </c>
      <c r="F2343" s="10">
        <v>415</v>
      </c>
    </row>
    <row r="2344" spans="1:6" x14ac:dyDescent="0.2">
      <c r="A2344" s="10" t="s">
        <v>652</v>
      </c>
      <c r="B2344" s="10" t="s">
        <v>657</v>
      </c>
      <c r="C2344" s="10" t="s">
        <v>45</v>
      </c>
      <c r="D2344" s="10">
        <v>76092</v>
      </c>
      <c r="E2344" s="10" t="s">
        <v>10</v>
      </c>
      <c r="F2344" s="10">
        <v>407</v>
      </c>
    </row>
    <row r="2345" spans="1:6" x14ac:dyDescent="0.2">
      <c r="A2345" s="10" t="s">
        <v>652</v>
      </c>
      <c r="B2345" s="10" t="s">
        <v>657</v>
      </c>
      <c r="C2345" s="10" t="s">
        <v>45</v>
      </c>
      <c r="D2345" s="10">
        <v>76116</v>
      </c>
      <c r="E2345" s="10" t="s">
        <v>6</v>
      </c>
      <c r="F2345" s="10">
        <v>3077</v>
      </c>
    </row>
    <row r="2346" spans="1:6" x14ac:dyDescent="0.2">
      <c r="A2346" s="10" t="s">
        <v>652</v>
      </c>
      <c r="B2346" s="10" t="s">
        <v>653</v>
      </c>
      <c r="C2346" s="10" t="s">
        <v>45</v>
      </c>
      <c r="D2346" s="10">
        <v>78526</v>
      </c>
      <c r="E2346" s="10" t="s">
        <v>6</v>
      </c>
      <c r="F2346" s="10">
        <v>2724</v>
      </c>
    </row>
    <row r="2347" spans="1:6" x14ac:dyDescent="0.2">
      <c r="A2347" s="10" t="s">
        <v>652</v>
      </c>
      <c r="B2347" s="10" t="s">
        <v>146</v>
      </c>
      <c r="C2347" s="10" t="s">
        <v>45</v>
      </c>
      <c r="D2347" s="10">
        <v>79925</v>
      </c>
      <c r="E2347" s="10" t="s">
        <v>6</v>
      </c>
      <c r="F2347" s="10">
        <v>2661</v>
      </c>
    </row>
    <row r="2348" spans="1:6" x14ac:dyDescent="0.2">
      <c r="A2348" s="10" t="s">
        <v>652</v>
      </c>
      <c r="B2348" s="10" t="s">
        <v>653</v>
      </c>
      <c r="C2348" s="10" t="s">
        <v>45</v>
      </c>
      <c r="D2348" s="10">
        <v>78526</v>
      </c>
      <c r="E2348" s="10" t="s">
        <v>5</v>
      </c>
      <c r="F2348" s="10">
        <v>1024</v>
      </c>
    </row>
    <row r="2349" spans="1:6" x14ac:dyDescent="0.2">
      <c r="A2349" s="10" t="s">
        <v>652</v>
      </c>
      <c r="B2349" s="10" t="s">
        <v>146</v>
      </c>
      <c r="C2349" s="10" t="s">
        <v>45</v>
      </c>
      <c r="D2349" s="10">
        <v>79936</v>
      </c>
      <c r="E2349" s="10" t="s">
        <v>6</v>
      </c>
      <c r="F2349" s="10">
        <v>1323</v>
      </c>
    </row>
    <row r="2350" spans="1:6" x14ac:dyDescent="0.2">
      <c r="A2350" s="10" t="s">
        <v>652</v>
      </c>
      <c r="B2350" s="10" t="s">
        <v>658</v>
      </c>
      <c r="C2350" s="10" t="s">
        <v>45</v>
      </c>
      <c r="D2350" s="10">
        <v>79109</v>
      </c>
      <c r="E2350" s="10" t="s">
        <v>6</v>
      </c>
      <c r="F2350" s="10">
        <v>2008</v>
      </c>
    </row>
    <row r="2351" spans="1:6" x14ac:dyDescent="0.2">
      <c r="A2351" s="10" t="s">
        <v>652</v>
      </c>
      <c r="B2351" s="10" t="s">
        <v>74</v>
      </c>
      <c r="C2351" s="10" t="s">
        <v>45</v>
      </c>
      <c r="D2351" s="10">
        <v>77354</v>
      </c>
      <c r="E2351" s="10" t="s">
        <v>7</v>
      </c>
      <c r="F2351" s="10">
        <v>1266</v>
      </c>
    </row>
    <row r="2352" spans="1:6" x14ac:dyDescent="0.2">
      <c r="A2352" s="10" t="s">
        <v>652</v>
      </c>
      <c r="B2352" s="10" t="s">
        <v>659</v>
      </c>
      <c r="C2352" s="10" t="s">
        <v>45</v>
      </c>
      <c r="D2352" s="10">
        <v>78654</v>
      </c>
      <c r="E2352" s="10" t="s">
        <v>6</v>
      </c>
      <c r="F2352" s="10">
        <v>1291</v>
      </c>
    </row>
    <row r="2353" spans="1:6" x14ac:dyDescent="0.2">
      <c r="A2353" s="10" t="s">
        <v>652</v>
      </c>
      <c r="B2353" s="10" t="s">
        <v>660</v>
      </c>
      <c r="C2353" s="10" t="s">
        <v>45</v>
      </c>
      <c r="D2353" s="10">
        <v>76308</v>
      </c>
      <c r="E2353" s="10" t="s">
        <v>6</v>
      </c>
      <c r="F2353" s="10">
        <v>2565</v>
      </c>
    </row>
    <row r="2354" spans="1:6" x14ac:dyDescent="0.2">
      <c r="A2354" s="10" t="s">
        <v>652</v>
      </c>
      <c r="B2354" s="10" t="s">
        <v>661</v>
      </c>
      <c r="C2354" s="10" t="s">
        <v>45</v>
      </c>
      <c r="D2354" s="10">
        <v>75455</v>
      </c>
      <c r="E2354" s="10" t="s">
        <v>5</v>
      </c>
      <c r="F2354" s="10">
        <v>2512</v>
      </c>
    </row>
    <row r="2355" spans="1:6" x14ac:dyDescent="0.2">
      <c r="A2355" s="10" t="s">
        <v>652</v>
      </c>
      <c r="B2355" s="10" t="s">
        <v>74</v>
      </c>
      <c r="C2355" s="10" t="s">
        <v>45</v>
      </c>
      <c r="D2355" s="10">
        <v>77304</v>
      </c>
      <c r="E2355" s="10" t="s">
        <v>6</v>
      </c>
      <c r="F2355" s="10">
        <v>5161</v>
      </c>
    </row>
    <row r="2356" spans="1:6" x14ac:dyDescent="0.2">
      <c r="A2356" s="10" t="s">
        <v>652</v>
      </c>
      <c r="B2356" s="10" t="s">
        <v>74</v>
      </c>
      <c r="C2356" s="10" t="s">
        <v>45</v>
      </c>
      <c r="D2356" s="10">
        <v>77385</v>
      </c>
      <c r="E2356" s="10" t="s">
        <v>6</v>
      </c>
      <c r="F2356" s="10">
        <v>666</v>
      </c>
    </row>
    <row r="2357" spans="1:6" x14ac:dyDescent="0.2">
      <c r="A2357" s="10" t="s">
        <v>652</v>
      </c>
      <c r="B2357" s="10" t="s">
        <v>655</v>
      </c>
      <c r="C2357" s="10" t="s">
        <v>45</v>
      </c>
      <c r="D2357" s="10">
        <v>79407</v>
      </c>
      <c r="E2357" s="10" t="s">
        <v>6</v>
      </c>
      <c r="F2357" s="10">
        <v>1548</v>
      </c>
    </row>
    <row r="2358" spans="1:6" x14ac:dyDescent="0.2">
      <c r="A2358" s="10" t="s">
        <v>652</v>
      </c>
      <c r="B2358" s="10" t="s">
        <v>146</v>
      </c>
      <c r="C2358" s="10" t="s">
        <v>45</v>
      </c>
      <c r="D2358" s="10">
        <v>79912</v>
      </c>
      <c r="E2358" s="10" t="s">
        <v>6</v>
      </c>
      <c r="F2358" s="10">
        <v>1550</v>
      </c>
    </row>
    <row r="2359" spans="1:6" x14ac:dyDescent="0.2">
      <c r="A2359" s="10" t="s">
        <v>652</v>
      </c>
      <c r="B2359" s="10" t="s">
        <v>657</v>
      </c>
      <c r="C2359" s="10" t="s">
        <v>45</v>
      </c>
      <c r="D2359" s="10">
        <v>75052</v>
      </c>
      <c r="E2359" s="10" t="s">
        <v>6</v>
      </c>
      <c r="F2359" s="10">
        <v>2007</v>
      </c>
    </row>
    <row r="2360" spans="1:6" x14ac:dyDescent="0.2">
      <c r="A2360" s="10" t="s">
        <v>652</v>
      </c>
      <c r="B2360" s="10" t="s">
        <v>657</v>
      </c>
      <c r="C2360" s="10" t="s">
        <v>45</v>
      </c>
      <c r="D2360" s="10">
        <v>76063</v>
      </c>
      <c r="E2360" s="10" t="s">
        <v>5</v>
      </c>
      <c r="F2360" s="10">
        <v>3360</v>
      </c>
    </row>
    <row r="2361" spans="1:6" x14ac:dyDescent="0.2">
      <c r="A2361" s="10" t="s">
        <v>652</v>
      </c>
      <c r="B2361" s="10" t="s">
        <v>662</v>
      </c>
      <c r="C2361" s="10" t="s">
        <v>45</v>
      </c>
      <c r="D2361" s="10">
        <v>76086</v>
      </c>
      <c r="E2361" s="10" t="s">
        <v>7</v>
      </c>
      <c r="F2361" s="10">
        <v>2200</v>
      </c>
    </row>
    <row r="2362" spans="1:6" x14ac:dyDescent="0.2">
      <c r="A2362" s="10" t="s">
        <v>652</v>
      </c>
      <c r="B2362" s="10" t="s">
        <v>657</v>
      </c>
      <c r="C2362" s="10" t="s">
        <v>45</v>
      </c>
      <c r="D2362" s="10">
        <v>76107</v>
      </c>
      <c r="E2362" s="10" t="s">
        <v>6</v>
      </c>
      <c r="F2362" s="10">
        <v>1641</v>
      </c>
    </row>
    <row r="2363" spans="1:6" x14ac:dyDescent="0.2">
      <c r="A2363" s="10" t="s">
        <v>652</v>
      </c>
      <c r="B2363" s="10" t="s">
        <v>657</v>
      </c>
      <c r="C2363" s="10" t="s">
        <v>45</v>
      </c>
      <c r="D2363" s="10">
        <v>76107</v>
      </c>
      <c r="E2363" s="10" t="s">
        <v>5</v>
      </c>
      <c r="F2363" s="10">
        <v>1470</v>
      </c>
    </row>
    <row r="2364" spans="1:6" x14ac:dyDescent="0.2">
      <c r="A2364" s="10" t="s">
        <v>652</v>
      </c>
      <c r="B2364" s="10" t="s">
        <v>657</v>
      </c>
      <c r="C2364" s="10" t="s">
        <v>45</v>
      </c>
      <c r="D2364" s="10">
        <v>76120</v>
      </c>
      <c r="E2364" s="10" t="s">
        <v>6</v>
      </c>
      <c r="F2364" s="10">
        <v>495</v>
      </c>
    </row>
    <row r="2365" spans="1:6" x14ac:dyDescent="0.2">
      <c r="A2365" s="10" t="s">
        <v>652</v>
      </c>
      <c r="B2365" s="10" t="s">
        <v>254</v>
      </c>
      <c r="C2365" s="10" t="s">
        <v>45</v>
      </c>
      <c r="D2365" s="10">
        <v>76028</v>
      </c>
      <c r="E2365" s="10" t="s">
        <v>6</v>
      </c>
      <c r="F2365" s="10">
        <v>3211</v>
      </c>
    </row>
    <row r="2366" spans="1:6" x14ac:dyDescent="0.2">
      <c r="A2366" s="10" t="s">
        <v>652</v>
      </c>
      <c r="B2366" s="10" t="s">
        <v>663</v>
      </c>
      <c r="C2366" s="10" t="s">
        <v>45</v>
      </c>
      <c r="D2366" s="10">
        <v>76401</v>
      </c>
      <c r="E2366" s="10" t="s">
        <v>5</v>
      </c>
      <c r="F2366" s="10">
        <v>2260</v>
      </c>
    </row>
    <row r="2367" spans="1:6" x14ac:dyDescent="0.2">
      <c r="A2367" s="10" t="s">
        <v>652</v>
      </c>
      <c r="B2367" s="10" t="s">
        <v>664</v>
      </c>
      <c r="C2367" s="10" t="s">
        <v>45</v>
      </c>
      <c r="D2367" s="10">
        <v>78503</v>
      </c>
      <c r="E2367" s="10" t="s">
        <v>6</v>
      </c>
      <c r="F2367" s="10">
        <v>3322</v>
      </c>
    </row>
    <row r="2368" spans="1:6" x14ac:dyDescent="0.2">
      <c r="A2368" s="10" t="s">
        <v>652</v>
      </c>
      <c r="B2368" s="10" t="s">
        <v>664</v>
      </c>
      <c r="C2368" s="10" t="s">
        <v>45</v>
      </c>
      <c r="D2368" s="10">
        <v>78504</v>
      </c>
      <c r="E2368" s="10" t="s">
        <v>6</v>
      </c>
      <c r="F2368" s="10">
        <v>505</v>
      </c>
    </row>
    <row r="2369" spans="1:6" x14ac:dyDescent="0.2">
      <c r="A2369" s="10" t="s">
        <v>652</v>
      </c>
      <c r="B2369" s="10" t="s">
        <v>665</v>
      </c>
      <c r="C2369" s="10" t="s">
        <v>45</v>
      </c>
      <c r="D2369" s="10">
        <v>78155</v>
      </c>
      <c r="E2369" s="10" t="s">
        <v>6</v>
      </c>
      <c r="F2369" s="10">
        <v>1239</v>
      </c>
    </row>
    <row r="2370" spans="1:6" x14ac:dyDescent="0.2">
      <c r="A2370" s="10" t="s">
        <v>652</v>
      </c>
      <c r="B2370" s="10" t="s">
        <v>657</v>
      </c>
      <c r="C2370" s="10" t="s">
        <v>45</v>
      </c>
      <c r="D2370" s="10">
        <v>76135</v>
      </c>
      <c r="E2370" s="10" t="s">
        <v>5</v>
      </c>
      <c r="F2370" s="10">
        <v>2793</v>
      </c>
    </row>
    <row r="2371" spans="1:6" x14ac:dyDescent="0.2">
      <c r="A2371" s="10" t="s">
        <v>652</v>
      </c>
      <c r="B2371" s="10" t="s">
        <v>657</v>
      </c>
      <c r="C2371" s="10" t="s">
        <v>45</v>
      </c>
      <c r="D2371" s="10">
        <v>76092</v>
      </c>
      <c r="E2371" s="10" t="s">
        <v>5</v>
      </c>
      <c r="F2371" s="10">
        <v>3589</v>
      </c>
    </row>
    <row r="2372" spans="1:6" x14ac:dyDescent="0.2">
      <c r="A2372" s="10" t="s">
        <v>652</v>
      </c>
      <c r="B2372" s="10" t="s">
        <v>657</v>
      </c>
      <c r="C2372" s="10" t="s">
        <v>45</v>
      </c>
      <c r="D2372" s="10">
        <v>76053</v>
      </c>
      <c r="E2372" s="10" t="s">
        <v>6</v>
      </c>
      <c r="F2372" s="10">
        <v>2276</v>
      </c>
    </row>
    <row r="2373" spans="1:6" x14ac:dyDescent="0.2">
      <c r="A2373" s="10" t="s">
        <v>652</v>
      </c>
      <c r="B2373" s="10" t="s">
        <v>436</v>
      </c>
      <c r="C2373" s="10" t="s">
        <v>45</v>
      </c>
      <c r="D2373" s="10">
        <v>75460</v>
      </c>
      <c r="E2373" s="10" t="s">
        <v>7</v>
      </c>
      <c r="F2373" s="10">
        <v>4935</v>
      </c>
    </row>
    <row r="2374" spans="1:6" x14ac:dyDescent="0.2">
      <c r="A2374" s="10" t="s">
        <v>652</v>
      </c>
      <c r="B2374" s="10" t="s">
        <v>664</v>
      </c>
      <c r="C2374" s="10" t="s">
        <v>45</v>
      </c>
      <c r="D2374" s="10">
        <v>78572</v>
      </c>
      <c r="E2374" s="10" t="s">
        <v>6</v>
      </c>
      <c r="F2374" s="10">
        <v>3133</v>
      </c>
    </row>
    <row r="2375" spans="1:6" x14ac:dyDescent="0.2">
      <c r="A2375" s="10" t="s">
        <v>652</v>
      </c>
      <c r="B2375" s="10" t="s">
        <v>657</v>
      </c>
      <c r="C2375" s="10" t="s">
        <v>45</v>
      </c>
      <c r="D2375" s="10">
        <v>76180</v>
      </c>
      <c r="E2375" s="10" t="s">
        <v>6</v>
      </c>
      <c r="F2375" s="10">
        <v>2686</v>
      </c>
    </row>
    <row r="2376" spans="1:6" x14ac:dyDescent="0.2">
      <c r="A2376" s="10" t="s">
        <v>652</v>
      </c>
      <c r="B2376" s="10" t="s">
        <v>655</v>
      </c>
      <c r="C2376" s="10" t="s">
        <v>45</v>
      </c>
      <c r="D2376" s="10">
        <v>79424</v>
      </c>
      <c r="E2376" s="10" t="s">
        <v>6</v>
      </c>
      <c r="F2376" s="10">
        <v>3389</v>
      </c>
    </row>
    <row r="2377" spans="1:6" x14ac:dyDescent="0.2">
      <c r="A2377" s="10" t="s">
        <v>652</v>
      </c>
      <c r="B2377" s="10" t="s">
        <v>664</v>
      </c>
      <c r="C2377" s="10" t="s">
        <v>45</v>
      </c>
      <c r="D2377" s="10">
        <v>78577</v>
      </c>
      <c r="E2377" s="10" t="s">
        <v>5</v>
      </c>
      <c r="F2377" s="10">
        <v>2032</v>
      </c>
    </row>
    <row r="2378" spans="1:6" x14ac:dyDescent="0.2">
      <c r="A2378" s="10" t="s">
        <v>652</v>
      </c>
      <c r="B2378" s="10" t="s">
        <v>664</v>
      </c>
      <c r="C2378" s="10" t="s">
        <v>45</v>
      </c>
      <c r="D2378" s="10">
        <v>78599</v>
      </c>
      <c r="E2378" s="10" t="s">
        <v>6</v>
      </c>
      <c r="F2378" s="10">
        <v>3594</v>
      </c>
    </row>
    <row r="2379" spans="1:6" x14ac:dyDescent="0.2">
      <c r="A2379" s="10" t="s">
        <v>652</v>
      </c>
      <c r="B2379" s="10" t="s">
        <v>657</v>
      </c>
      <c r="C2379" s="10" t="s">
        <v>45</v>
      </c>
      <c r="D2379" s="10">
        <v>76039</v>
      </c>
      <c r="E2379" s="10" t="s">
        <v>5</v>
      </c>
      <c r="F2379" s="10">
        <v>990</v>
      </c>
    </row>
    <row r="2380" spans="1:6" x14ac:dyDescent="0.2">
      <c r="A2380" s="10" t="s">
        <v>652</v>
      </c>
      <c r="B2380" s="10" t="s">
        <v>657</v>
      </c>
      <c r="C2380" s="10" t="s">
        <v>45</v>
      </c>
      <c r="D2380" s="10">
        <v>76040</v>
      </c>
      <c r="E2380" s="10" t="s">
        <v>6</v>
      </c>
      <c r="F2380" s="10">
        <v>2117</v>
      </c>
    </row>
    <row r="2381" spans="1:6" x14ac:dyDescent="0.2">
      <c r="A2381" s="10" t="s">
        <v>652</v>
      </c>
      <c r="B2381" s="10" t="s">
        <v>657</v>
      </c>
      <c r="C2381" s="10" t="s">
        <v>45</v>
      </c>
      <c r="D2381" s="10">
        <v>76132</v>
      </c>
      <c r="E2381" s="10" t="s">
        <v>6</v>
      </c>
      <c r="F2381" s="10">
        <v>1118</v>
      </c>
    </row>
    <row r="2382" spans="1:6" x14ac:dyDescent="0.2">
      <c r="A2382" s="10" t="s">
        <v>652</v>
      </c>
      <c r="B2382" s="10" t="s">
        <v>657</v>
      </c>
      <c r="C2382" s="10" t="s">
        <v>45</v>
      </c>
      <c r="D2382" s="10">
        <v>76148</v>
      </c>
      <c r="E2382" s="10" t="s">
        <v>6</v>
      </c>
      <c r="F2382" s="10">
        <v>1802</v>
      </c>
    </row>
    <row r="2383" spans="1:6" x14ac:dyDescent="0.2">
      <c r="A2383" s="10" t="s">
        <v>652</v>
      </c>
      <c r="B2383" s="10" t="s">
        <v>657</v>
      </c>
      <c r="C2383" s="10" t="s">
        <v>45</v>
      </c>
      <c r="D2383" s="10">
        <v>76148</v>
      </c>
      <c r="E2383" s="10" t="s">
        <v>5</v>
      </c>
      <c r="F2383" s="10">
        <v>1411</v>
      </c>
    </row>
    <row r="2384" spans="1:6" x14ac:dyDescent="0.2">
      <c r="A2384" s="10" t="s">
        <v>652</v>
      </c>
      <c r="B2384" s="10" t="s">
        <v>666</v>
      </c>
      <c r="C2384" s="10" t="s">
        <v>46</v>
      </c>
      <c r="D2384" s="10">
        <v>78703</v>
      </c>
      <c r="E2384" s="10" t="s">
        <v>10</v>
      </c>
      <c r="F2384" s="10">
        <v>356</v>
      </c>
    </row>
    <row r="2385" spans="1:6" x14ac:dyDescent="0.2">
      <c r="A2385" s="10" t="s">
        <v>652</v>
      </c>
      <c r="B2385" s="10" t="s">
        <v>258</v>
      </c>
      <c r="C2385" s="10" t="s">
        <v>46</v>
      </c>
      <c r="D2385" s="10">
        <v>75211</v>
      </c>
      <c r="E2385" s="10" t="s">
        <v>5</v>
      </c>
      <c r="F2385" s="10">
        <v>1243</v>
      </c>
    </row>
    <row r="2386" spans="1:6" x14ac:dyDescent="0.2">
      <c r="A2386" s="10" t="s">
        <v>652</v>
      </c>
      <c r="B2386" s="10" t="s">
        <v>667</v>
      </c>
      <c r="C2386" s="10" t="s">
        <v>46</v>
      </c>
      <c r="D2386" s="10">
        <v>77581</v>
      </c>
      <c r="E2386" s="10" t="s">
        <v>6</v>
      </c>
      <c r="F2386" s="10">
        <v>1694</v>
      </c>
    </row>
    <row r="2387" spans="1:6" x14ac:dyDescent="0.2">
      <c r="A2387" s="10" t="s">
        <v>652</v>
      </c>
      <c r="B2387" s="10" t="s">
        <v>668</v>
      </c>
      <c r="C2387" s="10" t="s">
        <v>46</v>
      </c>
      <c r="D2387" s="10">
        <v>78602</v>
      </c>
      <c r="E2387" s="10" t="s">
        <v>5</v>
      </c>
      <c r="F2387" s="10">
        <v>1791</v>
      </c>
    </row>
    <row r="2388" spans="1:6" x14ac:dyDescent="0.2">
      <c r="A2388" s="10" t="s">
        <v>652</v>
      </c>
      <c r="B2388" s="10" t="s">
        <v>666</v>
      </c>
      <c r="C2388" s="10" t="s">
        <v>46</v>
      </c>
      <c r="D2388" s="10">
        <v>78703</v>
      </c>
      <c r="E2388" s="10" t="s">
        <v>6</v>
      </c>
      <c r="F2388" s="10">
        <v>66</v>
      </c>
    </row>
    <row r="2389" spans="1:6" x14ac:dyDescent="0.2">
      <c r="A2389" s="10" t="s">
        <v>652</v>
      </c>
      <c r="B2389" s="10" t="s">
        <v>666</v>
      </c>
      <c r="C2389" s="10" t="s">
        <v>46</v>
      </c>
      <c r="D2389" s="10">
        <v>78704</v>
      </c>
      <c r="E2389" s="10" t="s">
        <v>6</v>
      </c>
      <c r="F2389" s="10">
        <v>1967</v>
      </c>
    </row>
    <row r="2390" spans="1:6" x14ac:dyDescent="0.2">
      <c r="A2390" s="10" t="s">
        <v>652</v>
      </c>
      <c r="B2390" s="10" t="s">
        <v>666</v>
      </c>
      <c r="C2390" s="10" t="s">
        <v>46</v>
      </c>
      <c r="D2390" s="10">
        <v>78749</v>
      </c>
      <c r="E2390" s="10" t="s">
        <v>6</v>
      </c>
      <c r="F2390" s="10">
        <v>1078</v>
      </c>
    </row>
    <row r="2391" spans="1:6" x14ac:dyDescent="0.2">
      <c r="A2391" s="10" t="s">
        <v>652</v>
      </c>
      <c r="B2391" s="10" t="s">
        <v>666</v>
      </c>
      <c r="C2391" s="10" t="s">
        <v>46</v>
      </c>
      <c r="D2391" s="10">
        <v>78753</v>
      </c>
      <c r="E2391" s="10" t="s">
        <v>8</v>
      </c>
      <c r="F2391" s="10">
        <v>673</v>
      </c>
    </row>
    <row r="2392" spans="1:6" x14ac:dyDescent="0.2">
      <c r="A2392" s="10" t="s">
        <v>652</v>
      </c>
      <c r="B2392" s="10" t="s">
        <v>258</v>
      </c>
      <c r="C2392" s="10" t="s">
        <v>46</v>
      </c>
      <c r="D2392" s="10">
        <v>75248</v>
      </c>
      <c r="E2392" s="10" t="s">
        <v>5</v>
      </c>
      <c r="F2392" s="10">
        <v>798</v>
      </c>
    </row>
    <row r="2393" spans="1:6" x14ac:dyDescent="0.2">
      <c r="A2393" s="10" t="s">
        <v>652</v>
      </c>
      <c r="B2393" s="10" t="s">
        <v>669</v>
      </c>
      <c r="C2393" s="10" t="s">
        <v>46</v>
      </c>
      <c r="D2393" s="10">
        <v>77098</v>
      </c>
      <c r="E2393" s="10" t="s">
        <v>6</v>
      </c>
      <c r="F2393" s="10">
        <v>372</v>
      </c>
    </row>
    <row r="2394" spans="1:6" x14ac:dyDescent="0.2">
      <c r="A2394" s="10" t="s">
        <v>652</v>
      </c>
      <c r="B2394" s="10" t="s">
        <v>258</v>
      </c>
      <c r="C2394" s="10" t="s">
        <v>46</v>
      </c>
      <c r="D2394" s="10">
        <v>75104</v>
      </c>
      <c r="E2394" s="10" t="s">
        <v>7</v>
      </c>
      <c r="F2394" s="10">
        <v>1552</v>
      </c>
    </row>
    <row r="2395" spans="1:6" x14ac:dyDescent="0.2">
      <c r="A2395" s="10" t="s">
        <v>652</v>
      </c>
      <c r="B2395" s="10" t="s">
        <v>258</v>
      </c>
      <c r="C2395" s="10" t="s">
        <v>46</v>
      </c>
      <c r="D2395" s="10">
        <v>75243</v>
      </c>
      <c r="E2395" s="10" t="s">
        <v>6</v>
      </c>
      <c r="F2395" s="10">
        <v>939</v>
      </c>
    </row>
    <row r="2396" spans="1:6" x14ac:dyDescent="0.2">
      <c r="A2396" s="10" t="s">
        <v>652</v>
      </c>
      <c r="B2396" s="10" t="s">
        <v>670</v>
      </c>
      <c r="C2396" s="10" t="s">
        <v>46</v>
      </c>
      <c r="D2396" s="10">
        <v>75604</v>
      </c>
      <c r="E2396" s="10" t="s">
        <v>8</v>
      </c>
      <c r="F2396" s="10">
        <v>879</v>
      </c>
    </row>
    <row r="2397" spans="1:6" x14ac:dyDescent="0.2">
      <c r="A2397" s="10" t="s">
        <v>652</v>
      </c>
      <c r="B2397" s="10" t="s">
        <v>666</v>
      </c>
      <c r="C2397" s="10" t="s">
        <v>46</v>
      </c>
      <c r="D2397" s="10">
        <v>78752</v>
      </c>
      <c r="E2397" s="10" t="s">
        <v>6</v>
      </c>
      <c r="F2397" s="10">
        <v>1899</v>
      </c>
    </row>
    <row r="2398" spans="1:6" x14ac:dyDescent="0.2">
      <c r="A2398" s="10" t="s">
        <v>652</v>
      </c>
      <c r="B2398" s="10" t="s">
        <v>671</v>
      </c>
      <c r="C2398" s="10" t="s">
        <v>46</v>
      </c>
      <c r="D2398" s="10">
        <v>76706</v>
      </c>
      <c r="E2398" s="10" t="s">
        <v>6</v>
      </c>
      <c r="F2398" s="10">
        <v>3293</v>
      </c>
    </row>
    <row r="2399" spans="1:6" x14ac:dyDescent="0.2">
      <c r="A2399" s="10" t="s">
        <v>652</v>
      </c>
      <c r="B2399" s="10" t="s">
        <v>669</v>
      </c>
      <c r="C2399" s="10" t="s">
        <v>46</v>
      </c>
      <c r="D2399" s="10">
        <v>77007</v>
      </c>
      <c r="E2399" s="10" t="s">
        <v>5</v>
      </c>
      <c r="F2399" s="10">
        <v>1984</v>
      </c>
    </row>
    <row r="2400" spans="1:6" x14ac:dyDescent="0.2">
      <c r="A2400" s="10" t="s">
        <v>652</v>
      </c>
      <c r="B2400" s="10" t="s">
        <v>666</v>
      </c>
      <c r="C2400" s="10" t="s">
        <v>46</v>
      </c>
      <c r="D2400" s="10">
        <v>78738</v>
      </c>
      <c r="E2400" s="10" t="s">
        <v>6</v>
      </c>
      <c r="F2400" s="10">
        <v>1410</v>
      </c>
    </row>
    <row r="2401" spans="1:6" x14ac:dyDescent="0.2">
      <c r="A2401" s="10" t="s">
        <v>652</v>
      </c>
      <c r="B2401" s="10" t="s">
        <v>669</v>
      </c>
      <c r="C2401" s="10" t="s">
        <v>46</v>
      </c>
      <c r="D2401" s="10">
        <v>77008</v>
      </c>
      <c r="E2401" s="10" t="s">
        <v>6</v>
      </c>
      <c r="F2401" s="10">
        <v>1608</v>
      </c>
    </row>
    <row r="2402" spans="1:6" x14ac:dyDescent="0.2">
      <c r="A2402" s="10" t="s">
        <v>652</v>
      </c>
      <c r="B2402" s="10" t="s">
        <v>666</v>
      </c>
      <c r="C2402" s="10" t="s">
        <v>46</v>
      </c>
      <c r="D2402" s="10">
        <v>78758</v>
      </c>
      <c r="E2402" s="10" t="s">
        <v>10</v>
      </c>
      <c r="F2402" s="10">
        <v>4363</v>
      </c>
    </row>
    <row r="2403" spans="1:6" x14ac:dyDescent="0.2">
      <c r="A2403" s="10" t="s">
        <v>652</v>
      </c>
      <c r="B2403" s="10" t="s">
        <v>666</v>
      </c>
      <c r="C2403" s="10" t="s">
        <v>46</v>
      </c>
      <c r="D2403" s="10">
        <v>78759</v>
      </c>
      <c r="E2403" s="10" t="s">
        <v>6</v>
      </c>
      <c r="F2403" s="10">
        <v>1873</v>
      </c>
    </row>
    <row r="2404" spans="1:6" x14ac:dyDescent="0.2">
      <c r="A2404" s="10" t="s">
        <v>652</v>
      </c>
      <c r="B2404" s="10" t="s">
        <v>669</v>
      </c>
      <c r="C2404" s="10" t="s">
        <v>46</v>
      </c>
      <c r="D2404" s="10">
        <v>77093</v>
      </c>
      <c r="E2404" s="10" t="s">
        <v>6</v>
      </c>
      <c r="F2404" s="10">
        <v>3226</v>
      </c>
    </row>
    <row r="2405" spans="1:6" x14ac:dyDescent="0.2">
      <c r="A2405" s="10" t="s">
        <v>652</v>
      </c>
      <c r="B2405" s="10" t="s">
        <v>387</v>
      </c>
      <c r="C2405" s="10" t="s">
        <v>46</v>
      </c>
      <c r="D2405" s="10">
        <v>79705</v>
      </c>
      <c r="E2405" s="10" t="s">
        <v>6</v>
      </c>
      <c r="F2405" s="10">
        <v>3255</v>
      </c>
    </row>
    <row r="2406" spans="1:6" x14ac:dyDescent="0.2">
      <c r="A2406" s="10" t="s">
        <v>652</v>
      </c>
      <c r="B2406" s="10" t="s">
        <v>669</v>
      </c>
      <c r="C2406" s="10" t="s">
        <v>46</v>
      </c>
      <c r="D2406" s="10">
        <v>77077</v>
      </c>
      <c r="E2406" s="10" t="s">
        <v>8</v>
      </c>
      <c r="F2406" s="10">
        <v>796</v>
      </c>
    </row>
    <row r="2407" spans="1:6" x14ac:dyDescent="0.2">
      <c r="A2407" s="10" t="s">
        <v>652</v>
      </c>
      <c r="B2407" s="10" t="s">
        <v>258</v>
      </c>
      <c r="C2407" s="10" t="s">
        <v>46</v>
      </c>
      <c r="D2407" s="10">
        <v>75150</v>
      </c>
      <c r="E2407" s="10" t="s">
        <v>7</v>
      </c>
      <c r="F2407" s="10">
        <v>4221</v>
      </c>
    </row>
    <row r="2408" spans="1:6" x14ac:dyDescent="0.2">
      <c r="A2408" s="10" t="s">
        <v>652</v>
      </c>
      <c r="B2408" s="10" t="s">
        <v>669</v>
      </c>
      <c r="C2408" s="10" t="s">
        <v>46</v>
      </c>
      <c r="D2408" s="10">
        <v>77063</v>
      </c>
      <c r="E2408" s="10" t="s">
        <v>6</v>
      </c>
      <c r="F2408" s="10">
        <v>994</v>
      </c>
    </row>
    <row r="2409" spans="1:6" x14ac:dyDescent="0.2">
      <c r="A2409" s="10" t="s">
        <v>652</v>
      </c>
      <c r="B2409" s="10" t="s">
        <v>669</v>
      </c>
      <c r="C2409" s="10" t="s">
        <v>46</v>
      </c>
      <c r="D2409" s="10">
        <v>77056</v>
      </c>
      <c r="E2409" s="10" t="s">
        <v>9</v>
      </c>
      <c r="F2409" s="10">
        <v>5320</v>
      </c>
    </row>
    <row r="2410" spans="1:6" x14ac:dyDescent="0.2">
      <c r="A2410" s="10" t="s">
        <v>652</v>
      </c>
      <c r="B2410" s="10" t="s">
        <v>672</v>
      </c>
      <c r="C2410" s="10" t="s">
        <v>46</v>
      </c>
      <c r="D2410" s="10">
        <v>75013</v>
      </c>
      <c r="E2410" s="10" t="s">
        <v>5</v>
      </c>
      <c r="F2410" s="10">
        <v>3197</v>
      </c>
    </row>
    <row r="2411" spans="1:6" x14ac:dyDescent="0.2">
      <c r="A2411" s="10" t="s">
        <v>652</v>
      </c>
      <c r="B2411" s="10" t="s">
        <v>672</v>
      </c>
      <c r="C2411" s="10" t="s">
        <v>46</v>
      </c>
      <c r="D2411" s="10">
        <v>75034</v>
      </c>
      <c r="E2411" s="10" t="s">
        <v>6</v>
      </c>
      <c r="F2411" s="10">
        <v>2958</v>
      </c>
    </row>
    <row r="2412" spans="1:6" x14ac:dyDescent="0.2">
      <c r="A2412" s="10" t="s">
        <v>652</v>
      </c>
      <c r="B2412" s="10" t="s">
        <v>672</v>
      </c>
      <c r="C2412" s="10" t="s">
        <v>46</v>
      </c>
      <c r="D2412" s="10">
        <v>75034</v>
      </c>
      <c r="E2412" s="10" t="s">
        <v>5</v>
      </c>
      <c r="F2412" s="10">
        <v>2500</v>
      </c>
    </row>
    <row r="2413" spans="1:6" x14ac:dyDescent="0.2">
      <c r="A2413" s="10" t="s">
        <v>652</v>
      </c>
      <c r="B2413" s="10" t="s">
        <v>672</v>
      </c>
      <c r="C2413" s="10" t="s">
        <v>46</v>
      </c>
      <c r="D2413" s="10">
        <v>75069</v>
      </c>
      <c r="E2413" s="10" t="s">
        <v>6</v>
      </c>
      <c r="F2413" s="10">
        <v>2892</v>
      </c>
    </row>
    <row r="2414" spans="1:6" x14ac:dyDescent="0.2">
      <c r="A2414" s="10" t="s">
        <v>652</v>
      </c>
      <c r="B2414" s="10" t="s">
        <v>672</v>
      </c>
      <c r="C2414" s="10" t="s">
        <v>46</v>
      </c>
      <c r="D2414" s="10">
        <v>75075</v>
      </c>
      <c r="E2414" s="10" t="s">
        <v>6</v>
      </c>
      <c r="F2414" s="10">
        <v>1432</v>
      </c>
    </row>
    <row r="2415" spans="1:6" x14ac:dyDescent="0.2">
      <c r="A2415" s="10" t="s">
        <v>652</v>
      </c>
      <c r="B2415" s="10" t="s">
        <v>672</v>
      </c>
      <c r="C2415" s="10" t="s">
        <v>46</v>
      </c>
      <c r="D2415" s="10">
        <v>75093</v>
      </c>
      <c r="E2415" s="10" t="s">
        <v>10</v>
      </c>
      <c r="F2415" s="10">
        <v>1099</v>
      </c>
    </row>
    <row r="2416" spans="1:6" x14ac:dyDescent="0.2">
      <c r="A2416" s="10" t="s">
        <v>652</v>
      </c>
      <c r="B2416" s="10" t="s">
        <v>671</v>
      </c>
      <c r="C2416" s="10" t="s">
        <v>46</v>
      </c>
      <c r="D2416" s="10">
        <v>76710</v>
      </c>
      <c r="E2416" s="10" t="s">
        <v>6</v>
      </c>
      <c r="F2416" s="10">
        <v>1847</v>
      </c>
    </row>
    <row r="2417" spans="1:6" x14ac:dyDescent="0.2">
      <c r="A2417" s="10" t="s">
        <v>652</v>
      </c>
      <c r="B2417" s="10" t="s">
        <v>669</v>
      </c>
      <c r="C2417" s="10" t="s">
        <v>46</v>
      </c>
      <c r="D2417" s="10">
        <v>77019</v>
      </c>
      <c r="E2417" s="10" t="s">
        <v>7</v>
      </c>
      <c r="F2417" s="10">
        <v>3177</v>
      </c>
    </row>
    <row r="2418" spans="1:6" x14ac:dyDescent="0.2">
      <c r="A2418" s="10" t="s">
        <v>652</v>
      </c>
      <c r="B2418" s="10" t="s">
        <v>669</v>
      </c>
      <c r="C2418" s="10" t="s">
        <v>46</v>
      </c>
      <c r="D2418" s="10">
        <v>77024</v>
      </c>
      <c r="E2418" s="10" t="s">
        <v>10</v>
      </c>
      <c r="F2418" s="10">
        <v>943</v>
      </c>
    </row>
    <row r="2419" spans="1:6" x14ac:dyDescent="0.2">
      <c r="A2419" s="10" t="s">
        <v>652</v>
      </c>
      <c r="B2419" s="10" t="s">
        <v>669</v>
      </c>
      <c r="C2419" s="10" t="s">
        <v>46</v>
      </c>
      <c r="D2419" s="10">
        <v>77027</v>
      </c>
      <c r="E2419" s="10" t="s">
        <v>10</v>
      </c>
      <c r="F2419" s="10">
        <v>917</v>
      </c>
    </row>
    <row r="2420" spans="1:6" x14ac:dyDescent="0.2">
      <c r="A2420" s="10" t="s">
        <v>652</v>
      </c>
      <c r="B2420" s="10" t="s">
        <v>669</v>
      </c>
      <c r="C2420" s="10" t="s">
        <v>46</v>
      </c>
      <c r="D2420" s="10">
        <v>77034</v>
      </c>
      <c r="E2420" s="10" t="s">
        <v>6</v>
      </c>
      <c r="F2420" s="10">
        <v>1349</v>
      </c>
    </row>
    <row r="2421" spans="1:6" x14ac:dyDescent="0.2">
      <c r="A2421" s="10" t="s">
        <v>652</v>
      </c>
      <c r="B2421" s="10" t="s">
        <v>673</v>
      </c>
      <c r="C2421" s="10" t="s">
        <v>46</v>
      </c>
      <c r="D2421" s="10">
        <v>77459</v>
      </c>
      <c r="E2421" s="10" t="s">
        <v>6</v>
      </c>
      <c r="F2421" s="10">
        <v>1832</v>
      </c>
    </row>
    <row r="2422" spans="1:6" x14ac:dyDescent="0.2">
      <c r="A2422" s="10" t="s">
        <v>652</v>
      </c>
      <c r="B2422" s="10" t="s">
        <v>669</v>
      </c>
      <c r="C2422" s="10" t="s">
        <v>46</v>
      </c>
      <c r="D2422" s="10">
        <v>77042</v>
      </c>
      <c r="E2422" s="10" t="s">
        <v>6</v>
      </c>
      <c r="F2422" s="10">
        <v>1052</v>
      </c>
    </row>
    <row r="2423" spans="1:6" x14ac:dyDescent="0.2">
      <c r="A2423" s="10" t="s">
        <v>652</v>
      </c>
      <c r="B2423" s="10" t="s">
        <v>674</v>
      </c>
      <c r="C2423" s="10" t="s">
        <v>46</v>
      </c>
      <c r="D2423" s="10">
        <v>78404</v>
      </c>
      <c r="E2423" s="10" t="s">
        <v>6</v>
      </c>
      <c r="F2423" s="10">
        <v>1254</v>
      </c>
    </row>
    <row r="2424" spans="1:6" x14ac:dyDescent="0.2">
      <c r="A2424" s="10" t="s">
        <v>652</v>
      </c>
      <c r="B2424" s="10" t="s">
        <v>674</v>
      </c>
      <c r="C2424" s="10" t="s">
        <v>46</v>
      </c>
      <c r="D2424" s="10">
        <v>78411</v>
      </c>
      <c r="E2424" s="10" t="s">
        <v>6</v>
      </c>
      <c r="F2424" s="10">
        <v>3371</v>
      </c>
    </row>
    <row r="2425" spans="1:6" x14ac:dyDescent="0.2">
      <c r="A2425" s="10" t="s">
        <v>652</v>
      </c>
      <c r="B2425" s="10" t="s">
        <v>669</v>
      </c>
      <c r="C2425" s="10" t="s">
        <v>46</v>
      </c>
      <c r="D2425" s="10">
        <v>77058</v>
      </c>
      <c r="E2425" s="10" t="s">
        <v>6</v>
      </c>
      <c r="F2425" s="10">
        <v>1185</v>
      </c>
    </row>
    <row r="2426" spans="1:6" x14ac:dyDescent="0.2">
      <c r="A2426" s="10" t="s">
        <v>652</v>
      </c>
      <c r="B2426" s="10" t="s">
        <v>669</v>
      </c>
      <c r="C2426" s="10" t="s">
        <v>46</v>
      </c>
      <c r="D2426" s="10">
        <v>77063</v>
      </c>
      <c r="E2426" s="10" t="s">
        <v>8</v>
      </c>
      <c r="F2426" s="10">
        <v>504</v>
      </c>
    </row>
    <row r="2427" spans="1:6" x14ac:dyDescent="0.2">
      <c r="A2427" s="10" t="s">
        <v>652</v>
      </c>
      <c r="B2427" s="10" t="s">
        <v>669</v>
      </c>
      <c r="C2427" s="10" t="s">
        <v>46</v>
      </c>
      <c r="D2427" s="10">
        <v>77065</v>
      </c>
      <c r="E2427" s="10" t="s">
        <v>5</v>
      </c>
      <c r="F2427" s="10">
        <v>921</v>
      </c>
    </row>
    <row r="2428" spans="1:6" x14ac:dyDescent="0.2">
      <c r="A2428" s="10" t="s">
        <v>652</v>
      </c>
      <c r="B2428" s="10" t="s">
        <v>669</v>
      </c>
      <c r="C2428" s="10" t="s">
        <v>46</v>
      </c>
      <c r="D2428" s="10">
        <v>77049</v>
      </c>
      <c r="E2428" s="10" t="s">
        <v>5</v>
      </c>
      <c r="F2428" s="10">
        <v>2253</v>
      </c>
    </row>
    <row r="2429" spans="1:6" x14ac:dyDescent="0.2">
      <c r="A2429" s="10" t="s">
        <v>652</v>
      </c>
      <c r="B2429" s="10" t="s">
        <v>669</v>
      </c>
      <c r="C2429" s="10" t="s">
        <v>46</v>
      </c>
      <c r="D2429" s="10">
        <v>77031</v>
      </c>
      <c r="E2429" s="10" t="s">
        <v>6</v>
      </c>
      <c r="F2429" s="10">
        <v>1764</v>
      </c>
    </row>
    <row r="2430" spans="1:6" x14ac:dyDescent="0.2">
      <c r="A2430" s="10" t="s">
        <v>652</v>
      </c>
      <c r="B2430" s="10" t="s">
        <v>669</v>
      </c>
      <c r="C2430" s="10" t="s">
        <v>46</v>
      </c>
      <c r="D2430" s="10">
        <v>77082</v>
      </c>
      <c r="E2430" s="10" t="s">
        <v>6</v>
      </c>
      <c r="F2430" s="10">
        <v>995</v>
      </c>
    </row>
    <row r="2431" spans="1:6" x14ac:dyDescent="0.2">
      <c r="A2431" s="10" t="s">
        <v>652</v>
      </c>
      <c r="B2431" s="10" t="s">
        <v>669</v>
      </c>
      <c r="C2431" s="10" t="s">
        <v>46</v>
      </c>
      <c r="D2431" s="10">
        <v>77095</v>
      </c>
      <c r="E2431" s="10" t="s">
        <v>6</v>
      </c>
      <c r="F2431" s="10">
        <v>1927</v>
      </c>
    </row>
    <row r="2432" spans="1:6" x14ac:dyDescent="0.2">
      <c r="A2432" s="10" t="s">
        <v>652</v>
      </c>
      <c r="B2432" s="10" t="s">
        <v>669</v>
      </c>
      <c r="C2432" s="10" t="s">
        <v>46</v>
      </c>
      <c r="D2432" s="10">
        <v>77098</v>
      </c>
      <c r="E2432" s="10" t="s">
        <v>8</v>
      </c>
      <c r="F2432" s="10">
        <v>539</v>
      </c>
    </row>
    <row r="2433" spans="1:6" x14ac:dyDescent="0.2">
      <c r="A2433" s="10" t="s">
        <v>652</v>
      </c>
      <c r="B2433" s="10" t="s">
        <v>669</v>
      </c>
      <c r="C2433" s="10" t="s">
        <v>46</v>
      </c>
      <c r="D2433" s="10">
        <v>77346</v>
      </c>
      <c r="E2433" s="10" t="s">
        <v>6</v>
      </c>
      <c r="F2433" s="10">
        <v>954</v>
      </c>
    </row>
    <row r="2434" spans="1:6" x14ac:dyDescent="0.2">
      <c r="A2434" s="10" t="s">
        <v>652</v>
      </c>
      <c r="B2434" s="10" t="s">
        <v>675</v>
      </c>
      <c r="C2434" s="10" t="s">
        <v>46</v>
      </c>
      <c r="D2434" s="10">
        <v>77840</v>
      </c>
      <c r="E2434" s="10" t="s">
        <v>6</v>
      </c>
      <c r="F2434" s="10">
        <v>2301</v>
      </c>
    </row>
    <row r="2435" spans="1:6" x14ac:dyDescent="0.2">
      <c r="A2435" s="10" t="s">
        <v>652</v>
      </c>
      <c r="B2435" s="10" t="s">
        <v>669</v>
      </c>
      <c r="C2435" s="10" t="s">
        <v>46</v>
      </c>
      <c r="D2435" s="10">
        <v>77377</v>
      </c>
      <c r="E2435" s="10" t="s">
        <v>6</v>
      </c>
      <c r="F2435" s="10">
        <v>1972</v>
      </c>
    </row>
    <row r="2436" spans="1:6" x14ac:dyDescent="0.2">
      <c r="A2436" s="10" t="s">
        <v>652</v>
      </c>
      <c r="B2436" s="10" t="s">
        <v>672</v>
      </c>
      <c r="C2436" s="10" t="s">
        <v>46</v>
      </c>
      <c r="D2436" s="10">
        <v>75075</v>
      </c>
      <c r="E2436" s="10" t="s">
        <v>7</v>
      </c>
      <c r="F2436" s="10">
        <v>1329</v>
      </c>
    </row>
    <row r="2437" spans="1:6" x14ac:dyDescent="0.2">
      <c r="A2437" s="10" t="s">
        <v>652</v>
      </c>
      <c r="B2437" s="10" t="s">
        <v>669</v>
      </c>
      <c r="C2437" s="10" t="s">
        <v>46</v>
      </c>
      <c r="D2437" s="10">
        <v>77024</v>
      </c>
      <c r="E2437" s="10" t="s">
        <v>7</v>
      </c>
      <c r="F2437" s="10">
        <v>2349</v>
      </c>
    </row>
    <row r="2438" spans="1:6" x14ac:dyDescent="0.2">
      <c r="A2438" s="10" t="s">
        <v>652</v>
      </c>
      <c r="B2438" s="10" t="s">
        <v>669</v>
      </c>
      <c r="C2438" s="10" t="s">
        <v>46</v>
      </c>
      <c r="D2438" s="10">
        <v>77054</v>
      </c>
      <c r="E2438" s="10" t="s">
        <v>6</v>
      </c>
      <c r="F2438" s="10">
        <v>1122</v>
      </c>
    </row>
    <row r="2439" spans="1:6" x14ac:dyDescent="0.2">
      <c r="A2439" s="10" t="s">
        <v>652</v>
      </c>
      <c r="B2439" s="10" t="s">
        <v>667</v>
      </c>
      <c r="C2439" s="10" t="s">
        <v>46</v>
      </c>
      <c r="D2439" s="10">
        <v>77584</v>
      </c>
      <c r="E2439" s="10" t="s">
        <v>6</v>
      </c>
      <c r="F2439" s="10">
        <v>2439</v>
      </c>
    </row>
    <row r="2440" spans="1:6" x14ac:dyDescent="0.2">
      <c r="A2440" s="10" t="s">
        <v>652</v>
      </c>
      <c r="B2440" s="10" t="s">
        <v>667</v>
      </c>
      <c r="C2440" s="10" t="s">
        <v>46</v>
      </c>
      <c r="D2440" s="10">
        <v>77511</v>
      </c>
      <c r="E2440" s="10" t="s">
        <v>6</v>
      </c>
      <c r="F2440" s="10">
        <v>2610</v>
      </c>
    </row>
    <row r="2441" spans="1:6" x14ac:dyDescent="0.2">
      <c r="A2441" s="10" t="s">
        <v>652</v>
      </c>
      <c r="B2441" s="10" t="s">
        <v>672</v>
      </c>
      <c r="C2441" s="10" t="s">
        <v>46</v>
      </c>
      <c r="D2441" s="10">
        <v>75093</v>
      </c>
      <c r="E2441" s="10" t="s">
        <v>7</v>
      </c>
      <c r="F2441" s="10">
        <v>1322</v>
      </c>
    </row>
    <row r="2442" spans="1:6" x14ac:dyDescent="0.2">
      <c r="A2442" s="10" t="s">
        <v>652</v>
      </c>
      <c r="B2442" s="10" t="s">
        <v>669</v>
      </c>
      <c r="C2442" s="10" t="s">
        <v>46</v>
      </c>
      <c r="D2442" s="10">
        <v>77069</v>
      </c>
      <c r="E2442" s="10" t="s">
        <v>6</v>
      </c>
      <c r="F2442" s="10">
        <v>1605</v>
      </c>
    </row>
    <row r="2443" spans="1:6" x14ac:dyDescent="0.2">
      <c r="A2443" s="10" t="s">
        <v>652</v>
      </c>
      <c r="B2443" s="10" t="s">
        <v>666</v>
      </c>
      <c r="C2443" s="10" t="s">
        <v>46</v>
      </c>
      <c r="D2443" s="10">
        <v>78723</v>
      </c>
      <c r="E2443" s="10" t="s">
        <v>5</v>
      </c>
      <c r="F2443" s="10">
        <v>1184</v>
      </c>
    </row>
    <row r="2444" spans="1:6" x14ac:dyDescent="0.2">
      <c r="A2444" s="10" t="s">
        <v>652</v>
      </c>
      <c r="B2444" s="10" t="s">
        <v>669</v>
      </c>
      <c r="C2444" s="10" t="s">
        <v>46</v>
      </c>
      <c r="D2444" s="10">
        <v>77096</v>
      </c>
      <c r="E2444" s="10" t="s">
        <v>7</v>
      </c>
      <c r="F2444" s="10">
        <v>1101</v>
      </c>
    </row>
    <row r="2445" spans="1:6" x14ac:dyDescent="0.2">
      <c r="A2445" s="10" t="s">
        <v>652</v>
      </c>
      <c r="B2445" s="10" t="s">
        <v>669</v>
      </c>
      <c r="C2445" s="10" t="s">
        <v>46</v>
      </c>
      <c r="D2445" s="10">
        <v>77064</v>
      </c>
      <c r="E2445" s="10" t="s">
        <v>6</v>
      </c>
      <c r="F2445" s="10">
        <v>1851</v>
      </c>
    </row>
    <row r="2446" spans="1:6" x14ac:dyDescent="0.2">
      <c r="A2446" s="10" t="s">
        <v>652</v>
      </c>
      <c r="B2446" s="10" t="s">
        <v>669</v>
      </c>
      <c r="C2446" s="10" t="s">
        <v>46</v>
      </c>
      <c r="D2446" s="10">
        <v>77056</v>
      </c>
      <c r="E2446" s="10" t="s">
        <v>6</v>
      </c>
      <c r="F2446" s="10">
        <v>1788</v>
      </c>
    </row>
    <row r="2447" spans="1:6" x14ac:dyDescent="0.2">
      <c r="A2447" s="10" t="s">
        <v>652</v>
      </c>
      <c r="B2447" s="10" t="s">
        <v>676</v>
      </c>
      <c r="C2447" s="10" t="s">
        <v>46</v>
      </c>
      <c r="D2447" s="10">
        <v>75028</v>
      </c>
      <c r="E2447" s="10" t="s">
        <v>7</v>
      </c>
      <c r="F2447" s="10">
        <v>1455</v>
      </c>
    </row>
    <row r="2448" spans="1:6" x14ac:dyDescent="0.2">
      <c r="A2448" s="10" t="s">
        <v>652</v>
      </c>
      <c r="B2448" s="10" t="s">
        <v>676</v>
      </c>
      <c r="C2448" s="10" t="s">
        <v>46</v>
      </c>
      <c r="D2448" s="10">
        <v>75067</v>
      </c>
      <c r="E2448" s="10" t="s">
        <v>7</v>
      </c>
      <c r="F2448" s="10">
        <v>2702</v>
      </c>
    </row>
    <row r="2449" spans="1:6" x14ac:dyDescent="0.2">
      <c r="A2449" s="10" t="s">
        <v>652</v>
      </c>
      <c r="B2449" s="10" t="s">
        <v>669</v>
      </c>
      <c r="C2449" s="10" t="s">
        <v>46</v>
      </c>
      <c r="D2449" s="10">
        <v>77037</v>
      </c>
      <c r="E2449" s="10" t="s">
        <v>6</v>
      </c>
      <c r="F2449" s="10">
        <v>1927</v>
      </c>
    </row>
    <row r="2450" spans="1:6" x14ac:dyDescent="0.2">
      <c r="A2450" s="10" t="s">
        <v>652</v>
      </c>
      <c r="B2450" s="10" t="s">
        <v>669</v>
      </c>
      <c r="C2450" s="10" t="s">
        <v>46</v>
      </c>
      <c r="D2450" s="10">
        <v>77024</v>
      </c>
      <c r="E2450" s="10" t="s">
        <v>6</v>
      </c>
      <c r="F2450" s="10">
        <v>4099</v>
      </c>
    </row>
    <row r="2451" spans="1:6" x14ac:dyDescent="0.2">
      <c r="A2451" s="10" t="s">
        <v>652</v>
      </c>
      <c r="B2451" s="10" t="s">
        <v>672</v>
      </c>
      <c r="C2451" s="10" t="s">
        <v>46</v>
      </c>
      <c r="D2451" s="10">
        <v>75070</v>
      </c>
      <c r="E2451" s="10" t="s">
        <v>5</v>
      </c>
      <c r="F2451" s="10">
        <v>1768</v>
      </c>
    </row>
    <row r="2452" spans="1:6" x14ac:dyDescent="0.2">
      <c r="A2452" s="10" t="s">
        <v>652</v>
      </c>
      <c r="B2452" s="10" t="s">
        <v>666</v>
      </c>
      <c r="C2452" s="10" t="s">
        <v>46</v>
      </c>
      <c r="D2452" s="10">
        <v>78746</v>
      </c>
      <c r="E2452" s="10" t="s">
        <v>6</v>
      </c>
      <c r="F2452" s="10">
        <v>501</v>
      </c>
    </row>
    <row r="2453" spans="1:6" x14ac:dyDescent="0.2">
      <c r="A2453" s="10" t="s">
        <v>652</v>
      </c>
      <c r="B2453" s="10" t="s">
        <v>673</v>
      </c>
      <c r="C2453" s="10" t="s">
        <v>46</v>
      </c>
      <c r="D2453" s="10">
        <v>77471</v>
      </c>
      <c r="E2453" s="10" t="s">
        <v>6</v>
      </c>
      <c r="F2453" s="10">
        <v>2424</v>
      </c>
    </row>
    <row r="2454" spans="1:6" x14ac:dyDescent="0.2">
      <c r="A2454" s="10" t="s">
        <v>652</v>
      </c>
      <c r="B2454" s="10" t="s">
        <v>643</v>
      </c>
      <c r="C2454" s="10" t="s">
        <v>46</v>
      </c>
      <c r="D2454" s="10">
        <v>78613</v>
      </c>
      <c r="E2454" s="10" t="s">
        <v>6</v>
      </c>
      <c r="F2454" s="10">
        <v>3265</v>
      </c>
    </row>
    <row r="2455" spans="1:6" x14ac:dyDescent="0.2">
      <c r="A2455" s="10" t="s">
        <v>652</v>
      </c>
      <c r="B2455" s="10" t="s">
        <v>666</v>
      </c>
      <c r="C2455" s="10" t="s">
        <v>46</v>
      </c>
      <c r="D2455" s="10">
        <v>78660</v>
      </c>
      <c r="E2455" s="10" t="s">
        <v>6</v>
      </c>
      <c r="F2455" s="10">
        <v>4437</v>
      </c>
    </row>
    <row r="2456" spans="1:6" x14ac:dyDescent="0.2">
      <c r="A2456" s="10" t="s">
        <v>652</v>
      </c>
      <c r="B2456" s="10" t="s">
        <v>677</v>
      </c>
      <c r="C2456" s="10" t="s">
        <v>46</v>
      </c>
      <c r="D2456" s="10">
        <v>78028</v>
      </c>
      <c r="E2456" s="10" t="s">
        <v>8</v>
      </c>
      <c r="F2456" s="10">
        <v>3770</v>
      </c>
    </row>
    <row r="2457" spans="1:6" x14ac:dyDescent="0.2">
      <c r="A2457" s="10" t="s">
        <v>652</v>
      </c>
      <c r="B2457" s="10" t="s">
        <v>677</v>
      </c>
      <c r="C2457" s="10" t="s">
        <v>46</v>
      </c>
      <c r="D2457" s="10">
        <v>78028</v>
      </c>
      <c r="E2457" s="10" t="s">
        <v>7</v>
      </c>
      <c r="F2457" s="10">
        <v>5014</v>
      </c>
    </row>
    <row r="2458" spans="1:6" x14ac:dyDescent="0.2">
      <c r="A2458" s="10" t="s">
        <v>652</v>
      </c>
      <c r="B2458" s="10" t="s">
        <v>258</v>
      </c>
      <c r="C2458" s="10" t="s">
        <v>46</v>
      </c>
      <c r="D2458" s="10">
        <v>75040</v>
      </c>
      <c r="E2458" s="10" t="s">
        <v>6</v>
      </c>
      <c r="F2458" s="10">
        <v>1093</v>
      </c>
    </row>
    <row r="2459" spans="1:6" x14ac:dyDescent="0.2">
      <c r="A2459" s="10" t="s">
        <v>652</v>
      </c>
      <c r="B2459" s="10" t="s">
        <v>258</v>
      </c>
      <c r="C2459" s="10" t="s">
        <v>46</v>
      </c>
      <c r="D2459" s="10">
        <v>75007</v>
      </c>
      <c r="E2459" s="10" t="s">
        <v>6</v>
      </c>
      <c r="F2459" s="10">
        <v>1794</v>
      </c>
    </row>
    <row r="2460" spans="1:6" x14ac:dyDescent="0.2">
      <c r="A2460" s="10" t="s">
        <v>652</v>
      </c>
      <c r="B2460" s="10" t="s">
        <v>669</v>
      </c>
      <c r="C2460" s="10" t="s">
        <v>46</v>
      </c>
      <c r="D2460" s="10">
        <v>77015</v>
      </c>
      <c r="E2460" s="10" t="s">
        <v>6</v>
      </c>
      <c r="F2460" s="10">
        <v>2227</v>
      </c>
    </row>
    <row r="2461" spans="1:6" x14ac:dyDescent="0.2">
      <c r="A2461" s="10" t="s">
        <v>652</v>
      </c>
      <c r="B2461" s="10" t="s">
        <v>643</v>
      </c>
      <c r="C2461" s="10" t="s">
        <v>46</v>
      </c>
      <c r="D2461" s="10">
        <v>78681</v>
      </c>
      <c r="E2461" s="10" t="s">
        <v>6</v>
      </c>
      <c r="F2461" s="10">
        <v>1850</v>
      </c>
    </row>
    <row r="2462" spans="1:6" x14ac:dyDescent="0.2">
      <c r="A2462" s="10" t="s">
        <v>652</v>
      </c>
      <c r="B2462" s="10" t="s">
        <v>678</v>
      </c>
      <c r="C2462" s="10" t="s">
        <v>46</v>
      </c>
      <c r="D2462" s="10">
        <v>75965</v>
      </c>
      <c r="E2462" s="10" t="s">
        <v>5</v>
      </c>
      <c r="F2462" s="10">
        <v>979</v>
      </c>
    </row>
    <row r="2463" spans="1:6" x14ac:dyDescent="0.2">
      <c r="A2463" s="10" t="s">
        <v>652</v>
      </c>
      <c r="B2463" s="10" t="s">
        <v>258</v>
      </c>
      <c r="C2463" s="10" t="s">
        <v>46</v>
      </c>
      <c r="D2463" s="10">
        <v>75247</v>
      </c>
      <c r="E2463" s="10" t="s">
        <v>6</v>
      </c>
      <c r="F2463" s="10">
        <v>2245</v>
      </c>
    </row>
    <row r="2464" spans="1:6" x14ac:dyDescent="0.2">
      <c r="A2464" s="10" t="s">
        <v>652</v>
      </c>
      <c r="B2464" s="10" t="s">
        <v>258</v>
      </c>
      <c r="C2464" s="10" t="s">
        <v>46</v>
      </c>
      <c r="D2464" s="10">
        <v>75234</v>
      </c>
      <c r="E2464" s="10" t="s">
        <v>6</v>
      </c>
      <c r="F2464" s="10">
        <v>1316</v>
      </c>
    </row>
    <row r="2465" spans="1:6" x14ac:dyDescent="0.2">
      <c r="A2465" s="10" t="s">
        <v>652</v>
      </c>
      <c r="B2465" s="10" t="s">
        <v>258</v>
      </c>
      <c r="C2465" s="10" t="s">
        <v>46</v>
      </c>
      <c r="D2465" s="10">
        <v>75230</v>
      </c>
      <c r="E2465" s="10" t="s">
        <v>5</v>
      </c>
      <c r="F2465" s="10">
        <v>591</v>
      </c>
    </row>
    <row r="2466" spans="1:6" x14ac:dyDescent="0.2">
      <c r="A2466" s="10" t="s">
        <v>652</v>
      </c>
      <c r="B2466" s="10" t="s">
        <v>258</v>
      </c>
      <c r="C2466" s="10" t="s">
        <v>46</v>
      </c>
      <c r="D2466" s="10">
        <v>75225</v>
      </c>
      <c r="E2466" s="10" t="s">
        <v>6</v>
      </c>
      <c r="F2466" s="10">
        <v>723</v>
      </c>
    </row>
    <row r="2467" spans="1:6" x14ac:dyDescent="0.2">
      <c r="A2467" s="10" t="s">
        <v>652</v>
      </c>
      <c r="B2467" s="10" t="s">
        <v>667</v>
      </c>
      <c r="C2467" s="10" t="s">
        <v>46</v>
      </c>
      <c r="D2467" s="10">
        <v>77566</v>
      </c>
      <c r="E2467" s="10" t="s">
        <v>6</v>
      </c>
      <c r="F2467" s="10">
        <v>2836</v>
      </c>
    </row>
    <row r="2468" spans="1:6" x14ac:dyDescent="0.2">
      <c r="A2468" s="10" t="s">
        <v>652</v>
      </c>
      <c r="B2468" s="10" t="s">
        <v>670</v>
      </c>
      <c r="C2468" s="10" t="s">
        <v>46</v>
      </c>
      <c r="D2468" s="10">
        <v>75605</v>
      </c>
      <c r="E2468" s="10" t="s">
        <v>6</v>
      </c>
      <c r="F2468" s="10">
        <v>2319</v>
      </c>
    </row>
    <row r="2469" spans="1:6" x14ac:dyDescent="0.2">
      <c r="A2469" s="10" t="s">
        <v>652</v>
      </c>
      <c r="B2469" s="10" t="s">
        <v>679</v>
      </c>
      <c r="C2469" s="10" t="s">
        <v>46</v>
      </c>
      <c r="D2469" s="10">
        <v>77565</v>
      </c>
      <c r="E2469" s="10" t="s">
        <v>6</v>
      </c>
      <c r="F2469" s="10">
        <v>1761</v>
      </c>
    </row>
    <row r="2470" spans="1:6" x14ac:dyDescent="0.2">
      <c r="A2470" s="10" t="s">
        <v>652</v>
      </c>
      <c r="B2470" s="10" t="s">
        <v>669</v>
      </c>
      <c r="C2470" s="10" t="s">
        <v>46</v>
      </c>
      <c r="D2470" s="10">
        <v>77546</v>
      </c>
      <c r="E2470" s="10" t="s">
        <v>10</v>
      </c>
      <c r="F2470" s="10">
        <v>4793</v>
      </c>
    </row>
    <row r="2471" spans="1:6" x14ac:dyDescent="0.2">
      <c r="A2471" s="10" t="s">
        <v>652</v>
      </c>
      <c r="B2471" s="10" t="s">
        <v>680</v>
      </c>
      <c r="C2471" s="10" t="s">
        <v>46</v>
      </c>
      <c r="D2471" s="10">
        <v>75165</v>
      </c>
      <c r="E2471" s="10" t="s">
        <v>6</v>
      </c>
      <c r="F2471" s="10">
        <v>2007</v>
      </c>
    </row>
    <row r="2472" spans="1:6" x14ac:dyDescent="0.2">
      <c r="A2472" s="10" t="s">
        <v>652</v>
      </c>
      <c r="B2472" s="10" t="s">
        <v>676</v>
      </c>
      <c r="C2472" s="10" t="s">
        <v>46</v>
      </c>
      <c r="D2472" s="10">
        <v>76205</v>
      </c>
      <c r="E2472" s="10" t="s">
        <v>6</v>
      </c>
      <c r="F2472" s="10">
        <v>2841</v>
      </c>
    </row>
    <row r="2473" spans="1:6" x14ac:dyDescent="0.2">
      <c r="A2473" s="10" t="s">
        <v>652</v>
      </c>
      <c r="B2473" s="10" t="s">
        <v>673</v>
      </c>
      <c r="C2473" s="10" t="s">
        <v>46</v>
      </c>
      <c r="D2473" s="10">
        <v>77494</v>
      </c>
      <c r="E2473" s="10" t="s">
        <v>7</v>
      </c>
      <c r="F2473" s="10">
        <v>3347</v>
      </c>
    </row>
    <row r="2474" spans="1:6" x14ac:dyDescent="0.2">
      <c r="A2474" s="10" t="s">
        <v>652</v>
      </c>
      <c r="B2474" s="10" t="s">
        <v>669</v>
      </c>
      <c r="C2474" s="10" t="s">
        <v>46</v>
      </c>
      <c r="D2474" s="10">
        <v>77521</v>
      </c>
      <c r="E2474" s="10" t="s">
        <v>6</v>
      </c>
      <c r="F2474" s="10">
        <v>2789</v>
      </c>
    </row>
    <row r="2475" spans="1:6" x14ac:dyDescent="0.2">
      <c r="A2475" s="10" t="s">
        <v>652</v>
      </c>
      <c r="B2475" s="10" t="s">
        <v>681</v>
      </c>
      <c r="C2475" s="10" t="s">
        <v>46</v>
      </c>
      <c r="D2475" s="10">
        <v>79124</v>
      </c>
      <c r="E2475" s="10" t="s">
        <v>7</v>
      </c>
      <c r="F2475" s="10">
        <v>1619</v>
      </c>
    </row>
    <row r="2476" spans="1:6" x14ac:dyDescent="0.2">
      <c r="A2476" s="10" t="s">
        <v>652</v>
      </c>
      <c r="B2476" s="10" t="s">
        <v>669</v>
      </c>
      <c r="C2476" s="10" t="s">
        <v>46</v>
      </c>
      <c r="D2476" s="10">
        <v>77505</v>
      </c>
      <c r="E2476" s="10" t="s">
        <v>6</v>
      </c>
      <c r="F2476" s="10">
        <v>2571</v>
      </c>
    </row>
    <row r="2477" spans="1:6" x14ac:dyDescent="0.2">
      <c r="A2477" s="10" t="s">
        <v>652</v>
      </c>
      <c r="B2477" s="10" t="s">
        <v>258</v>
      </c>
      <c r="C2477" s="10" t="s">
        <v>46</v>
      </c>
      <c r="D2477" s="10">
        <v>75001</v>
      </c>
      <c r="E2477" s="10" t="s">
        <v>5</v>
      </c>
      <c r="F2477" s="10">
        <v>1339</v>
      </c>
    </row>
    <row r="2478" spans="1:6" x14ac:dyDescent="0.2">
      <c r="A2478" s="10" t="s">
        <v>652</v>
      </c>
      <c r="B2478" s="10" t="s">
        <v>258</v>
      </c>
      <c r="C2478" s="10" t="s">
        <v>46</v>
      </c>
      <c r="D2478" s="10">
        <v>75062</v>
      </c>
      <c r="E2478" s="10" t="s">
        <v>6</v>
      </c>
      <c r="F2478" s="10">
        <v>249</v>
      </c>
    </row>
    <row r="2479" spans="1:6" x14ac:dyDescent="0.2">
      <c r="A2479" s="10" t="s">
        <v>652</v>
      </c>
      <c r="B2479" s="10" t="s">
        <v>258</v>
      </c>
      <c r="C2479" s="10" t="s">
        <v>46</v>
      </c>
      <c r="D2479" s="10">
        <v>75063</v>
      </c>
      <c r="E2479" s="10" t="s">
        <v>6</v>
      </c>
      <c r="F2479" s="10">
        <v>980</v>
      </c>
    </row>
    <row r="2480" spans="1:6" x14ac:dyDescent="0.2">
      <c r="A2480" s="10" t="s">
        <v>652</v>
      </c>
      <c r="B2480" s="10" t="s">
        <v>258</v>
      </c>
      <c r="C2480" s="10" t="s">
        <v>46</v>
      </c>
      <c r="D2480" s="10">
        <v>75115</v>
      </c>
      <c r="E2480" s="10" t="s">
        <v>6</v>
      </c>
      <c r="F2480" s="10">
        <v>781</v>
      </c>
    </row>
    <row r="2481" spans="1:6" x14ac:dyDescent="0.2">
      <c r="A2481" s="10" t="s">
        <v>652</v>
      </c>
      <c r="B2481" s="10" t="s">
        <v>258</v>
      </c>
      <c r="C2481" s="10" t="s">
        <v>46</v>
      </c>
      <c r="D2481" s="10">
        <v>75206</v>
      </c>
      <c r="E2481" s="10" t="s">
        <v>6</v>
      </c>
      <c r="F2481" s="10">
        <v>2447</v>
      </c>
    </row>
    <row r="2482" spans="1:6" x14ac:dyDescent="0.2">
      <c r="A2482" s="10" t="s">
        <v>652</v>
      </c>
      <c r="B2482" s="10" t="s">
        <v>258</v>
      </c>
      <c r="C2482" s="10" t="s">
        <v>46</v>
      </c>
      <c r="D2482" s="10">
        <v>75230</v>
      </c>
      <c r="E2482" s="10" t="s">
        <v>10</v>
      </c>
      <c r="F2482" s="10">
        <v>775</v>
      </c>
    </row>
    <row r="2483" spans="1:6" x14ac:dyDescent="0.2">
      <c r="A2483" s="10" t="s">
        <v>652</v>
      </c>
      <c r="B2483" s="10" t="s">
        <v>258</v>
      </c>
      <c r="C2483" s="10" t="s">
        <v>46</v>
      </c>
      <c r="D2483" s="10">
        <v>75237</v>
      </c>
      <c r="E2483" s="10" t="s">
        <v>6</v>
      </c>
      <c r="F2483" s="10">
        <v>954</v>
      </c>
    </row>
    <row r="2484" spans="1:6" x14ac:dyDescent="0.2">
      <c r="A2484" s="10" t="s">
        <v>652</v>
      </c>
      <c r="B2484" s="10" t="s">
        <v>258</v>
      </c>
      <c r="C2484" s="10" t="s">
        <v>46</v>
      </c>
      <c r="D2484" s="10">
        <v>75248</v>
      </c>
      <c r="E2484" s="10" t="s">
        <v>8</v>
      </c>
      <c r="F2484" s="10">
        <v>509</v>
      </c>
    </row>
    <row r="2485" spans="1:6" x14ac:dyDescent="0.2">
      <c r="A2485" s="10" t="s">
        <v>652</v>
      </c>
      <c r="B2485" s="10" t="s">
        <v>669</v>
      </c>
      <c r="C2485" s="10" t="s">
        <v>46</v>
      </c>
      <c r="D2485" s="10">
        <v>77388</v>
      </c>
      <c r="E2485" s="10" t="s">
        <v>5</v>
      </c>
      <c r="F2485" s="10">
        <v>1206</v>
      </c>
    </row>
    <row r="2486" spans="1:6" x14ac:dyDescent="0.2">
      <c r="A2486" s="10" t="s">
        <v>652</v>
      </c>
      <c r="B2486" s="10" t="s">
        <v>669</v>
      </c>
      <c r="C2486" s="10" t="s">
        <v>46</v>
      </c>
      <c r="D2486" s="10">
        <v>77388</v>
      </c>
      <c r="E2486" s="10" t="s">
        <v>6</v>
      </c>
      <c r="F2486" s="10">
        <v>2543</v>
      </c>
    </row>
    <row r="2487" spans="1:6" x14ac:dyDescent="0.2">
      <c r="A2487" s="10" t="s">
        <v>652</v>
      </c>
      <c r="B2487" s="10" t="s">
        <v>258</v>
      </c>
      <c r="C2487" s="10" t="s">
        <v>46</v>
      </c>
      <c r="D2487" s="10">
        <v>75254</v>
      </c>
      <c r="E2487" s="10" t="s">
        <v>6</v>
      </c>
      <c r="F2487" s="10">
        <v>981</v>
      </c>
    </row>
    <row r="2488" spans="1:6" x14ac:dyDescent="0.2">
      <c r="A2488" s="10" t="s">
        <v>652</v>
      </c>
      <c r="B2488" s="10" t="s">
        <v>682</v>
      </c>
      <c r="C2488" s="10" t="s">
        <v>46</v>
      </c>
      <c r="D2488" s="10">
        <v>75901</v>
      </c>
      <c r="E2488" s="10" t="s">
        <v>6</v>
      </c>
      <c r="F2488" s="10">
        <v>2388</v>
      </c>
    </row>
    <row r="2489" spans="1:6" x14ac:dyDescent="0.2">
      <c r="A2489" s="10" t="s">
        <v>652</v>
      </c>
      <c r="B2489" s="10" t="s">
        <v>679</v>
      </c>
      <c r="C2489" s="10" t="s">
        <v>46</v>
      </c>
      <c r="D2489" s="10">
        <v>77551</v>
      </c>
      <c r="E2489" s="10" t="s">
        <v>6</v>
      </c>
      <c r="F2489" s="10">
        <v>1998</v>
      </c>
    </row>
    <row r="2490" spans="1:6" x14ac:dyDescent="0.2">
      <c r="A2490" s="10" t="s">
        <v>652</v>
      </c>
      <c r="B2490" s="10" t="s">
        <v>666</v>
      </c>
      <c r="C2490" s="10" t="s">
        <v>46</v>
      </c>
      <c r="D2490" s="10">
        <v>78757</v>
      </c>
      <c r="E2490" s="10" t="s">
        <v>6</v>
      </c>
      <c r="F2490" s="10">
        <v>678</v>
      </c>
    </row>
    <row r="2491" spans="1:6" x14ac:dyDescent="0.2">
      <c r="A2491" s="10" t="s">
        <v>652</v>
      </c>
      <c r="B2491" s="10" t="s">
        <v>666</v>
      </c>
      <c r="C2491" s="10" t="s">
        <v>46</v>
      </c>
      <c r="D2491" s="10">
        <v>78748</v>
      </c>
      <c r="E2491" s="10" t="s">
        <v>6</v>
      </c>
      <c r="F2491" s="10">
        <v>3476</v>
      </c>
    </row>
    <row r="2492" spans="1:6" x14ac:dyDescent="0.2">
      <c r="A2492" s="10" t="s">
        <v>652</v>
      </c>
      <c r="B2492" s="10" t="s">
        <v>669</v>
      </c>
      <c r="C2492" s="10" t="s">
        <v>46</v>
      </c>
      <c r="D2492" s="10">
        <v>77598</v>
      </c>
      <c r="E2492" s="10" t="s">
        <v>5</v>
      </c>
      <c r="F2492" s="10">
        <v>2192</v>
      </c>
    </row>
    <row r="2493" spans="1:6" x14ac:dyDescent="0.2">
      <c r="A2493" s="10" t="s">
        <v>652</v>
      </c>
      <c r="B2493" s="10" t="s">
        <v>669</v>
      </c>
      <c r="C2493" s="10" t="s">
        <v>46</v>
      </c>
      <c r="D2493" s="10">
        <v>77598</v>
      </c>
      <c r="E2493" s="10" t="s">
        <v>6</v>
      </c>
      <c r="F2493" s="10">
        <v>711</v>
      </c>
    </row>
    <row r="2494" spans="1:6" x14ac:dyDescent="0.2">
      <c r="A2494" s="10" t="s">
        <v>652</v>
      </c>
      <c r="B2494" s="10" t="s">
        <v>669</v>
      </c>
      <c r="C2494" s="10" t="s">
        <v>46</v>
      </c>
      <c r="D2494" s="10">
        <v>77450</v>
      </c>
      <c r="E2494" s="10" t="s">
        <v>6</v>
      </c>
      <c r="F2494" s="10">
        <v>2227</v>
      </c>
    </row>
    <row r="2495" spans="1:6" x14ac:dyDescent="0.2">
      <c r="A2495" s="10" t="s">
        <v>652</v>
      </c>
      <c r="B2495" s="10" t="s">
        <v>679</v>
      </c>
      <c r="C2495" s="10" t="s">
        <v>46</v>
      </c>
      <c r="D2495" s="10">
        <v>77591</v>
      </c>
      <c r="E2495" s="10" t="s">
        <v>6</v>
      </c>
      <c r="F2495" s="10">
        <v>1405</v>
      </c>
    </row>
    <row r="2496" spans="1:6" x14ac:dyDescent="0.2">
      <c r="A2496" s="10" t="s">
        <v>652</v>
      </c>
      <c r="B2496" s="10" t="s">
        <v>643</v>
      </c>
      <c r="C2496" s="10" t="s">
        <v>46</v>
      </c>
      <c r="D2496" s="10">
        <v>78628</v>
      </c>
      <c r="E2496" s="10" t="s">
        <v>6</v>
      </c>
      <c r="F2496" s="10">
        <v>1312</v>
      </c>
    </row>
    <row r="2497" spans="1:6" x14ac:dyDescent="0.2">
      <c r="A2497" s="10" t="s">
        <v>652</v>
      </c>
      <c r="B2497" s="10" t="s">
        <v>387</v>
      </c>
      <c r="C2497" s="10" t="s">
        <v>46</v>
      </c>
      <c r="D2497" s="10">
        <v>79707</v>
      </c>
      <c r="E2497" s="10" t="s">
        <v>5</v>
      </c>
      <c r="F2497" s="10">
        <v>1875</v>
      </c>
    </row>
    <row r="2498" spans="1:6" x14ac:dyDescent="0.2">
      <c r="A2498" s="10" t="s">
        <v>652</v>
      </c>
      <c r="B2498" s="10" t="s">
        <v>669</v>
      </c>
      <c r="C2498" s="10" t="s">
        <v>46</v>
      </c>
      <c r="D2498" s="10">
        <v>77429</v>
      </c>
      <c r="E2498" s="10" t="s">
        <v>6</v>
      </c>
      <c r="F2498" s="10">
        <v>1628</v>
      </c>
    </row>
    <row r="2499" spans="1:6" x14ac:dyDescent="0.2">
      <c r="A2499" s="10" t="s">
        <v>652</v>
      </c>
      <c r="B2499" s="10" t="s">
        <v>669</v>
      </c>
      <c r="C2499" s="10" t="s">
        <v>46</v>
      </c>
      <c r="D2499" s="10">
        <v>77338</v>
      </c>
      <c r="E2499" s="10" t="s">
        <v>6</v>
      </c>
      <c r="F2499" s="10">
        <v>6706</v>
      </c>
    </row>
    <row r="2500" spans="1:6" x14ac:dyDescent="0.2">
      <c r="A2500" s="10" t="s">
        <v>652</v>
      </c>
      <c r="B2500" s="10" t="s">
        <v>683</v>
      </c>
      <c r="C2500" s="10" t="s">
        <v>46</v>
      </c>
      <c r="D2500" s="10">
        <v>77320</v>
      </c>
      <c r="E2500" s="10" t="s">
        <v>6</v>
      </c>
      <c r="F2500" s="10">
        <v>1173</v>
      </c>
    </row>
    <row r="2501" spans="1:6" x14ac:dyDescent="0.2">
      <c r="A2501" s="10" t="s">
        <v>652</v>
      </c>
      <c r="B2501" s="10" t="s">
        <v>669</v>
      </c>
      <c r="C2501" s="10" t="s">
        <v>46</v>
      </c>
      <c r="D2501" s="10">
        <v>77092</v>
      </c>
      <c r="E2501" s="10" t="s">
        <v>6</v>
      </c>
      <c r="F2501" s="10">
        <v>1027</v>
      </c>
    </row>
    <row r="2502" spans="1:6" x14ac:dyDescent="0.2">
      <c r="A2502" s="10" t="s">
        <v>652</v>
      </c>
      <c r="B2502" s="10" t="s">
        <v>669</v>
      </c>
      <c r="C2502" s="10" t="s">
        <v>46</v>
      </c>
      <c r="D2502" s="10">
        <v>77087</v>
      </c>
      <c r="E2502" s="10" t="s">
        <v>6</v>
      </c>
      <c r="F2502" s="10">
        <v>4174</v>
      </c>
    </row>
    <row r="2503" spans="1:6" x14ac:dyDescent="0.2">
      <c r="A2503" s="10" t="s">
        <v>652</v>
      </c>
      <c r="B2503" s="10" t="s">
        <v>684</v>
      </c>
      <c r="C2503" s="10" t="s">
        <v>46</v>
      </c>
      <c r="D2503" s="10">
        <v>76048</v>
      </c>
      <c r="E2503" s="10" t="s">
        <v>5</v>
      </c>
      <c r="F2503" s="10">
        <v>2996</v>
      </c>
    </row>
    <row r="2504" spans="1:6" x14ac:dyDescent="0.2">
      <c r="A2504" s="10" t="s">
        <v>652</v>
      </c>
      <c r="B2504" s="10" t="s">
        <v>258</v>
      </c>
      <c r="C2504" s="10" t="s">
        <v>46</v>
      </c>
      <c r="D2504" s="10">
        <v>75081</v>
      </c>
      <c r="E2504" s="10" t="s">
        <v>5</v>
      </c>
      <c r="F2504" s="10">
        <v>1562</v>
      </c>
    </row>
    <row r="2505" spans="1:6" x14ac:dyDescent="0.2">
      <c r="A2505" s="10" t="s">
        <v>652</v>
      </c>
      <c r="B2505" s="10" t="s">
        <v>258</v>
      </c>
      <c r="C2505" s="10" t="s">
        <v>46</v>
      </c>
      <c r="D2505" s="10">
        <v>75150</v>
      </c>
      <c r="E2505" s="10" t="s">
        <v>6</v>
      </c>
      <c r="F2505" s="10">
        <v>1442</v>
      </c>
    </row>
    <row r="2506" spans="1:6" x14ac:dyDescent="0.2">
      <c r="A2506" s="10" t="s">
        <v>652</v>
      </c>
      <c r="B2506" s="10" t="s">
        <v>258</v>
      </c>
      <c r="C2506" s="10" t="s">
        <v>46</v>
      </c>
      <c r="D2506" s="10">
        <v>75204</v>
      </c>
      <c r="E2506" s="10" t="s">
        <v>7</v>
      </c>
      <c r="F2506" s="10">
        <v>1166</v>
      </c>
    </row>
    <row r="2507" spans="1:6" x14ac:dyDescent="0.2">
      <c r="A2507" s="10" t="s">
        <v>652</v>
      </c>
      <c r="B2507" s="10" t="s">
        <v>678</v>
      </c>
      <c r="C2507" s="10" t="s">
        <v>46</v>
      </c>
      <c r="D2507" s="10">
        <v>75965</v>
      </c>
      <c r="E2507" s="10" t="s">
        <v>8</v>
      </c>
      <c r="F2507" s="10">
        <v>501</v>
      </c>
    </row>
    <row r="2508" spans="1:6" x14ac:dyDescent="0.2">
      <c r="A2508" s="10" t="s">
        <v>652</v>
      </c>
      <c r="B2508" s="10" t="s">
        <v>673</v>
      </c>
      <c r="C2508" s="10" t="s">
        <v>46</v>
      </c>
      <c r="D2508" s="10">
        <v>77478</v>
      </c>
      <c r="E2508" s="10" t="s">
        <v>6</v>
      </c>
      <c r="F2508" s="10">
        <v>1241</v>
      </c>
    </row>
    <row r="2509" spans="1:6" x14ac:dyDescent="0.2">
      <c r="A2509" s="10" t="s">
        <v>652</v>
      </c>
      <c r="B2509" s="10" t="s">
        <v>672</v>
      </c>
      <c r="C2509" s="10" t="s">
        <v>46</v>
      </c>
      <c r="D2509" s="10">
        <v>75093</v>
      </c>
      <c r="E2509" s="10" t="s">
        <v>6</v>
      </c>
      <c r="F2509" s="10">
        <v>2526</v>
      </c>
    </row>
    <row r="2510" spans="1:6" x14ac:dyDescent="0.2">
      <c r="A2510" s="10" t="s">
        <v>652</v>
      </c>
      <c r="B2510" s="10" t="s">
        <v>258</v>
      </c>
      <c r="C2510" s="10" t="s">
        <v>46</v>
      </c>
      <c r="D2510" s="10">
        <v>75205</v>
      </c>
      <c r="E2510" s="10" t="s">
        <v>10</v>
      </c>
      <c r="F2510" s="10">
        <v>1138</v>
      </c>
    </row>
    <row r="2511" spans="1:6" x14ac:dyDescent="0.2">
      <c r="A2511" s="10" t="s">
        <v>652</v>
      </c>
      <c r="B2511" s="10" t="s">
        <v>258</v>
      </c>
      <c r="C2511" s="10" t="s">
        <v>46</v>
      </c>
      <c r="D2511" s="10">
        <v>75041</v>
      </c>
      <c r="E2511" s="10" t="s">
        <v>6</v>
      </c>
      <c r="F2511" s="10">
        <v>341</v>
      </c>
    </row>
    <row r="2512" spans="1:6" x14ac:dyDescent="0.2">
      <c r="A2512" s="10" t="s">
        <v>652</v>
      </c>
      <c r="B2512" s="10" t="s">
        <v>75</v>
      </c>
      <c r="C2512" s="10" t="s">
        <v>47</v>
      </c>
      <c r="D2512" s="10">
        <v>77706</v>
      </c>
      <c r="E2512" s="10" t="s">
        <v>6</v>
      </c>
      <c r="F2512" s="10">
        <v>1517</v>
      </c>
    </row>
    <row r="2513" spans="1:6" x14ac:dyDescent="0.2">
      <c r="A2513" s="10" t="s">
        <v>652</v>
      </c>
      <c r="B2513" s="10" t="s">
        <v>685</v>
      </c>
      <c r="C2513" s="10" t="s">
        <v>47</v>
      </c>
      <c r="D2513" s="10">
        <v>79762</v>
      </c>
      <c r="E2513" s="10" t="s">
        <v>6</v>
      </c>
      <c r="F2513" s="10">
        <v>3465</v>
      </c>
    </row>
    <row r="2514" spans="1:6" x14ac:dyDescent="0.2">
      <c r="A2514" s="10" t="s">
        <v>652</v>
      </c>
      <c r="B2514" s="10" t="s">
        <v>686</v>
      </c>
      <c r="C2514" s="10" t="s">
        <v>47</v>
      </c>
      <c r="D2514" s="10">
        <v>78239</v>
      </c>
      <c r="E2514" s="10" t="s">
        <v>6</v>
      </c>
      <c r="F2514" s="10">
        <v>251</v>
      </c>
    </row>
    <row r="2515" spans="1:6" x14ac:dyDescent="0.2">
      <c r="A2515" s="10" t="s">
        <v>652</v>
      </c>
      <c r="B2515" s="10" t="s">
        <v>687</v>
      </c>
      <c r="C2515" s="10" t="s">
        <v>47</v>
      </c>
      <c r="D2515" s="10">
        <v>76542</v>
      </c>
      <c r="E2515" s="10" t="s">
        <v>7</v>
      </c>
      <c r="F2515" s="10">
        <v>2220</v>
      </c>
    </row>
    <row r="2516" spans="1:6" x14ac:dyDescent="0.2">
      <c r="A2516" s="10" t="s">
        <v>652</v>
      </c>
      <c r="B2516" s="10" t="s">
        <v>688</v>
      </c>
      <c r="C2516" s="10" t="s">
        <v>47</v>
      </c>
      <c r="D2516" s="10">
        <v>78130</v>
      </c>
      <c r="E2516" s="10" t="s">
        <v>8</v>
      </c>
      <c r="F2516" s="10">
        <v>621</v>
      </c>
    </row>
    <row r="2517" spans="1:6" x14ac:dyDescent="0.2">
      <c r="A2517" s="10" t="s">
        <v>652</v>
      </c>
      <c r="B2517" s="10" t="s">
        <v>686</v>
      </c>
      <c r="C2517" s="10" t="s">
        <v>47</v>
      </c>
      <c r="D2517" s="10">
        <v>78257</v>
      </c>
      <c r="E2517" s="10" t="s">
        <v>5</v>
      </c>
      <c r="F2517" s="10">
        <v>2094</v>
      </c>
    </row>
    <row r="2518" spans="1:6" x14ac:dyDescent="0.2">
      <c r="A2518" s="10" t="s">
        <v>652</v>
      </c>
      <c r="B2518" s="10" t="s">
        <v>689</v>
      </c>
      <c r="C2518" s="10" t="s">
        <v>47</v>
      </c>
      <c r="D2518" s="10">
        <v>75087</v>
      </c>
      <c r="E2518" s="10" t="s">
        <v>5</v>
      </c>
      <c r="F2518" s="10">
        <v>1412</v>
      </c>
    </row>
    <row r="2519" spans="1:6" x14ac:dyDescent="0.2">
      <c r="A2519" s="10" t="s">
        <v>652</v>
      </c>
      <c r="B2519" s="10" t="s">
        <v>689</v>
      </c>
      <c r="C2519" s="10" t="s">
        <v>47</v>
      </c>
      <c r="D2519" s="10">
        <v>75032</v>
      </c>
      <c r="E2519" s="10" t="s">
        <v>7</v>
      </c>
      <c r="F2519" s="10">
        <v>2246</v>
      </c>
    </row>
    <row r="2520" spans="1:6" x14ac:dyDescent="0.2">
      <c r="A2520" s="10" t="s">
        <v>652</v>
      </c>
      <c r="B2520" s="10" t="s">
        <v>690</v>
      </c>
      <c r="C2520" s="10" t="s">
        <v>47</v>
      </c>
      <c r="D2520" s="10">
        <v>75703</v>
      </c>
      <c r="E2520" s="10" t="s">
        <v>6</v>
      </c>
      <c r="F2520" s="10">
        <v>1814</v>
      </c>
    </row>
    <row r="2521" spans="1:6" x14ac:dyDescent="0.2">
      <c r="A2521" s="10" t="s">
        <v>652</v>
      </c>
      <c r="B2521" s="10" t="s">
        <v>686</v>
      </c>
      <c r="C2521" s="10" t="s">
        <v>47</v>
      </c>
      <c r="D2521" s="10">
        <v>78223</v>
      </c>
      <c r="E2521" s="10" t="s">
        <v>6</v>
      </c>
      <c r="F2521" s="10">
        <v>1387</v>
      </c>
    </row>
    <row r="2522" spans="1:6" x14ac:dyDescent="0.2">
      <c r="A2522" s="10" t="s">
        <v>652</v>
      </c>
      <c r="B2522" s="10" t="s">
        <v>686</v>
      </c>
      <c r="C2522" s="10" t="s">
        <v>47</v>
      </c>
      <c r="D2522" s="10">
        <v>78245</v>
      </c>
      <c r="E2522" s="10" t="s">
        <v>6</v>
      </c>
      <c r="F2522" s="10">
        <v>1825</v>
      </c>
    </row>
    <row r="2523" spans="1:6" x14ac:dyDescent="0.2">
      <c r="A2523" s="10" t="s">
        <v>652</v>
      </c>
      <c r="B2523" s="10" t="s">
        <v>686</v>
      </c>
      <c r="C2523" s="10" t="s">
        <v>47</v>
      </c>
      <c r="D2523" s="10">
        <v>78250</v>
      </c>
      <c r="E2523" s="10" t="s">
        <v>6</v>
      </c>
      <c r="F2523" s="10">
        <v>1462</v>
      </c>
    </row>
    <row r="2524" spans="1:6" x14ac:dyDescent="0.2">
      <c r="A2524" s="10" t="s">
        <v>652</v>
      </c>
      <c r="B2524" s="10" t="s">
        <v>686</v>
      </c>
      <c r="C2524" s="10" t="s">
        <v>47</v>
      </c>
      <c r="D2524" s="10">
        <v>78253</v>
      </c>
      <c r="E2524" s="10" t="s">
        <v>7</v>
      </c>
      <c r="F2524" s="10">
        <v>1689</v>
      </c>
    </row>
    <row r="2525" spans="1:6" x14ac:dyDescent="0.2">
      <c r="A2525" s="10" t="s">
        <v>652</v>
      </c>
      <c r="B2525" s="10" t="s">
        <v>686</v>
      </c>
      <c r="C2525" s="10" t="s">
        <v>47</v>
      </c>
      <c r="D2525" s="10">
        <v>78258</v>
      </c>
      <c r="E2525" s="10" t="s">
        <v>6</v>
      </c>
      <c r="F2525" s="10">
        <v>2094</v>
      </c>
    </row>
    <row r="2526" spans="1:6" x14ac:dyDescent="0.2">
      <c r="A2526" s="10" t="s">
        <v>652</v>
      </c>
      <c r="B2526" s="10" t="s">
        <v>691</v>
      </c>
      <c r="C2526" s="10" t="s">
        <v>47</v>
      </c>
      <c r="D2526" s="10">
        <v>79606</v>
      </c>
      <c r="E2526" s="10" t="s">
        <v>7</v>
      </c>
      <c r="F2526" s="10">
        <v>1911</v>
      </c>
    </row>
    <row r="2527" spans="1:6" x14ac:dyDescent="0.2">
      <c r="A2527" s="10" t="s">
        <v>652</v>
      </c>
      <c r="B2527" s="10" t="s">
        <v>692</v>
      </c>
      <c r="C2527" s="10" t="s">
        <v>47</v>
      </c>
      <c r="D2527" s="10">
        <v>78041</v>
      </c>
      <c r="E2527" s="10" t="s">
        <v>6</v>
      </c>
      <c r="F2527" s="10">
        <v>5010</v>
      </c>
    </row>
    <row r="2528" spans="1:6" x14ac:dyDescent="0.2">
      <c r="A2528" s="10" t="s">
        <v>652</v>
      </c>
      <c r="B2528" s="10" t="s">
        <v>686</v>
      </c>
      <c r="C2528" s="10" t="s">
        <v>47</v>
      </c>
      <c r="D2528" s="10">
        <v>78209</v>
      </c>
      <c r="E2528" s="10" t="s">
        <v>7</v>
      </c>
      <c r="F2528" s="10">
        <v>2095</v>
      </c>
    </row>
    <row r="2529" spans="1:6" x14ac:dyDescent="0.2">
      <c r="A2529" s="10" t="s">
        <v>652</v>
      </c>
      <c r="B2529" s="10" t="s">
        <v>690</v>
      </c>
      <c r="C2529" s="10" t="s">
        <v>47</v>
      </c>
      <c r="D2529" s="10">
        <v>75701</v>
      </c>
      <c r="E2529" s="10" t="s">
        <v>8</v>
      </c>
      <c r="F2529" s="10">
        <v>1747</v>
      </c>
    </row>
    <row r="2530" spans="1:6" x14ac:dyDescent="0.2">
      <c r="A2530" s="10" t="s">
        <v>652</v>
      </c>
      <c r="B2530" s="10" t="s">
        <v>691</v>
      </c>
      <c r="C2530" s="10" t="s">
        <v>47</v>
      </c>
      <c r="D2530" s="10">
        <v>79605</v>
      </c>
      <c r="E2530" s="10" t="s">
        <v>6</v>
      </c>
      <c r="F2530" s="10">
        <v>1877</v>
      </c>
    </row>
    <row r="2531" spans="1:6" x14ac:dyDescent="0.2">
      <c r="A2531" s="10" t="s">
        <v>652</v>
      </c>
      <c r="B2531" s="10" t="s">
        <v>623</v>
      </c>
      <c r="C2531" s="10" t="s">
        <v>47</v>
      </c>
      <c r="D2531" s="10">
        <v>75801</v>
      </c>
      <c r="E2531" s="10" t="s">
        <v>6</v>
      </c>
      <c r="F2531" s="10">
        <v>2419</v>
      </c>
    </row>
    <row r="2532" spans="1:6" x14ac:dyDescent="0.2">
      <c r="A2532" s="10" t="s">
        <v>652</v>
      </c>
      <c r="B2532" s="10" t="s">
        <v>688</v>
      </c>
      <c r="C2532" s="10" t="s">
        <v>47</v>
      </c>
      <c r="D2532" s="10">
        <v>78130</v>
      </c>
      <c r="E2532" s="10" t="s">
        <v>6</v>
      </c>
      <c r="F2532" s="10">
        <v>2652</v>
      </c>
    </row>
    <row r="2533" spans="1:6" x14ac:dyDescent="0.2">
      <c r="A2533" s="10" t="s">
        <v>652</v>
      </c>
      <c r="B2533" s="10" t="s">
        <v>75</v>
      </c>
      <c r="C2533" s="10" t="s">
        <v>47</v>
      </c>
      <c r="D2533" s="10">
        <v>77640</v>
      </c>
      <c r="E2533" s="10" t="s">
        <v>6</v>
      </c>
      <c r="F2533" s="10">
        <v>3066</v>
      </c>
    </row>
    <row r="2534" spans="1:6" x14ac:dyDescent="0.2">
      <c r="A2534" s="10" t="s">
        <v>652</v>
      </c>
      <c r="B2534" s="10" t="s">
        <v>693</v>
      </c>
      <c r="C2534" s="10" t="s">
        <v>47</v>
      </c>
      <c r="D2534" s="10">
        <v>75503</v>
      </c>
      <c r="E2534" s="10" t="s">
        <v>6</v>
      </c>
      <c r="F2534" s="10">
        <v>1397</v>
      </c>
    </row>
    <row r="2535" spans="1:6" x14ac:dyDescent="0.2">
      <c r="A2535" s="10" t="s">
        <v>652</v>
      </c>
      <c r="B2535" s="10" t="s">
        <v>694</v>
      </c>
      <c r="C2535" s="10" t="s">
        <v>47</v>
      </c>
      <c r="D2535" s="10">
        <v>76904</v>
      </c>
      <c r="E2535" s="10" t="s">
        <v>6</v>
      </c>
      <c r="F2535" s="10">
        <v>4463</v>
      </c>
    </row>
    <row r="2536" spans="1:6" x14ac:dyDescent="0.2">
      <c r="A2536" s="10" t="s">
        <v>652</v>
      </c>
      <c r="B2536" s="10" t="s">
        <v>695</v>
      </c>
      <c r="C2536" s="10" t="s">
        <v>47</v>
      </c>
      <c r="D2536" s="10">
        <v>78666</v>
      </c>
      <c r="E2536" s="10" t="s">
        <v>6</v>
      </c>
      <c r="F2536" s="10">
        <v>2128</v>
      </c>
    </row>
    <row r="2537" spans="1:6" x14ac:dyDescent="0.2">
      <c r="A2537" s="10" t="s">
        <v>652</v>
      </c>
      <c r="B2537" s="10" t="s">
        <v>687</v>
      </c>
      <c r="C2537" s="10" t="s">
        <v>47</v>
      </c>
      <c r="D2537" s="10">
        <v>76504</v>
      </c>
      <c r="E2537" s="10" t="s">
        <v>5</v>
      </c>
      <c r="F2537" s="10">
        <v>2632</v>
      </c>
    </row>
    <row r="2538" spans="1:6" x14ac:dyDescent="0.2">
      <c r="A2538" s="10" t="s">
        <v>652</v>
      </c>
      <c r="B2538" s="10" t="s">
        <v>686</v>
      </c>
      <c r="C2538" s="10" t="s">
        <v>47</v>
      </c>
      <c r="D2538" s="10">
        <v>78216</v>
      </c>
      <c r="E2538" s="10" t="s">
        <v>6</v>
      </c>
      <c r="F2538" s="10">
        <v>3383</v>
      </c>
    </row>
    <row r="2539" spans="1:6" x14ac:dyDescent="0.2">
      <c r="A2539" s="10" t="s">
        <v>652</v>
      </c>
      <c r="B2539" s="10" t="s">
        <v>686</v>
      </c>
      <c r="C2539" s="10" t="s">
        <v>47</v>
      </c>
      <c r="D2539" s="10">
        <v>78154</v>
      </c>
      <c r="E2539" s="10" t="s">
        <v>7</v>
      </c>
      <c r="F2539" s="10">
        <v>2533</v>
      </c>
    </row>
    <row r="2540" spans="1:6" x14ac:dyDescent="0.2">
      <c r="A2540" s="10" t="s">
        <v>652</v>
      </c>
      <c r="B2540" s="10" t="s">
        <v>686</v>
      </c>
      <c r="C2540" s="10" t="s">
        <v>47</v>
      </c>
      <c r="D2540" s="10">
        <v>78224</v>
      </c>
      <c r="E2540" s="10" t="s">
        <v>6</v>
      </c>
      <c r="F2540" s="10">
        <v>165</v>
      </c>
    </row>
    <row r="2541" spans="1:6" x14ac:dyDescent="0.2">
      <c r="A2541" s="10" t="s">
        <v>652</v>
      </c>
      <c r="B2541" s="10" t="s">
        <v>75</v>
      </c>
      <c r="C2541" s="10" t="s">
        <v>47</v>
      </c>
      <c r="D2541" s="10">
        <v>77701</v>
      </c>
      <c r="E2541" s="10" t="s">
        <v>6</v>
      </c>
      <c r="F2541" s="10">
        <v>2038</v>
      </c>
    </row>
    <row r="2542" spans="1:6" x14ac:dyDescent="0.2">
      <c r="A2542" s="10" t="s">
        <v>652</v>
      </c>
      <c r="B2542" s="10" t="s">
        <v>686</v>
      </c>
      <c r="C2542" s="10" t="s">
        <v>47</v>
      </c>
      <c r="D2542" s="10">
        <v>78201</v>
      </c>
      <c r="E2542" s="10" t="s">
        <v>6</v>
      </c>
      <c r="F2542" s="10">
        <v>1450</v>
      </c>
    </row>
    <row r="2543" spans="1:6" x14ac:dyDescent="0.2">
      <c r="A2543" s="10" t="s">
        <v>652</v>
      </c>
      <c r="B2543" s="10" t="s">
        <v>686</v>
      </c>
      <c r="C2543" s="10" t="s">
        <v>47</v>
      </c>
      <c r="D2543" s="10">
        <v>78230</v>
      </c>
      <c r="E2543" s="10" t="s">
        <v>6</v>
      </c>
      <c r="F2543" s="10">
        <v>2338</v>
      </c>
    </row>
    <row r="2544" spans="1:6" x14ac:dyDescent="0.2">
      <c r="A2544" s="10" t="s">
        <v>652</v>
      </c>
      <c r="B2544" s="10" t="s">
        <v>686</v>
      </c>
      <c r="C2544" s="10" t="s">
        <v>47</v>
      </c>
      <c r="D2544" s="10">
        <v>78232</v>
      </c>
      <c r="E2544" s="10" t="s">
        <v>7</v>
      </c>
      <c r="F2544" s="10">
        <v>1788</v>
      </c>
    </row>
    <row r="2545" spans="1:6" x14ac:dyDescent="0.2">
      <c r="A2545" s="10" t="s">
        <v>652</v>
      </c>
      <c r="B2545" s="10" t="s">
        <v>696</v>
      </c>
      <c r="C2545" s="10" t="s">
        <v>47</v>
      </c>
      <c r="D2545" s="10">
        <v>77904</v>
      </c>
      <c r="E2545" s="10" t="s">
        <v>6</v>
      </c>
      <c r="F2545" s="10">
        <v>3066</v>
      </c>
    </row>
    <row r="2546" spans="1:6" x14ac:dyDescent="0.2">
      <c r="A2546" s="10" t="s">
        <v>652</v>
      </c>
      <c r="B2546" s="10" t="s">
        <v>686</v>
      </c>
      <c r="C2546" s="10" t="s">
        <v>47</v>
      </c>
      <c r="D2546" s="10">
        <v>78238</v>
      </c>
      <c r="E2546" s="10" t="s">
        <v>6</v>
      </c>
      <c r="F2546" s="10">
        <v>2034</v>
      </c>
    </row>
    <row r="2547" spans="1:6" x14ac:dyDescent="0.2">
      <c r="A2547" s="10" t="s">
        <v>652</v>
      </c>
      <c r="B2547" s="10" t="s">
        <v>690</v>
      </c>
      <c r="C2547" s="10" t="s">
        <v>47</v>
      </c>
      <c r="D2547" s="10">
        <v>75703</v>
      </c>
      <c r="E2547" s="10" t="s">
        <v>7</v>
      </c>
      <c r="F2547" s="10">
        <v>3467</v>
      </c>
    </row>
    <row r="2548" spans="1:6" x14ac:dyDescent="0.2">
      <c r="A2548" s="10" t="s">
        <v>652</v>
      </c>
      <c r="B2548" s="10" t="s">
        <v>697</v>
      </c>
      <c r="C2548" s="10" t="s">
        <v>47</v>
      </c>
      <c r="D2548" s="10">
        <v>75090</v>
      </c>
      <c r="E2548" s="10" t="s">
        <v>6</v>
      </c>
      <c r="F2548" s="10">
        <v>3913</v>
      </c>
    </row>
    <row r="2549" spans="1:6" x14ac:dyDescent="0.2">
      <c r="A2549" s="10" t="s">
        <v>698</v>
      </c>
      <c r="B2549" s="10" t="s">
        <v>699</v>
      </c>
      <c r="C2549" s="10" t="s">
        <v>45</v>
      </c>
      <c r="D2549" s="10">
        <v>84106</v>
      </c>
      <c r="E2549" s="10" t="s">
        <v>7</v>
      </c>
      <c r="F2549" s="10">
        <v>564</v>
      </c>
    </row>
    <row r="2550" spans="1:6" x14ac:dyDescent="0.2">
      <c r="A2550" s="10" t="s">
        <v>698</v>
      </c>
      <c r="B2550" s="10" t="s">
        <v>699</v>
      </c>
      <c r="C2550" s="10" t="s">
        <v>45</v>
      </c>
      <c r="D2550" s="10">
        <v>84111</v>
      </c>
      <c r="E2550" s="10" t="s">
        <v>9</v>
      </c>
      <c r="F2550" s="10">
        <v>2311</v>
      </c>
    </row>
    <row r="2551" spans="1:6" x14ac:dyDescent="0.2">
      <c r="A2551" s="10" t="s">
        <v>698</v>
      </c>
      <c r="B2551" s="10" t="s">
        <v>155</v>
      </c>
      <c r="C2551" s="10" t="s">
        <v>45</v>
      </c>
      <c r="D2551" s="10">
        <v>84098</v>
      </c>
      <c r="E2551" s="10" t="s">
        <v>5</v>
      </c>
      <c r="F2551" s="10">
        <v>214</v>
      </c>
    </row>
    <row r="2552" spans="1:6" x14ac:dyDescent="0.2">
      <c r="A2552" s="10" t="s">
        <v>698</v>
      </c>
      <c r="B2552" s="10" t="s">
        <v>699</v>
      </c>
      <c r="C2552" s="10" t="s">
        <v>45</v>
      </c>
      <c r="D2552" s="10">
        <v>84102</v>
      </c>
      <c r="E2552" s="10" t="s">
        <v>7</v>
      </c>
      <c r="F2552" s="10">
        <v>1134</v>
      </c>
    </row>
    <row r="2553" spans="1:6" x14ac:dyDescent="0.2">
      <c r="A2553" s="10" t="s">
        <v>698</v>
      </c>
      <c r="B2553" s="10" t="s">
        <v>82</v>
      </c>
      <c r="C2553" s="10" t="s">
        <v>45</v>
      </c>
      <c r="D2553" s="10">
        <v>84790</v>
      </c>
      <c r="E2553" s="10" t="s">
        <v>5</v>
      </c>
      <c r="F2553" s="10">
        <v>1415</v>
      </c>
    </row>
    <row r="2554" spans="1:6" x14ac:dyDescent="0.2">
      <c r="A2554" s="10" t="s">
        <v>698</v>
      </c>
      <c r="B2554" s="10" t="s">
        <v>699</v>
      </c>
      <c r="C2554" s="10" t="s">
        <v>45</v>
      </c>
      <c r="D2554" s="10">
        <v>84115</v>
      </c>
      <c r="E2554" s="10" t="s">
        <v>6</v>
      </c>
      <c r="F2554" s="10">
        <v>889</v>
      </c>
    </row>
    <row r="2555" spans="1:6" x14ac:dyDescent="0.2">
      <c r="A2555" s="10" t="s">
        <v>698</v>
      </c>
      <c r="B2555" s="10" t="s">
        <v>699</v>
      </c>
      <c r="C2555" s="10" t="s">
        <v>45</v>
      </c>
      <c r="D2555" s="10">
        <v>84020</v>
      </c>
      <c r="E2555" s="10" t="s">
        <v>6</v>
      </c>
      <c r="F2555" s="10">
        <v>1209</v>
      </c>
    </row>
    <row r="2556" spans="1:6" x14ac:dyDescent="0.2">
      <c r="A2556" s="10" t="s">
        <v>698</v>
      </c>
      <c r="B2556" s="10" t="s">
        <v>699</v>
      </c>
      <c r="C2556" s="10" t="s">
        <v>45</v>
      </c>
      <c r="D2556" s="10">
        <v>84047</v>
      </c>
      <c r="E2556" s="10" t="s">
        <v>8</v>
      </c>
      <c r="F2556" s="10">
        <v>727</v>
      </c>
    </row>
    <row r="2557" spans="1:6" x14ac:dyDescent="0.2">
      <c r="A2557" s="10" t="s">
        <v>698</v>
      </c>
      <c r="B2557" s="10" t="s">
        <v>699</v>
      </c>
      <c r="C2557" s="10" t="s">
        <v>45</v>
      </c>
      <c r="D2557" s="10">
        <v>84047</v>
      </c>
      <c r="E2557" s="10" t="s">
        <v>7</v>
      </c>
      <c r="F2557" s="10">
        <v>575</v>
      </c>
    </row>
    <row r="2558" spans="1:6" x14ac:dyDescent="0.2">
      <c r="A2558" s="10" t="s">
        <v>698</v>
      </c>
      <c r="B2558" s="10" t="s">
        <v>699</v>
      </c>
      <c r="C2558" s="10" t="s">
        <v>45</v>
      </c>
      <c r="D2558" s="10">
        <v>84095</v>
      </c>
      <c r="E2558" s="10" t="s">
        <v>7</v>
      </c>
      <c r="F2558" s="10">
        <v>1095</v>
      </c>
    </row>
    <row r="2559" spans="1:6" x14ac:dyDescent="0.2">
      <c r="A2559" s="10" t="s">
        <v>698</v>
      </c>
      <c r="B2559" s="10" t="s">
        <v>700</v>
      </c>
      <c r="C2559" s="10" t="s">
        <v>46</v>
      </c>
      <c r="D2559" s="10">
        <v>84341</v>
      </c>
      <c r="E2559" s="10" t="s">
        <v>5</v>
      </c>
      <c r="F2559" s="10">
        <v>1112</v>
      </c>
    </row>
    <row r="2560" spans="1:6" x14ac:dyDescent="0.2">
      <c r="A2560" s="10" t="s">
        <v>698</v>
      </c>
      <c r="B2560" s="10" t="s">
        <v>701</v>
      </c>
      <c r="C2560" s="10" t="s">
        <v>46</v>
      </c>
      <c r="D2560" s="10">
        <v>84601</v>
      </c>
      <c r="E2560" s="10" t="s">
        <v>5</v>
      </c>
      <c r="F2560" s="10">
        <v>1070</v>
      </c>
    </row>
    <row r="2561" spans="1:6" x14ac:dyDescent="0.2">
      <c r="A2561" s="10" t="s">
        <v>698</v>
      </c>
      <c r="B2561" s="10" t="s">
        <v>701</v>
      </c>
      <c r="C2561" s="10" t="s">
        <v>46</v>
      </c>
      <c r="D2561" s="10">
        <v>84058</v>
      </c>
      <c r="E2561" s="10" t="s">
        <v>5</v>
      </c>
      <c r="F2561" s="10">
        <v>1472</v>
      </c>
    </row>
    <row r="2562" spans="1:6" x14ac:dyDescent="0.2">
      <c r="A2562" s="10" t="s">
        <v>698</v>
      </c>
      <c r="B2562" s="10" t="s">
        <v>701</v>
      </c>
      <c r="C2562" s="10" t="s">
        <v>46</v>
      </c>
      <c r="D2562" s="10">
        <v>84058</v>
      </c>
      <c r="E2562" s="10" t="s">
        <v>6</v>
      </c>
      <c r="F2562" s="10">
        <v>2216</v>
      </c>
    </row>
    <row r="2563" spans="1:6" x14ac:dyDescent="0.2">
      <c r="A2563" s="10" t="s">
        <v>698</v>
      </c>
      <c r="B2563" s="10" t="s">
        <v>701</v>
      </c>
      <c r="C2563" s="10" t="s">
        <v>46</v>
      </c>
      <c r="D2563" s="10">
        <v>84003</v>
      </c>
      <c r="E2563" s="10" t="s">
        <v>6</v>
      </c>
      <c r="F2563" s="10">
        <v>1041</v>
      </c>
    </row>
    <row r="2564" spans="1:6" x14ac:dyDescent="0.2">
      <c r="A2564" s="10" t="s">
        <v>698</v>
      </c>
      <c r="B2564" s="10" t="s">
        <v>702</v>
      </c>
      <c r="C2564" s="10" t="s">
        <v>46</v>
      </c>
      <c r="D2564" s="10">
        <v>84404</v>
      </c>
      <c r="E2564" s="10" t="s">
        <v>7</v>
      </c>
      <c r="F2564" s="10">
        <v>822</v>
      </c>
    </row>
    <row r="2565" spans="1:6" x14ac:dyDescent="0.2">
      <c r="A2565" s="10" t="s">
        <v>698</v>
      </c>
      <c r="B2565" s="10" t="s">
        <v>702</v>
      </c>
      <c r="C2565" s="10" t="s">
        <v>46</v>
      </c>
      <c r="D2565" s="10">
        <v>84405</v>
      </c>
      <c r="E2565" s="10" t="s">
        <v>5</v>
      </c>
      <c r="F2565" s="10">
        <v>860</v>
      </c>
    </row>
    <row r="2566" spans="1:6" x14ac:dyDescent="0.2">
      <c r="A2566" s="10" t="s">
        <v>698</v>
      </c>
      <c r="B2566" s="10" t="s">
        <v>703</v>
      </c>
      <c r="C2566" s="10" t="s">
        <v>47</v>
      </c>
      <c r="D2566" s="10">
        <v>84041</v>
      </c>
      <c r="E2566" s="10" t="s">
        <v>5</v>
      </c>
      <c r="F2566" s="10">
        <v>1428</v>
      </c>
    </row>
    <row r="2567" spans="1:6" x14ac:dyDescent="0.2">
      <c r="A2567" s="10" t="s">
        <v>698</v>
      </c>
      <c r="B2567" s="10" t="s">
        <v>703</v>
      </c>
      <c r="C2567" s="10" t="s">
        <v>47</v>
      </c>
      <c r="D2567" s="10">
        <v>84010</v>
      </c>
      <c r="E2567" s="10" t="s">
        <v>6</v>
      </c>
      <c r="F2567" s="10">
        <v>1424</v>
      </c>
    </row>
    <row r="2568" spans="1:6" x14ac:dyDescent="0.2">
      <c r="A2568" s="10" t="s">
        <v>698</v>
      </c>
      <c r="B2568" s="10" t="s">
        <v>703</v>
      </c>
      <c r="C2568" s="10" t="s">
        <v>47</v>
      </c>
      <c r="D2568" s="10">
        <v>84041</v>
      </c>
      <c r="E2568" s="10" t="s">
        <v>7</v>
      </c>
      <c r="F2568" s="10">
        <v>16523</v>
      </c>
    </row>
    <row r="2569" spans="1:6" x14ac:dyDescent="0.2">
      <c r="A2569" s="10" t="s">
        <v>704</v>
      </c>
      <c r="B2569" s="10" t="s">
        <v>705</v>
      </c>
      <c r="C2569" s="10" t="s">
        <v>45</v>
      </c>
      <c r="D2569" s="10">
        <v>22031</v>
      </c>
      <c r="E2569" s="10" t="s">
        <v>10</v>
      </c>
      <c r="F2569" s="10">
        <v>659</v>
      </c>
    </row>
    <row r="2570" spans="1:6" x14ac:dyDescent="0.2">
      <c r="A2570" s="10" t="s">
        <v>704</v>
      </c>
      <c r="B2570" s="10" t="s">
        <v>706</v>
      </c>
      <c r="C2570" s="10" t="s">
        <v>45</v>
      </c>
      <c r="D2570" s="10">
        <v>22556</v>
      </c>
      <c r="E2570" s="10" t="s">
        <v>5</v>
      </c>
      <c r="F2570" s="10">
        <v>1798</v>
      </c>
    </row>
    <row r="2571" spans="1:6" x14ac:dyDescent="0.2">
      <c r="A2571" s="10" t="s">
        <v>704</v>
      </c>
      <c r="B2571" s="10" t="s">
        <v>707</v>
      </c>
      <c r="C2571" s="10" t="s">
        <v>45</v>
      </c>
      <c r="D2571" s="10">
        <v>23435</v>
      </c>
      <c r="E2571" s="10" t="s">
        <v>7</v>
      </c>
      <c r="F2571" s="10">
        <v>2540</v>
      </c>
    </row>
    <row r="2572" spans="1:6" x14ac:dyDescent="0.2">
      <c r="A2572" s="10" t="s">
        <v>704</v>
      </c>
      <c r="B2572" s="10" t="s">
        <v>708</v>
      </c>
      <c r="C2572" s="10" t="s">
        <v>45</v>
      </c>
      <c r="D2572" s="10">
        <v>23502</v>
      </c>
      <c r="E2572" s="10" t="s">
        <v>7</v>
      </c>
      <c r="F2572" s="10">
        <v>900</v>
      </c>
    </row>
    <row r="2573" spans="1:6" x14ac:dyDescent="0.2">
      <c r="A2573" s="10" t="s">
        <v>704</v>
      </c>
      <c r="B2573" s="10" t="s">
        <v>709</v>
      </c>
      <c r="C2573" s="10" t="s">
        <v>45</v>
      </c>
      <c r="D2573" s="10">
        <v>24401</v>
      </c>
      <c r="E2573" s="10" t="s">
        <v>5</v>
      </c>
      <c r="F2573" s="10">
        <v>991</v>
      </c>
    </row>
    <row r="2574" spans="1:6" x14ac:dyDescent="0.2">
      <c r="A2574" s="10" t="s">
        <v>704</v>
      </c>
      <c r="B2574" s="10" t="s">
        <v>705</v>
      </c>
      <c r="C2574" s="10" t="s">
        <v>45</v>
      </c>
      <c r="D2574" s="10">
        <v>22031</v>
      </c>
      <c r="E2574" s="10" t="s">
        <v>5</v>
      </c>
      <c r="F2574" s="10">
        <v>1157</v>
      </c>
    </row>
    <row r="2575" spans="1:6" x14ac:dyDescent="0.2">
      <c r="A2575" s="10" t="s">
        <v>704</v>
      </c>
      <c r="B2575" s="10" t="s">
        <v>710</v>
      </c>
      <c r="C2575" s="10" t="s">
        <v>45</v>
      </c>
      <c r="D2575" s="10">
        <v>23233</v>
      </c>
      <c r="E2575" s="10" t="s">
        <v>5</v>
      </c>
      <c r="F2575" s="10">
        <v>1020</v>
      </c>
    </row>
    <row r="2576" spans="1:6" x14ac:dyDescent="0.2">
      <c r="A2576" s="10" t="s">
        <v>704</v>
      </c>
      <c r="B2576" s="10" t="s">
        <v>710</v>
      </c>
      <c r="C2576" s="10" t="s">
        <v>45</v>
      </c>
      <c r="D2576" s="10">
        <v>23060</v>
      </c>
      <c r="E2576" s="10" t="s">
        <v>8</v>
      </c>
      <c r="F2576" s="10">
        <v>1534</v>
      </c>
    </row>
    <row r="2577" spans="1:6" x14ac:dyDescent="0.2">
      <c r="A2577" s="10" t="s">
        <v>704</v>
      </c>
      <c r="B2577" s="10" t="s">
        <v>710</v>
      </c>
      <c r="C2577" s="10" t="s">
        <v>45</v>
      </c>
      <c r="D2577" s="10">
        <v>23060</v>
      </c>
      <c r="E2577" s="10" t="s">
        <v>7</v>
      </c>
      <c r="F2577" s="10">
        <v>1666</v>
      </c>
    </row>
    <row r="2578" spans="1:6" x14ac:dyDescent="0.2">
      <c r="A2578" s="10" t="s">
        <v>704</v>
      </c>
      <c r="B2578" s="10" t="s">
        <v>710</v>
      </c>
      <c r="C2578" s="10" t="s">
        <v>45</v>
      </c>
      <c r="D2578" s="10">
        <v>23231</v>
      </c>
      <c r="E2578" s="10" t="s">
        <v>7</v>
      </c>
      <c r="F2578" s="10">
        <v>1215</v>
      </c>
    </row>
    <row r="2579" spans="1:6" x14ac:dyDescent="0.2">
      <c r="A2579" s="10" t="s">
        <v>704</v>
      </c>
      <c r="B2579" s="10" t="s">
        <v>711</v>
      </c>
      <c r="C2579" s="10" t="s">
        <v>45</v>
      </c>
      <c r="D2579" s="10">
        <v>24112</v>
      </c>
      <c r="E2579" s="10" t="s">
        <v>7</v>
      </c>
      <c r="F2579" s="10">
        <v>12616</v>
      </c>
    </row>
    <row r="2580" spans="1:6" x14ac:dyDescent="0.2">
      <c r="A2580" s="10" t="s">
        <v>704</v>
      </c>
      <c r="B2580" s="10" t="s">
        <v>712</v>
      </c>
      <c r="C2580" s="10" t="s">
        <v>45</v>
      </c>
      <c r="D2580" s="10">
        <v>20164</v>
      </c>
      <c r="E2580" s="10" t="s">
        <v>6</v>
      </c>
      <c r="F2580" s="10">
        <v>687</v>
      </c>
    </row>
    <row r="2581" spans="1:6" x14ac:dyDescent="0.2">
      <c r="A2581" s="10" t="s">
        <v>704</v>
      </c>
      <c r="B2581" s="10" t="s">
        <v>710</v>
      </c>
      <c r="C2581" s="10" t="s">
        <v>45</v>
      </c>
      <c r="D2581" s="10">
        <v>23230</v>
      </c>
      <c r="E2581" s="10" t="s">
        <v>5</v>
      </c>
      <c r="F2581" s="10">
        <v>1317</v>
      </c>
    </row>
    <row r="2582" spans="1:6" x14ac:dyDescent="0.2">
      <c r="A2582" s="10" t="s">
        <v>704</v>
      </c>
      <c r="B2582" s="10" t="s">
        <v>710</v>
      </c>
      <c r="C2582" s="10" t="s">
        <v>45</v>
      </c>
      <c r="D2582" s="10">
        <v>23059</v>
      </c>
      <c r="E2582" s="10" t="s">
        <v>7</v>
      </c>
      <c r="F2582" s="10">
        <v>1084</v>
      </c>
    </row>
    <row r="2583" spans="1:6" x14ac:dyDescent="0.2">
      <c r="A2583" s="10" t="s">
        <v>704</v>
      </c>
      <c r="B2583" s="10" t="s">
        <v>713</v>
      </c>
      <c r="C2583" s="10" t="s">
        <v>45</v>
      </c>
      <c r="D2583" s="10">
        <v>22314</v>
      </c>
      <c r="E2583" s="10" t="s">
        <v>9</v>
      </c>
      <c r="F2583" s="10">
        <v>234</v>
      </c>
    </row>
    <row r="2584" spans="1:6" x14ac:dyDescent="0.2">
      <c r="A2584" s="10" t="s">
        <v>704</v>
      </c>
      <c r="B2584" s="10" t="s">
        <v>713</v>
      </c>
      <c r="C2584" s="10" t="s">
        <v>45</v>
      </c>
      <c r="D2584" s="10">
        <v>22305</v>
      </c>
      <c r="E2584" s="10" t="s">
        <v>5</v>
      </c>
      <c r="F2584" s="10">
        <v>995</v>
      </c>
    </row>
    <row r="2585" spans="1:6" x14ac:dyDescent="0.2">
      <c r="A2585" s="10" t="s">
        <v>704</v>
      </c>
      <c r="B2585" s="10" t="s">
        <v>714</v>
      </c>
      <c r="C2585" s="10" t="s">
        <v>45</v>
      </c>
      <c r="D2585" s="10">
        <v>20110</v>
      </c>
      <c r="E2585" s="10" t="s">
        <v>5</v>
      </c>
      <c r="F2585" s="10">
        <v>1032</v>
      </c>
    </row>
    <row r="2586" spans="1:6" x14ac:dyDescent="0.2">
      <c r="A2586" s="10" t="s">
        <v>704</v>
      </c>
      <c r="B2586" s="10" t="s">
        <v>712</v>
      </c>
      <c r="C2586" s="10" t="s">
        <v>45</v>
      </c>
      <c r="D2586" s="10">
        <v>20176</v>
      </c>
      <c r="E2586" s="10" t="s">
        <v>8</v>
      </c>
      <c r="F2586" s="10">
        <v>699</v>
      </c>
    </row>
    <row r="2587" spans="1:6" x14ac:dyDescent="0.2">
      <c r="A2587" s="10" t="s">
        <v>704</v>
      </c>
      <c r="B2587" s="10" t="s">
        <v>715</v>
      </c>
      <c r="C2587" s="10" t="s">
        <v>45</v>
      </c>
      <c r="D2587" s="10">
        <v>23602</v>
      </c>
      <c r="E2587" s="10" t="s">
        <v>7</v>
      </c>
      <c r="F2587" s="10">
        <v>1863</v>
      </c>
    </row>
    <row r="2588" spans="1:6" x14ac:dyDescent="0.2">
      <c r="A2588" s="10" t="s">
        <v>704</v>
      </c>
      <c r="B2588" s="10" t="s">
        <v>716</v>
      </c>
      <c r="C2588" s="10" t="s">
        <v>45</v>
      </c>
      <c r="D2588" s="10">
        <v>22046</v>
      </c>
      <c r="E2588" s="10" t="s">
        <v>5</v>
      </c>
      <c r="F2588" s="10">
        <v>142</v>
      </c>
    </row>
    <row r="2589" spans="1:6" x14ac:dyDescent="0.2">
      <c r="A2589" s="10" t="s">
        <v>704</v>
      </c>
      <c r="B2589" s="10" t="s">
        <v>717</v>
      </c>
      <c r="C2589" s="10" t="s">
        <v>45</v>
      </c>
      <c r="D2589" s="10">
        <v>24202</v>
      </c>
      <c r="E2589" s="10" t="s">
        <v>6</v>
      </c>
      <c r="F2589" s="10">
        <v>2050</v>
      </c>
    </row>
    <row r="2590" spans="1:6" x14ac:dyDescent="0.2">
      <c r="A2590" s="10" t="s">
        <v>704</v>
      </c>
      <c r="B2590" s="10" t="s">
        <v>712</v>
      </c>
      <c r="C2590" s="10" t="s">
        <v>45</v>
      </c>
      <c r="D2590" s="10">
        <v>20176</v>
      </c>
      <c r="E2590" s="10" t="s">
        <v>6</v>
      </c>
      <c r="F2590" s="10">
        <v>1379</v>
      </c>
    </row>
    <row r="2591" spans="1:6" x14ac:dyDescent="0.2">
      <c r="A2591" s="10" t="s">
        <v>704</v>
      </c>
      <c r="B2591" s="10" t="s">
        <v>712</v>
      </c>
      <c r="C2591" s="10" t="s">
        <v>45</v>
      </c>
      <c r="D2591" s="10">
        <v>20176</v>
      </c>
      <c r="E2591" s="10" t="s">
        <v>5</v>
      </c>
      <c r="F2591" s="10">
        <v>997</v>
      </c>
    </row>
    <row r="2592" spans="1:6" x14ac:dyDescent="0.2">
      <c r="A2592" s="10" t="s">
        <v>704</v>
      </c>
      <c r="B2592" s="10" t="s">
        <v>718</v>
      </c>
      <c r="C2592" s="10" t="s">
        <v>45</v>
      </c>
      <c r="D2592" s="10">
        <v>20186</v>
      </c>
      <c r="E2592" s="10" t="s">
        <v>5</v>
      </c>
      <c r="F2592" s="10">
        <v>1519</v>
      </c>
    </row>
    <row r="2593" spans="1:6" x14ac:dyDescent="0.2">
      <c r="A2593" s="10" t="s">
        <v>704</v>
      </c>
      <c r="B2593" s="10" t="s">
        <v>708</v>
      </c>
      <c r="C2593" s="10" t="s">
        <v>45</v>
      </c>
      <c r="D2593" s="10">
        <v>23510</v>
      </c>
      <c r="E2593" s="10" t="s">
        <v>9</v>
      </c>
      <c r="F2593" s="10">
        <v>2008</v>
      </c>
    </row>
    <row r="2594" spans="1:6" x14ac:dyDescent="0.2">
      <c r="A2594" s="10" t="s">
        <v>704</v>
      </c>
      <c r="B2594" s="10" t="s">
        <v>710</v>
      </c>
      <c r="C2594" s="10" t="s">
        <v>45</v>
      </c>
      <c r="D2594" s="10">
        <v>23230</v>
      </c>
      <c r="E2594" s="10" t="s">
        <v>7</v>
      </c>
      <c r="F2594" s="10">
        <v>1097</v>
      </c>
    </row>
    <row r="2595" spans="1:6" x14ac:dyDescent="0.2">
      <c r="A2595" s="10" t="s">
        <v>704</v>
      </c>
      <c r="B2595" s="10" t="s">
        <v>713</v>
      </c>
      <c r="C2595" s="10" t="s">
        <v>45</v>
      </c>
      <c r="D2595" s="10">
        <v>22314</v>
      </c>
      <c r="E2595" s="10" t="s">
        <v>10</v>
      </c>
      <c r="F2595" s="10">
        <v>410</v>
      </c>
    </row>
    <row r="2596" spans="1:6" x14ac:dyDescent="0.2">
      <c r="A2596" s="10" t="s">
        <v>704</v>
      </c>
      <c r="B2596" s="10" t="s">
        <v>719</v>
      </c>
      <c r="C2596" s="10" t="s">
        <v>46</v>
      </c>
      <c r="D2596" s="10">
        <v>23188</v>
      </c>
      <c r="E2596" s="10" t="s">
        <v>6</v>
      </c>
      <c r="F2596" s="10">
        <v>951</v>
      </c>
    </row>
    <row r="2597" spans="1:6" x14ac:dyDescent="0.2">
      <c r="A2597" s="10" t="s">
        <v>704</v>
      </c>
      <c r="B2597" s="10" t="s">
        <v>720</v>
      </c>
      <c r="C2597" s="10" t="s">
        <v>46</v>
      </c>
      <c r="D2597" s="10">
        <v>22303</v>
      </c>
      <c r="E2597" s="10" t="s">
        <v>6</v>
      </c>
      <c r="F2597" s="10">
        <v>1072</v>
      </c>
    </row>
    <row r="2598" spans="1:6" x14ac:dyDescent="0.2">
      <c r="A2598" s="10" t="s">
        <v>704</v>
      </c>
      <c r="B2598" s="10" t="s">
        <v>720</v>
      </c>
      <c r="C2598" s="10" t="s">
        <v>46</v>
      </c>
      <c r="D2598" s="10">
        <v>20151</v>
      </c>
      <c r="E2598" s="10" t="s">
        <v>6</v>
      </c>
      <c r="F2598" s="10">
        <v>879</v>
      </c>
    </row>
    <row r="2599" spans="1:6" x14ac:dyDescent="0.2">
      <c r="A2599" s="10" t="s">
        <v>704</v>
      </c>
      <c r="B2599" s="10" t="s">
        <v>720</v>
      </c>
      <c r="C2599" s="10" t="s">
        <v>46</v>
      </c>
      <c r="D2599" s="10">
        <v>22015</v>
      </c>
      <c r="E2599" s="10" t="s">
        <v>5</v>
      </c>
      <c r="F2599" s="10">
        <v>3229</v>
      </c>
    </row>
    <row r="2600" spans="1:6" x14ac:dyDescent="0.2">
      <c r="A2600" s="10" t="s">
        <v>704</v>
      </c>
      <c r="B2600" s="10" t="s">
        <v>721</v>
      </c>
      <c r="C2600" s="10" t="s">
        <v>46</v>
      </c>
      <c r="D2600" s="10">
        <v>23834</v>
      </c>
      <c r="E2600" s="10" t="s">
        <v>5</v>
      </c>
      <c r="F2600" s="10">
        <v>1235</v>
      </c>
    </row>
    <row r="2601" spans="1:6" x14ac:dyDescent="0.2">
      <c r="A2601" s="10" t="s">
        <v>704</v>
      </c>
      <c r="B2601" s="10" t="s">
        <v>722</v>
      </c>
      <c r="C2601" s="10" t="s">
        <v>46</v>
      </c>
      <c r="D2601" s="10">
        <v>22901</v>
      </c>
      <c r="E2601" s="10" t="s">
        <v>5</v>
      </c>
      <c r="F2601" s="10">
        <v>1220</v>
      </c>
    </row>
    <row r="2602" spans="1:6" x14ac:dyDescent="0.2">
      <c r="A2602" s="10" t="s">
        <v>704</v>
      </c>
      <c r="B2602" s="10" t="s">
        <v>720</v>
      </c>
      <c r="C2602" s="10" t="s">
        <v>46</v>
      </c>
      <c r="D2602" s="10">
        <v>22031</v>
      </c>
      <c r="E2602" s="10" t="s">
        <v>10</v>
      </c>
      <c r="F2602" s="10">
        <v>659</v>
      </c>
    </row>
    <row r="2603" spans="1:6" x14ac:dyDescent="0.2">
      <c r="A2603" s="10" t="s">
        <v>704</v>
      </c>
      <c r="B2603" s="10" t="s">
        <v>74</v>
      </c>
      <c r="C2603" s="10" t="s">
        <v>46</v>
      </c>
      <c r="D2603" s="10">
        <v>24073</v>
      </c>
      <c r="E2603" s="10" t="s">
        <v>8</v>
      </c>
      <c r="F2603" s="10">
        <v>1535</v>
      </c>
    </row>
    <row r="2604" spans="1:6" x14ac:dyDescent="0.2">
      <c r="A2604" s="10" t="s">
        <v>704</v>
      </c>
      <c r="B2604" s="10" t="s">
        <v>723</v>
      </c>
      <c r="C2604" s="10" t="s">
        <v>46</v>
      </c>
      <c r="D2604" s="10">
        <v>22203</v>
      </c>
      <c r="E2604" s="10" t="s">
        <v>5</v>
      </c>
      <c r="F2604" s="10">
        <v>54525</v>
      </c>
    </row>
    <row r="2605" spans="1:6" x14ac:dyDescent="0.2">
      <c r="A2605" s="10" t="s">
        <v>704</v>
      </c>
      <c r="B2605" s="10" t="s">
        <v>724</v>
      </c>
      <c r="C2605" s="10" t="s">
        <v>46</v>
      </c>
      <c r="D2605" s="10">
        <v>23221</v>
      </c>
      <c r="E2605" s="10" t="s">
        <v>10</v>
      </c>
      <c r="F2605" s="10">
        <v>549</v>
      </c>
    </row>
    <row r="2606" spans="1:6" x14ac:dyDescent="0.2">
      <c r="A2606" s="10" t="s">
        <v>704</v>
      </c>
      <c r="B2606" s="10" t="s">
        <v>720</v>
      </c>
      <c r="C2606" s="10" t="s">
        <v>46</v>
      </c>
      <c r="D2606" s="10">
        <v>22150</v>
      </c>
      <c r="E2606" s="10" t="s">
        <v>5</v>
      </c>
      <c r="F2606" s="10">
        <v>875</v>
      </c>
    </row>
    <row r="2607" spans="1:6" x14ac:dyDescent="0.2">
      <c r="A2607" s="10" t="s">
        <v>704</v>
      </c>
      <c r="B2607" s="10" t="s">
        <v>725</v>
      </c>
      <c r="C2607" s="10" t="s">
        <v>46</v>
      </c>
      <c r="D2607" s="10">
        <v>24502</v>
      </c>
      <c r="E2607" s="10" t="s">
        <v>7</v>
      </c>
      <c r="F2607" s="10">
        <v>667</v>
      </c>
    </row>
    <row r="2608" spans="1:6" x14ac:dyDescent="0.2">
      <c r="A2608" s="10" t="s">
        <v>704</v>
      </c>
      <c r="B2608" s="10" t="s">
        <v>726</v>
      </c>
      <c r="C2608" s="10" t="s">
        <v>46</v>
      </c>
      <c r="D2608" s="10">
        <v>23112</v>
      </c>
      <c r="E2608" s="10" t="s">
        <v>7</v>
      </c>
      <c r="F2608" s="10">
        <v>2504</v>
      </c>
    </row>
    <row r="2609" spans="1:6" x14ac:dyDescent="0.2">
      <c r="A2609" s="10" t="s">
        <v>704</v>
      </c>
      <c r="B2609" s="10" t="s">
        <v>726</v>
      </c>
      <c r="C2609" s="10" t="s">
        <v>46</v>
      </c>
      <c r="D2609" s="10">
        <v>23113</v>
      </c>
      <c r="E2609" s="10" t="s">
        <v>7</v>
      </c>
      <c r="F2609" s="10">
        <v>2355</v>
      </c>
    </row>
    <row r="2610" spans="1:6" x14ac:dyDescent="0.2">
      <c r="A2610" s="10" t="s">
        <v>704</v>
      </c>
      <c r="B2610" s="10" t="s">
        <v>726</v>
      </c>
      <c r="C2610" s="10" t="s">
        <v>46</v>
      </c>
      <c r="D2610" s="10">
        <v>23236</v>
      </c>
      <c r="E2610" s="10" t="s">
        <v>8</v>
      </c>
      <c r="F2610" s="10">
        <v>243</v>
      </c>
    </row>
    <row r="2611" spans="1:6" x14ac:dyDescent="0.2">
      <c r="A2611" s="10" t="s">
        <v>704</v>
      </c>
      <c r="B2611" s="10" t="s">
        <v>724</v>
      </c>
      <c r="C2611" s="10" t="s">
        <v>46</v>
      </c>
      <c r="D2611" s="10">
        <v>23235</v>
      </c>
      <c r="E2611" s="10" t="s">
        <v>5</v>
      </c>
      <c r="F2611" s="10">
        <v>751</v>
      </c>
    </row>
    <row r="2612" spans="1:6" x14ac:dyDescent="0.2">
      <c r="A2612" s="10" t="s">
        <v>704</v>
      </c>
      <c r="B2612" s="10" t="s">
        <v>726</v>
      </c>
      <c r="C2612" s="10" t="s">
        <v>46</v>
      </c>
      <c r="D2612" s="10">
        <v>23235</v>
      </c>
      <c r="E2612" s="10" t="s">
        <v>9</v>
      </c>
      <c r="F2612" s="10">
        <v>148</v>
      </c>
    </row>
    <row r="2613" spans="1:6" x14ac:dyDescent="0.2">
      <c r="A2613" s="10" t="s">
        <v>704</v>
      </c>
      <c r="B2613" s="10" t="s">
        <v>727</v>
      </c>
      <c r="C2613" s="10" t="s">
        <v>46</v>
      </c>
      <c r="D2613" s="10">
        <v>23111</v>
      </c>
      <c r="E2613" s="10" t="s">
        <v>7</v>
      </c>
      <c r="F2613" s="10">
        <v>2248</v>
      </c>
    </row>
    <row r="2614" spans="1:6" x14ac:dyDescent="0.2">
      <c r="A2614" s="10" t="s">
        <v>704</v>
      </c>
      <c r="B2614" s="10" t="s">
        <v>728</v>
      </c>
      <c r="C2614" s="10" t="s">
        <v>46</v>
      </c>
      <c r="D2614" s="10">
        <v>24540</v>
      </c>
      <c r="E2614" s="10" t="s">
        <v>7</v>
      </c>
      <c r="F2614" s="10">
        <v>1479</v>
      </c>
    </row>
    <row r="2615" spans="1:6" x14ac:dyDescent="0.2">
      <c r="A2615" s="10" t="s">
        <v>704</v>
      </c>
      <c r="B2615" s="10" t="s">
        <v>729</v>
      </c>
      <c r="C2615" s="10" t="s">
        <v>46</v>
      </c>
      <c r="D2615" s="10">
        <v>24012</v>
      </c>
      <c r="E2615" s="10" t="s">
        <v>7</v>
      </c>
      <c r="F2615" s="10">
        <v>1262</v>
      </c>
    </row>
    <row r="2616" spans="1:6" x14ac:dyDescent="0.2">
      <c r="A2616" s="10" t="s">
        <v>704</v>
      </c>
      <c r="B2616" s="10" t="s">
        <v>720</v>
      </c>
      <c r="C2616" s="10" t="s">
        <v>46</v>
      </c>
      <c r="D2616" s="10">
        <v>22042</v>
      </c>
      <c r="E2616" s="10" t="s">
        <v>6</v>
      </c>
      <c r="F2616" s="10">
        <v>1113</v>
      </c>
    </row>
    <row r="2617" spans="1:6" x14ac:dyDescent="0.2">
      <c r="A2617" s="10" t="s">
        <v>704</v>
      </c>
      <c r="B2617" s="10" t="s">
        <v>720</v>
      </c>
      <c r="C2617" s="10" t="s">
        <v>46</v>
      </c>
      <c r="D2617" s="10">
        <v>22041</v>
      </c>
      <c r="E2617" s="10" t="s">
        <v>6</v>
      </c>
      <c r="F2617" s="10">
        <v>1461</v>
      </c>
    </row>
    <row r="2618" spans="1:6" x14ac:dyDescent="0.2">
      <c r="A2618" s="10" t="s">
        <v>704</v>
      </c>
      <c r="B2618" s="10" t="s">
        <v>720</v>
      </c>
      <c r="C2618" s="10" t="s">
        <v>46</v>
      </c>
      <c r="D2618" s="10">
        <v>22031</v>
      </c>
      <c r="E2618" s="10" t="s">
        <v>5</v>
      </c>
      <c r="F2618" s="10">
        <v>1157</v>
      </c>
    </row>
    <row r="2619" spans="1:6" x14ac:dyDescent="0.2">
      <c r="A2619" s="10" t="s">
        <v>704</v>
      </c>
      <c r="B2619" s="10" t="s">
        <v>724</v>
      </c>
      <c r="C2619" s="10" t="s">
        <v>46</v>
      </c>
      <c r="D2619" s="10">
        <v>23235</v>
      </c>
      <c r="E2619" s="10" t="s">
        <v>9</v>
      </c>
      <c r="F2619" s="10">
        <v>148</v>
      </c>
    </row>
    <row r="2620" spans="1:6" x14ac:dyDescent="0.2">
      <c r="A2620" s="10" t="s">
        <v>704</v>
      </c>
      <c r="B2620" s="10" t="s">
        <v>720</v>
      </c>
      <c r="C2620" s="10" t="s">
        <v>46</v>
      </c>
      <c r="D2620" s="10">
        <v>20190</v>
      </c>
      <c r="E2620" s="10" t="s">
        <v>10</v>
      </c>
      <c r="F2620" s="10">
        <v>1050</v>
      </c>
    </row>
    <row r="2621" spans="1:6" x14ac:dyDescent="0.2">
      <c r="A2621" s="10" t="s">
        <v>704</v>
      </c>
      <c r="B2621" s="10" t="s">
        <v>729</v>
      </c>
      <c r="C2621" s="10" t="s">
        <v>46</v>
      </c>
      <c r="D2621" s="10">
        <v>24018</v>
      </c>
      <c r="E2621" s="10" t="s">
        <v>8</v>
      </c>
      <c r="F2621" s="10">
        <v>619</v>
      </c>
    </row>
    <row r="2622" spans="1:6" x14ac:dyDescent="0.2">
      <c r="A2622" s="10" t="s">
        <v>704</v>
      </c>
      <c r="B2622" s="10" t="s">
        <v>725</v>
      </c>
      <c r="C2622" s="10" t="s">
        <v>46</v>
      </c>
      <c r="D2622" s="10">
        <v>24502</v>
      </c>
      <c r="E2622" s="10" t="s">
        <v>5</v>
      </c>
      <c r="F2622" s="10">
        <v>373</v>
      </c>
    </row>
    <row r="2623" spans="1:6" x14ac:dyDescent="0.2">
      <c r="A2623" s="10" t="s">
        <v>704</v>
      </c>
      <c r="B2623" s="10" t="s">
        <v>729</v>
      </c>
      <c r="C2623" s="10" t="s">
        <v>46</v>
      </c>
      <c r="D2623" s="10">
        <v>24012</v>
      </c>
      <c r="E2623" s="10" t="s">
        <v>5</v>
      </c>
      <c r="F2623" s="10">
        <v>1750</v>
      </c>
    </row>
    <row r="2624" spans="1:6" x14ac:dyDescent="0.2">
      <c r="A2624" s="10" t="s">
        <v>704</v>
      </c>
      <c r="B2624" s="10" t="s">
        <v>724</v>
      </c>
      <c r="C2624" s="10" t="s">
        <v>46</v>
      </c>
      <c r="D2624" s="10">
        <v>23225</v>
      </c>
      <c r="E2624" s="10" t="s">
        <v>6</v>
      </c>
      <c r="F2624" s="10">
        <v>1581</v>
      </c>
    </row>
    <row r="2625" spans="1:6" x14ac:dyDescent="0.2">
      <c r="A2625" s="10" t="s">
        <v>704</v>
      </c>
      <c r="B2625" s="10" t="s">
        <v>726</v>
      </c>
      <c r="C2625" s="10" t="s">
        <v>46</v>
      </c>
      <c r="D2625" s="10">
        <v>23831</v>
      </c>
      <c r="E2625" s="10" t="s">
        <v>6</v>
      </c>
      <c r="F2625" s="10">
        <v>595</v>
      </c>
    </row>
    <row r="2626" spans="1:6" x14ac:dyDescent="0.2">
      <c r="A2626" s="10" t="s">
        <v>704</v>
      </c>
      <c r="B2626" s="10" t="s">
        <v>726</v>
      </c>
      <c r="C2626" s="10" t="s">
        <v>46</v>
      </c>
      <c r="D2626" s="10">
        <v>23235</v>
      </c>
      <c r="E2626" s="10" t="s">
        <v>5</v>
      </c>
      <c r="F2626" s="10">
        <v>751</v>
      </c>
    </row>
    <row r="2627" spans="1:6" x14ac:dyDescent="0.2">
      <c r="A2627" s="10" t="s">
        <v>704</v>
      </c>
      <c r="B2627" s="10" t="s">
        <v>726</v>
      </c>
      <c r="C2627" s="10" t="s">
        <v>46</v>
      </c>
      <c r="D2627" s="10">
        <v>23113</v>
      </c>
      <c r="E2627" s="10" t="s">
        <v>6</v>
      </c>
      <c r="F2627" s="10">
        <v>1088</v>
      </c>
    </row>
    <row r="2628" spans="1:6" x14ac:dyDescent="0.2">
      <c r="A2628" s="10" t="s">
        <v>704</v>
      </c>
      <c r="B2628" s="10" t="s">
        <v>730</v>
      </c>
      <c r="C2628" s="10" t="s">
        <v>46</v>
      </c>
      <c r="D2628" s="10">
        <v>22601</v>
      </c>
      <c r="E2628" s="10" t="s">
        <v>5</v>
      </c>
      <c r="F2628" s="10">
        <v>999</v>
      </c>
    </row>
    <row r="2629" spans="1:6" x14ac:dyDescent="0.2">
      <c r="A2629" s="10" t="s">
        <v>704</v>
      </c>
      <c r="B2629" s="10" t="s">
        <v>720</v>
      </c>
      <c r="C2629" s="10" t="s">
        <v>46</v>
      </c>
      <c r="D2629" s="10">
        <v>22306</v>
      </c>
      <c r="E2629" s="10" t="s">
        <v>5</v>
      </c>
      <c r="F2629" s="10">
        <v>1488</v>
      </c>
    </row>
    <row r="2630" spans="1:6" x14ac:dyDescent="0.2">
      <c r="A2630" s="10" t="s">
        <v>704</v>
      </c>
      <c r="B2630" s="10" t="s">
        <v>720</v>
      </c>
      <c r="C2630" s="10" t="s">
        <v>46</v>
      </c>
      <c r="D2630" s="10">
        <v>20190</v>
      </c>
      <c r="E2630" s="10" t="s">
        <v>6</v>
      </c>
      <c r="F2630" s="10">
        <v>2217</v>
      </c>
    </row>
    <row r="2631" spans="1:6" x14ac:dyDescent="0.2">
      <c r="A2631" s="10" t="s">
        <v>704</v>
      </c>
      <c r="B2631" s="10" t="s">
        <v>720</v>
      </c>
      <c r="C2631" s="10" t="s">
        <v>46</v>
      </c>
      <c r="D2631" s="10">
        <v>22030</v>
      </c>
      <c r="E2631" s="10" t="s">
        <v>6</v>
      </c>
      <c r="F2631" s="10">
        <v>2169</v>
      </c>
    </row>
    <row r="2632" spans="1:6" x14ac:dyDescent="0.2">
      <c r="A2632" s="10" t="s">
        <v>704</v>
      </c>
      <c r="B2632" s="10" t="s">
        <v>720</v>
      </c>
      <c r="C2632" s="10" t="s">
        <v>46</v>
      </c>
      <c r="D2632" s="10">
        <v>22182</v>
      </c>
      <c r="E2632" s="10" t="s">
        <v>5</v>
      </c>
      <c r="F2632" s="10">
        <v>304</v>
      </c>
    </row>
    <row r="2633" spans="1:6" x14ac:dyDescent="0.2">
      <c r="A2633" s="10" t="s">
        <v>704</v>
      </c>
      <c r="B2633" s="10" t="s">
        <v>731</v>
      </c>
      <c r="C2633" s="10" t="s">
        <v>46</v>
      </c>
      <c r="D2633" s="10">
        <v>22801</v>
      </c>
      <c r="E2633" s="10" t="s">
        <v>5</v>
      </c>
      <c r="F2633" s="10">
        <v>1484</v>
      </c>
    </row>
    <row r="2634" spans="1:6" x14ac:dyDescent="0.2">
      <c r="A2634" s="10" t="s">
        <v>704</v>
      </c>
      <c r="B2634" s="10" t="s">
        <v>732</v>
      </c>
      <c r="C2634" s="10" t="s">
        <v>47</v>
      </c>
      <c r="D2634" s="10">
        <v>23454</v>
      </c>
      <c r="E2634" s="10" t="s">
        <v>7</v>
      </c>
      <c r="F2634" s="10">
        <v>1565</v>
      </c>
    </row>
    <row r="2635" spans="1:6" x14ac:dyDescent="0.2">
      <c r="A2635" s="10" t="s">
        <v>704</v>
      </c>
      <c r="B2635" s="10" t="s">
        <v>732</v>
      </c>
      <c r="C2635" s="10" t="s">
        <v>47</v>
      </c>
      <c r="D2635" s="10">
        <v>23462</v>
      </c>
      <c r="E2635" s="10" t="s">
        <v>10</v>
      </c>
      <c r="F2635" s="10">
        <v>534</v>
      </c>
    </row>
    <row r="2636" spans="1:6" x14ac:dyDescent="0.2">
      <c r="A2636" s="10" t="s">
        <v>704</v>
      </c>
      <c r="B2636" s="10" t="s">
        <v>732</v>
      </c>
      <c r="C2636" s="10" t="s">
        <v>47</v>
      </c>
      <c r="D2636" s="10">
        <v>23451</v>
      </c>
      <c r="E2636" s="10" t="s">
        <v>6</v>
      </c>
      <c r="F2636" s="10">
        <v>561</v>
      </c>
    </row>
    <row r="2637" spans="1:6" x14ac:dyDescent="0.2">
      <c r="A2637" s="10" t="s">
        <v>704</v>
      </c>
      <c r="B2637" s="10" t="s">
        <v>733</v>
      </c>
      <c r="C2637" s="10" t="s">
        <v>47</v>
      </c>
      <c r="D2637" s="10">
        <v>22192</v>
      </c>
      <c r="E2637" s="10" t="s">
        <v>5</v>
      </c>
      <c r="F2637" s="10">
        <v>755</v>
      </c>
    </row>
    <row r="2638" spans="1:6" x14ac:dyDescent="0.2">
      <c r="A2638" s="10" t="s">
        <v>704</v>
      </c>
      <c r="B2638" s="10" t="s">
        <v>734</v>
      </c>
      <c r="C2638" s="10" t="s">
        <v>47</v>
      </c>
      <c r="D2638" s="10">
        <v>24273</v>
      </c>
      <c r="E2638" s="10" t="s">
        <v>8</v>
      </c>
      <c r="F2638" s="10">
        <v>2040</v>
      </c>
    </row>
    <row r="2639" spans="1:6" x14ac:dyDescent="0.2">
      <c r="A2639" s="10" t="s">
        <v>704</v>
      </c>
      <c r="B2639" s="10" t="s">
        <v>735</v>
      </c>
      <c r="C2639" s="10" t="s">
        <v>47</v>
      </c>
      <c r="D2639" s="10">
        <v>22401</v>
      </c>
      <c r="E2639" s="10" t="s">
        <v>8</v>
      </c>
      <c r="F2639" s="10">
        <v>777</v>
      </c>
    </row>
    <row r="2640" spans="1:6" x14ac:dyDescent="0.2">
      <c r="A2640" s="10" t="s">
        <v>704</v>
      </c>
      <c r="B2640" s="10" t="s">
        <v>732</v>
      </c>
      <c r="C2640" s="10" t="s">
        <v>47</v>
      </c>
      <c r="D2640" s="10">
        <v>23452</v>
      </c>
      <c r="E2640" s="10" t="s">
        <v>8</v>
      </c>
      <c r="F2640" s="10">
        <v>265</v>
      </c>
    </row>
    <row r="2641" spans="1:6" x14ac:dyDescent="0.2">
      <c r="A2641" s="10" t="s">
        <v>704</v>
      </c>
      <c r="B2641" s="10" t="s">
        <v>732</v>
      </c>
      <c r="C2641" s="10" t="s">
        <v>47</v>
      </c>
      <c r="D2641" s="10">
        <v>23462</v>
      </c>
      <c r="E2641" s="10" t="s">
        <v>6</v>
      </c>
      <c r="F2641" s="10">
        <v>7317</v>
      </c>
    </row>
    <row r="2642" spans="1:6" x14ac:dyDescent="0.2">
      <c r="A2642" s="10" t="s">
        <v>704</v>
      </c>
      <c r="B2642" s="10" t="s">
        <v>733</v>
      </c>
      <c r="C2642" s="10" t="s">
        <v>47</v>
      </c>
      <c r="D2642" s="10">
        <v>20155</v>
      </c>
      <c r="E2642" s="10" t="s">
        <v>5</v>
      </c>
      <c r="F2642" s="10">
        <v>988</v>
      </c>
    </row>
    <row r="2643" spans="1:6" x14ac:dyDescent="0.2">
      <c r="A2643" s="10" t="s">
        <v>704</v>
      </c>
      <c r="B2643" s="10" t="s">
        <v>735</v>
      </c>
      <c r="C2643" s="10" t="s">
        <v>47</v>
      </c>
      <c r="D2643" s="10">
        <v>22401</v>
      </c>
      <c r="E2643" s="10" t="s">
        <v>6</v>
      </c>
      <c r="F2643" s="10">
        <v>1085</v>
      </c>
    </row>
    <row r="2644" spans="1:6" x14ac:dyDescent="0.2">
      <c r="A2644" s="10" t="s">
        <v>704</v>
      </c>
      <c r="B2644" s="10" t="s">
        <v>736</v>
      </c>
      <c r="C2644" s="10" t="s">
        <v>47</v>
      </c>
      <c r="D2644" s="10">
        <v>22903</v>
      </c>
      <c r="E2644" s="10" t="s">
        <v>5</v>
      </c>
      <c r="F2644" s="10">
        <v>925</v>
      </c>
    </row>
    <row r="2645" spans="1:6" x14ac:dyDescent="0.2">
      <c r="A2645" s="10" t="s">
        <v>704</v>
      </c>
      <c r="B2645" s="10" t="s">
        <v>735</v>
      </c>
      <c r="C2645" s="10" t="s">
        <v>47</v>
      </c>
      <c r="D2645" s="10">
        <v>22401</v>
      </c>
      <c r="E2645" s="10" t="s">
        <v>5</v>
      </c>
      <c r="F2645" s="10">
        <v>1108</v>
      </c>
    </row>
    <row r="2646" spans="1:6" x14ac:dyDescent="0.2">
      <c r="A2646" s="10" t="s">
        <v>704</v>
      </c>
      <c r="B2646" s="10" t="s">
        <v>732</v>
      </c>
      <c r="C2646" s="10" t="s">
        <v>47</v>
      </c>
      <c r="D2646" s="10">
        <v>23456</v>
      </c>
      <c r="E2646" s="10" t="s">
        <v>7</v>
      </c>
      <c r="F2646" s="10">
        <v>1228</v>
      </c>
    </row>
    <row r="2647" spans="1:6" x14ac:dyDescent="0.2">
      <c r="A2647" s="10" t="s">
        <v>704</v>
      </c>
      <c r="B2647" s="10" t="s">
        <v>737</v>
      </c>
      <c r="C2647" s="10" t="s">
        <v>47</v>
      </c>
      <c r="D2647" s="10">
        <v>23320</v>
      </c>
      <c r="E2647" s="10" t="s">
        <v>7</v>
      </c>
      <c r="F2647" s="10">
        <v>2043</v>
      </c>
    </row>
    <row r="2648" spans="1:6" x14ac:dyDescent="0.2">
      <c r="A2648" s="10" t="s">
        <v>704</v>
      </c>
      <c r="B2648" s="10" t="s">
        <v>738</v>
      </c>
      <c r="C2648" s="10" t="s">
        <v>47</v>
      </c>
      <c r="D2648" s="10">
        <v>23185</v>
      </c>
      <c r="E2648" s="10" t="s">
        <v>5</v>
      </c>
      <c r="F2648" s="10">
        <v>2130</v>
      </c>
    </row>
    <row r="2649" spans="1:6" x14ac:dyDescent="0.2">
      <c r="A2649" s="10" t="s">
        <v>704</v>
      </c>
      <c r="B2649" s="10" t="s">
        <v>737</v>
      </c>
      <c r="C2649" s="10" t="s">
        <v>47</v>
      </c>
      <c r="D2649" s="10">
        <v>23321</v>
      </c>
      <c r="E2649" s="10" t="s">
        <v>7</v>
      </c>
      <c r="F2649" s="10">
        <v>4554</v>
      </c>
    </row>
    <row r="2650" spans="1:6" x14ac:dyDescent="0.2">
      <c r="A2650" s="10" t="s">
        <v>704</v>
      </c>
      <c r="B2650" s="10" t="s">
        <v>739</v>
      </c>
      <c r="C2650" s="10" t="s">
        <v>47</v>
      </c>
      <c r="D2650" s="10">
        <v>820</v>
      </c>
      <c r="E2650" s="10" t="s">
        <v>7</v>
      </c>
      <c r="F2650" s="10">
        <v>4537</v>
      </c>
    </row>
    <row r="2651" spans="1:6" x14ac:dyDescent="0.2">
      <c r="A2651" s="10" t="s">
        <v>704</v>
      </c>
      <c r="B2651" s="10" t="s">
        <v>740</v>
      </c>
      <c r="C2651" s="10" t="s">
        <v>47</v>
      </c>
      <c r="D2651" s="10">
        <v>23666</v>
      </c>
      <c r="E2651" s="10" t="s">
        <v>6</v>
      </c>
      <c r="F2651" s="10">
        <v>1947</v>
      </c>
    </row>
    <row r="2652" spans="1:6" x14ac:dyDescent="0.2">
      <c r="A2652" s="10" t="s">
        <v>704</v>
      </c>
      <c r="B2652" s="10" t="s">
        <v>733</v>
      </c>
      <c r="C2652" s="10" t="s">
        <v>47</v>
      </c>
      <c r="D2652" s="10">
        <v>22192</v>
      </c>
      <c r="E2652" s="10" t="s">
        <v>6</v>
      </c>
      <c r="F2652" s="10">
        <v>1748</v>
      </c>
    </row>
    <row r="2653" spans="1:6" x14ac:dyDescent="0.2">
      <c r="A2653" s="10" t="s">
        <v>741</v>
      </c>
      <c r="B2653" s="10" t="s">
        <v>742</v>
      </c>
      <c r="C2653" s="10" t="s">
        <v>45</v>
      </c>
      <c r="D2653" s="10">
        <v>5495</v>
      </c>
      <c r="E2653" s="10" t="s">
        <v>5</v>
      </c>
      <c r="F2653" s="10">
        <v>852</v>
      </c>
    </row>
    <row r="2654" spans="1:6" x14ac:dyDescent="0.2">
      <c r="A2654" s="10" t="s">
        <v>741</v>
      </c>
      <c r="B2654" s="10" t="s">
        <v>742</v>
      </c>
      <c r="C2654" s="10" t="s">
        <v>45</v>
      </c>
      <c r="D2654" s="10">
        <v>5403</v>
      </c>
      <c r="E2654" s="10" t="s">
        <v>5</v>
      </c>
      <c r="F2654" s="10">
        <v>781</v>
      </c>
    </row>
    <row r="2655" spans="1:6" x14ac:dyDescent="0.2">
      <c r="A2655" s="10" t="s">
        <v>741</v>
      </c>
      <c r="B2655" s="10" t="s">
        <v>158</v>
      </c>
      <c r="C2655" s="10" t="s">
        <v>45</v>
      </c>
      <c r="D2655" s="10">
        <v>5301</v>
      </c>
      <c r="E2655" s="10" t="s">
        <v>5</v>
      </c>
      <c r="F2655" s="10">
        <v>374</v>
      </c>
    </row>
    <row r="2656" spans="1:6" x14ac:dyDescent="0.2">
      <c r="A2656" s="10" t="s">
        <v>741</v>
      </c>
      <c r="B2656" s="10" t="s">
        <v>82</v>
      </c>
      <c r="C2656" s="10" t="s">
        <v>46</v>
      </c>
      <c r="D2656" s="10">
        <v>5641</v>
      </c>
      <c r="E2656" s="10" t="s">
        <v>5</v>
      </c>
      <c r="F2656" s="10">
        <v>346</v>
      </c>
    </row>
    <row r="2657" spans="1:6" x14ac:dyDescent="0.2">
      <c r="A2657" s="10" t="s">
        <v>741</v>
      </c>
      <c r="B2657" s="10" t="s">
        <v>743</v>
      </c>
      <c r="C2657" s="10" t="s">
        <v>46</v>
      </c>
      <c r="D2657" s="10">
        <v>5201</v>
      </c>
      <c r="E2657" s="10" t="s">
        <v>5</v>
      </c>
      <c r="F2657" s="10">
        <v>499</v>
      </c>
    </row>
    <row r="2658" spans="1:6" x14ac:dyDescent="0.2">
      <c r="A2658" s="10" t="s">
        <v>741</v>
      </c>
      <c r="B2658" s="10" t="s">
        <v>744</v>
      </c>
      <c r="C2658" s="10" t="s">
        <v>46</v>
      </c>
      <c r="D2658" s="10">
        <v>5701</v>
      </c>
      <c r="E2658" s="10" t="s">
        <v>5</v>
      </c>
      <c r="F2658" s="10">
        <v>1221</v>
      </c>
    </row>
    <row r="2659" spans="1:6" x14ac:dyDescent="0.2">
      <c r="A2659" s="10" t="s">
        <v>745</v>
      </c>
      <c r="B2659" s="10" t="s">
        <v>746</v>
      </c>
      <c r="C2659" s="10" t="s">
        <v>45</v>
      </c>
      <c r="D2659" s="10">
        <v>98027</v>
      </c>
      <c r="E2659" s="10" t="s">
        <v>6</v>
      </c>
      <c r="F2659" s="10">
        <v>1443</v>
      </c>
    </row>
    <row r="2660" spans="1:6" x14ac:dyDescent="0.2">
      <c r="A2660" s="10" t="s">
        <v>745</v>
      </c>
      <c r="B2660" s="10" t="s">
        <v>747</v>
      </c>
      <c r="C2660" s="10" t="s">
        <v>45</v>
      </c>
      <c r="D2660" s="10">
        <v>98405</v>
      </c>
      <c r="E2660" s="10" t="s">
        <v>6</v>
      </c>
      <c r="F2660" s="10">
        <v>1392</v>
      </c>
    </row>
    <row r="2661" spans="1:6" x14ac:dyDescent="0.2">
      <c r="A2661" s="10" t="s">
        <v>745</v>
      </c>
      <c r="B2661" s="10" t="s">
        <v>748</v>
      </c>
      <c r="C2661" s="10" t="s">
        <v>45</v>
      </c>
      <c r="D2661" s="10">
        <v>98012</v>
      </c>
      <c r="E2661" s="10" t="s">
        <v>5</v>
      </c>
      <c r="F2661" s="10">
        <v>2324</v>
      </c>
    </row>
    <row r="2662" spans="1:6" x14ac:dyDescent="0.2">
      <c r="A2662" s="10" t="s">
        <v>745</v>
      </c>
      <c r="B2662" s="10" t="s">
        <v>746</v>
      </c>
      <c r="C2662" s="10" t="s">
        <v>45</v>
      </c>
      <c r="D2662" s="10">
        <v>98030</v>
      </c>
      <c r="E2662" s="10" t="s">
        <v>5</v>
      </c>
      <c r="F2662" s="10">
        <v>1037</v>
      </c>
    </row>
    <row r="2663" spans="1:6" x14ac:dyDescent="0.2">
      <c r="A2663" s="10" t="s">
        <v>745</v>
      </c>
      <c r="B2663" s="10" t="s">
        <v>746</v>
      </c>
      <c r="C2663" s="10" t="s">
        <v>45</v>
      </c>
      <c r="D2663" s="10">
        <v>98052</v>
      </c>
      <c r="E2663" s="10" t="s">
        <v>8</v>
      </c>
      <c r="F2663" s="10">
        <v>272</v>
      </c>
    </row>
    <row r="2664" spans="1:6" x14ac:dyDescent="0.2">
      <c r="A2664" s="10" t="s">
        <v>745</v>
      </c>
      <c r="B2664" s="10" t="s">
        <v>749</v>
      </c>
      <c r="C2664" s="10" t="s">
        <v>45</v>
      </c>
      <c r="D2664" s="10">
        <v>98383</v>
      </c>
      <c r="E2664" s="10" t="s">
        <v>5</v>
      </c>
      <c r="F2664" s="10">
        <v>1058</v>
      </c>
    </row>
    <row r="2665" spans="1:6" x14ac:dyDescent="0.2">
      <c r="A2665" s="10" t="s">
        <v>745</v>
      </c>
      <c r="B2665" s="10" t="s">
        <v>747</v>
      </c>
      <c r="C2665" s="10" t="s">
        <v>45</v>
      </c>
      <c r="D2665" s="10">
        <v>98499</v>
      </c>
      <c r="E2665" s="10" t="s">
        <v>6</v>
      </c>
      <c r="F2665" s="10">
        <v>2122</v>
      </c>
    </row>
    <row r="2666" spans="1:6" x14ac:dyDescent="0.2">
      <c r="A2666" s="10" t="s">
        <v>745</v>
      </c>
      <c r="B2666" s="10" t="s">
        <v>750</v>
      </c>
      <c r="C2666" s="10" t="s">
        <v>45</v>
      </c>
      <c r="D2666" s="10">
        <v>99362</v>
      </c>
      <c r="E2666" s="10" t="s">
        <v>8</v>
      </c>
      <c r="F2666" s="10">
        <v>396</v>
      </c>
    </row>
    <row r="2667" spans="1:6" x14ac:dyDescent="0.2">
      <c r="A2667" s="10" t="s">
        <v>745</v>
      </c>
      <c r="B2667" s="10" t="s">
        <v>749</v>
      </c>
      <c r="C2667" s="10" t="s">
        <v>45</v>
      </c>
      <c r="D2667" s="10">
        <v>98370</v>
      </c>
      <c r="E2667" s="10" t="s">
        <v>7</v>
      </c>
      <c r="F2667" s="10">
        <v>681</v>
      </c>
    </row>
    <row r="2668" spans="1:6" x14ac:dyDescent="0.2">
      <c r="A2668" s="10" t="s">
        <v>745</v>
      </c>
      <c r="B2668" s="10" t="s">
        <v>748</v>
      </c>
      <c r="C2668" s="10" t="s">
        <v>45</v>
      </c>
      <c r="D2668" s="10">
        <v>98270</v>
      </c>
      <c r="E2668" s="10" t="s">
        <v>5</v>
      </c>
      <c r="F2668" s="10">
        <v>929</v>
      </c>
    </row>
    <row r="2669" spans="1:6" x14ac:dyDescent="0.2">
      <c r="A2669" s="10" t="s">
        <v>745</v>
      </c>
      <c r="B2669" s="10" t="s">
        <v>746</v>
      </c>
      <c r="C2669" s="10" t="s">
        <v>45</v>
      </c>
      <c r="D2669" s="10">
        <v>98134</v>
      </c>
      <c r="E2669" s="10" t="s">
        <v>6</v>
      </c>
      <c r="F2669" s="10">
        <v>2012</v>
      </c>
    </row>
    <row r="2670" spans="1:6" x14ac:dyDescent="0.2">
      <c r="A2670" s="10" t="s">
        <v>745</v>
      </c>
      <c r="B2670" s="10" t="s">
        <v>746</v>
      </c>
      <c r="C2670" s="10" t="s">
        <v>45</v>
      </c>
      <c r="D2670" s="10">
        <v>98105</v>
      </c>
      <c r="E2670" s="10" t="s">
        <v>10</v>
      </c>
      <c r="F2670" s="10">
        <v>608</v>
      </c>
    </row>
    <row r="2671" spans="1:6" x14ac:dyDescent="0.2">
      <c r="A2671" s="10" t="s">
        <v>745</v>
      </c>
      <c r="B2671" s="10" t="s">
        <v>746</v>
      </c>
      <c r="C2671" s="10" t="s">
        <v>45</v>
      </c>
      <c r="D2671" s="10">
        <v>98106</v>
      </c>
      <c r="E2671" s="10" t="s">
        <v>5</v>
      </c>
      <c r="F2671" s="10">
        <v>1982</v>
      </c>
    </row>
    <row r="2672" spans="1:6" x14ac:dyDescent="0.2">
      <c r="A2672" s="10" t="s">
        <v>745</v>
      </c>
      <c r="B2672" s="10" t="s">
        <v>746</v>
      </c>
      <c r="C2672" s="10" t="s">
        <v>45</v>
      </c>
      <c r="D2672" s="10">
        <v>98133</v>
      </c>
      <c r="E2672" s="10" t="s">
        <v>6</v>
      </c>
      <c r="F2672" s="10">
        <v>2107</v>
      </c>
    </row>
    <row r="2673" spans="1:6" x14ac:dyDescent="0.2">
      <c r="A2673" s="10" t="s">
        <v>745</v>
      </c>
      <c r="B2673" s="10" t="s">
        <v>746</v>
      </c>
      <c r="C2673" s="10" t="s">
        <v>45</v>
      </c>
      <c r="D2673" s="10">
        <v>98133</v>
      </c>
      <c r="E2673" s="10" t="s">
        <v>7</v>
      </c>
      <c r="F2673" s="10">
        <v>2592</v>
      </c>
    </row>
    <row r="2674" spans="1:6" x14ac:dyDescent="0.2">
      <c r="A2674" s="10" t="s">
        <v>745</v>
      </c>
      <c r="B2674" s="10" t="s">
        <v>746</v>
      </c>
      <c r="C2674" s="10" t="s">
        <v>45</v>
      </c>
      <c r="D2674" s="10">
        <v>98105</v>
      </c>
      <c r="E2674" s="10" t="s">
        <v>6</v>
      </c>
      <c r="F2674" s="10">
        <v>1063</v>
      </c>
    </row>
    <row r="2675" spans="1:6" x14ac:dyDescent="0.2">
      <c r="A2675" s="10" t="s">
        <v>745</v>
      </c>
      <c r="B2675" s="10" t="s">
        <v>746</v>
      </c>
      <c r="C2675" s="10" t="s">
        <v>45</v>
      </c>
      <c r="D2675" s="10">
        <v>98057</v>
      </c>
      <c r="E2675" s="10" t="s">
        <v>5</v>
      </c>
      <c r="F2675" s="10">
        <v>989</v>
      </c>
    </row>
    <row r="2676" spans="1:6" x14ac:dyDescent="0.2">
      <c r="A2676" s="10" t="s">
        <v>745</v>
      </c>
      <c r="B2676" s="10" t="s">
        <v>746</v>
      </c>
      <c r="C2676" s="10" t="s">
        <v>45</v>
      </c>
      <c r="D2676" s="10">
        <v>98042</v>
      </c>
      <c r="E2676" s="10" t="s">
        <v>6</v>
      </c>
      <c r="F2676" s="10">
        <v>1183</v>
      </c>
    </row>
    <row r="2677" spans="1:6" x14ac:dyDescent="0.2">
      <c r="A2677" s="10" t="s">
        <v>745</v>
      </c>
      <c r="B2677" s="10" t="s">
        <v>750</v>
      </c>
      <c r="C2677" s="10" t="s">
        <v>45</v>
      </c>
      <c r="D2677" s="10">
        <v>99362</v>
      </c>
      <c r="E2677" s="10" t="s">
        <v>5</v>
      </c>
      <c r="F2677" s="10">
        <v>1141</v>
      </c>
    </row>
    <row r="2678" spans="1:6" x14ac:dyDescent="0.2">
      <c r="A2678" s="10" t="s">
        <v>745</v>
      </c>
      <c r="B2678" s="10" t="s">
        <v>746</v>
      </c>
      <c r="C2678" s="10" t="s">
        <v>45</v>
      </c>
      <c r="D2678" s="10">
        <v>98166</v>
      </c>
      <c r="E2678" s="10" t="s">
        <v>5</v>
      </c>
      <c r="F2678" s="10">
        <v>2105</v>
      </c>
    </row>
    <row r="2679" spans="1:6" x14ac:dyDescent="0.2">
      <c r="A2679" s="10" t="s">
        <v>745</v>
      </c>
      <c r="B2679" s="10" t="s">
        <v>747</v>
      </c>
      <c r="C2679" s="10" t="s">
        <v>45</v>
      </c>
      <c r="D2679" s="10">
        <v>98332</v>
      </c>
      <c r="E2679" s="10" t="s">
        <v>6</v>
      </c>
      <c r="F2679" s="10">
        <v>789</v>
      </c>
    </row>
    <row r="2680" spans="1:6" x14ac:dyDescent="0.2">
      <c r="A2680" s="10" t="s">
        <v>745</v>
      </c>
      <c r="B2680" s="10" t="s">
        <v>746</v>
      </c>
      <c r="C2680" s="10" t="s">
        <v>45</v>
      </c>
      <c r="D2680" s="10">
        <v>98004</v>
      </c>
      <c r="E2680" s="10" t="s">
        <v>6</v>
      </c>
      <c r="F2680" s="10">
        <v>699</v>
      </c>
    </row>
    <row r="2681" spans="1:6" x14ac:dyDescent="0.2">
      <c r="A2681" s="10" t="s">
        <v>745</v>
      </c>
      <c r="B2681" s="10" t="s">
        <v>749</v>
      </c>
      <c r="C2681" s="10" t="s">
        <v>45</v>
      </c>
      <c r="D2681" s="10">
        <v>98366</v>
      </c>
      <c r="E2681" s="10" t="s">
        <v>5</v>
      </c>
      <c r="F2681" s="10">
        <v>884</v>
      </c>
    </row>
    <row r="2682" spans="1:6" x14ac:dyDescent="0.2">
      <c r="A2682" s="10" t="s">
        <v>745</v>
      </c>
      <c r="B2682" s="10" t="s">
        <v>746</v>
      </c>
      <c r="C2682" s="10" t="s">
        <v>45</v>
      </c>
      <c r="D2682" s="10">
        <v>98005</v>
      </c>
      <c r="E2682" s="10" t="s">
        <v>5</v>
      </c>
      <c r="F2682" s="10">
        <v>405</v>
      </c>
    </row>
    <row r="2683" spans="1:6" x14ac:dyDescent="0.2">
      <c r="A2683" s="10" t="s">
        <v>745</v>
      </c>
      <c r="B2683" s="10" t="s">
        <v>746</v>
      </c>
      <c r="C2683" s="10" t="s">
        <v>45</v>
      </c>
      <c r="D2683" s="10">
        <v>98002</v>
      </c>
      <c r="E2683" s="10" t="s">
        <v>6</v>
      </c>
      <c r="F2683" s="10">
        <v>992</v>
      </c>
    </row>
    <row r="2684" spans="1:6" x14ac:dyDescent="0.2">
      <c r="A2684" s="10" t="s">
        <v>745</v>
      </c>
      <c r="B2684" s="10" t="s">
        <v>748</v>
      </c>
      <c r="C2684" s="10" t="s">
        <v>45</v>
      </c>
      <c r="D2684" s="10">
        <v>98203</v>
      </c>
      <c r="E2684" s="10" t="s">
        <v>5</v>
      </c>
      <c r="F2684" s="10">
        <v>706</v>
      </c>
    </row>
    <row r="2685" spans="1:6" x14ac:dyDescent="0.2">
      <c r="A2685" s="10" t="s">
        <v>745</v>
      </c>
      <c r="B2685" s="10" t="s">
        <v>746</v>
      </c>
      <c r="C2685" s="10" t="s">
        <v>45</v>
      </c>
      <c r="D2685" s="10">
        <v>98109</v>
      </c>
      <c r="E2685" s="10" t="s">
        <v>10</v>
      </c>
      <c r="F2685" s="10">
        <v>1068</v>
      </c>
    </row>
    <row r="2686" spans="1:6" x14ac:dyDescent="0.2">
      <c r="A2686" s="10" t="s">
        <v>745</v>
      </c>
      <c r="B2686" s="10" t="s">
        <v>751</v>
      </c>
      <c r="C2686" s="10" t="s">
        <v>45</v>
      </c>
      <c r="D2686" s="10">
        <v>98632</v>
      </c>
      <c r="E2686" s="10" t="s">
        <v>6</v>
      </c>
      <c r="F2686" s="10">
        <v>1460</v>
      </c>
    </row>
    <row r="2687" spans="1:6" x14ac:dyDescent="0.2">
      <c r="A2687" s="10" t="s">
        <v>745</v>
      </c>
      <c r="B2687" s="10" t="s">
        <v>746</v>
      </c>
      <c r="C2687" s="10" t="s">
        <v>45</v>
      </c>
      <c r="D2687" s="10">
        <v>98119</v>
      </c>
      <c r="E2687" s="10" t="s">
        <v>5</v>
      </c>
      <c r="F2687" s="10">
        <v>739</v>
      </c>
    </row>
    <row r="2688" spans="1:6" x14ac:dyDescent="0.2">
      <c r="A2688" s="10" t="s">
        <v>745</v>
      </c>
      <c r="B2688" s="10" t="s">
        <v>746</v>
      </c>
      <c r="C2688" s="10" t="s">
        <v>45</v>
      </c>
      <c r="D2688" s="10">
        <v>98188</v>
      </c>
      <c r="E2688" s="10" t="s">
        <v>6</v>
      </c>
      <c r="F2688" s="10">
        <v>976</v>
      </c>
    </row>
    <row r="2689" spans="1:6" x14ac:dyDescent="0.2">
      <c r="A2689" s="10" t="s">
        <v>745</v>
      </c>
      <c r="B2689" s="10" t="s">
        <v>752</v>
      </c>
      <c r="C2689" s="10" t="s">
        <v>45</v>
      </c>
      <c r="D2689" s="10">
        <v>98837</v>
      </c>
      <c r="E2689" s="10" t="s">
        <v>5</v>
      </c>
      <c r="F2689" s="10">
        <v>834</v>
      </c>
    </row>
    <row r="2690" spans="1:6" x14ac:dyDescent="0.2">
      <c r="A2690" s="10" t="s">
        <v>745</v>
      </c>
      <c r="B2690" s="10" t="s">
        <v>748</v>
      </c>
      <c r="C2690" s="10" t="s">
        <v>45</v>
      </c>
      <c r="D2690" s="10">
        <v>98271</v>
      </c>
      <c r="E2690" s="10" t="s">
        <v>6</v>
      </c>
      <c r="F2690" s="10">
        <v>888</v>
      </c>
    </row>
    <row r="2691" spans="1:6" x14ac:dyDescent="0.2">
      <c r="A2691" s="10" t="s">
        <v>745</v>
      </c>
      <c r="B2691" s="10" t="s">
        <v>748</v>
      </c>
      <c r="C2691" s="10" t="s">
        <v>45</v>
      </c>
      <c r="D2691" s="10">
        <v>98036</v>
      </c>
      <c r="E2691" s="10" t="s">
        <v>5</v>
      </c>
      <c r="F2691" s="10">
        <v>1260</v>
      </c>
    </row>
    <row r="2692" spans="1:6" x14ac:dyDescent="0.2">
      <c r="A2692" s="10" t="s">
        <v>745</v>
      </c>
      <c r="B2692" s="10" t="s">
        <v>748</v>
      </c>
      <c r="C2692" s="10" t="s">
        <v>45</v>
      </c>
      <c r="D2692" s="10">
        <v>98036</v>
      </c>
      <c r="E2692" s="10" t="s">
        <v>6</v>
      </c>
      <c r="F2692" s="10">
        <v>1013</v>
      </c>
    </row>
    <row r="2693" spans="1:6" x14ac:dyDescent="0.2">
      <c r="A2693" s="10" t="s">
        <v>745</v>
      </c>
      <c r="B2693" s="10" t="s">
        <v>746</v>
      </c>
      <c r="C2693" s="10" t="s">
        <v>45</v>
      </c>
      <c r="D2693" s="10">
        <v>98004</v>
      </c>
      <c r="E2693" s="10" t="s">
        <v>10</v>
      </c>
      <c r="F2693" s="10">
        <v>1420</v>
      </c>
    </row>
    <row r="2694" spans="1:6" x14ac:dyDescent="0.2">
      <c r="A2694" s="10" t="s">
        <v>745</v>
      </c>
      <c r="B2694" s="10" t="s">
        <v>748</v>
      </c>
      <c r="C2694" s="10" t="s">
        <v>45</v>
      </c>
      <c r="D2694" s="10">
        <v>98204</v>
      </c>
      <c r="E2694" s="10" t="s">
        <v>6</v>
      </c>
      <c r="F2694" s="10">
        <v>1439</v>
      </c>
    </row>
    <row r="2695" spans="1:6" x14ac:dyDescent="0.2">
      <c r="A2695" s="10" t="s">
        <v>745</v>
      </c>
      <c r="B2695" s="10" t="s">
        <v>747</v>
      </c>
      <c r="C2695" s="10" t="s">
        <v>45</v>
      </c>
      <c r="D2695" s="10">
        <v>98373</v>
      </c>
      <c r="E2695" s="10" t="s">
        <v>6</v>
      </c>
      <c r="F2695" s="10">
        <v>1215</v>
      </c>
    </row>
    <row r="2696" spans="1:6" x14ac:dyDescent="0.2">
      <c r="A2696" s="10" t="s">
        <v>745</v>
      </c>
      <c r="B2696" s="10" t="s">
        <v>746</v>
      </c>
      <c r="C2696" s="10" t="s">
        <v>45</v>
      </c>
      <c r="D2696" s="10">
        <v>98003</v>
      </c>
      <c r="E2696" s="10" t="s">
        <v>6</v>
      </c>
      <c r="F2696" s="10">
        <v>1573</v>
      </c>
    </row>
    <row r="2697" spans="1:6" x14ac:dyDescent="0.2">
      <c r="A2697" s="10" t="s">
        <v>745</v>
      </c>
      <c r="B2697" s="10" t="s">
        <v>746</v>
      </c>
      <c r="C2697" s="10" t="s">
        <v>45</v>
      </c>
      <c r="D2697" s="10">
        <v>98107</v>
      </c>
      <c r="E2697" s="10" t="s">
        <v>7</v>
      </c>
      <c r="F2697" s="10">
        <v>1054</v>
      </c>
    </row>
    <row r="2698" spans="1:6" x14ac:dyDescent="0.2">
      <c r="A2698" s="10" t="s">
        <v>745</v>
      </c>
      <c r="B2698" s="10" t="s">
        <v>746</v>
      </c>
      <c r="C2698" s="10" t="s">
        <v>45</v>
      </c>
      <c r="D2698" s="10">
        <v>98105</v>
      </c>
      <c r="E2698" s="10" t="s">
        <v>9</v>
      </c>
      <c r="F2698" s="10">
        <v>935</v>
      </c>
    </row>
    <row r="2699" spans="1:6" x14ac:dyDescent="0.2">
      <c r="A2699" s="10" t="s">
        <v>745</v>
      </c>
      <c r="B2699" s="10" t="s">
        <v>753</v>
      </c>
      <c r="C2699" s="10" t="s">
        <v>45</v>
      </c>
      <c r="D2699" s="10">
        <v>98801</v>
      </c>
      <c r="E2699" s="10" t="s">
        <v>6</v>
      </c>
      <c r="F2699" s="10">
        <v>1350</v>
      </c>
    </row>
    <row r="2700" spans="1:6" x14ac:dyDescent="0.2">
      <c r="A2700" s="10" t="s">
        <v>745</v>
      </c>
      <c r="B2700" s="10" t="s">
        <v>746</v>
      </c>
      <c r="C2700" s="10" t="s">
        <v>45</v>
      </c>
      <c r="D2700" s="10">
        <v>98052</v>
      </c>
      <c r="E2700" s="10" t="s">
        <v>5</v>
      </c>
      <c r="F2700" s="10">
        <v>541</v>
      </c>
    </row>
    <row r="2701" spans="1:6" x14ac:dyDescent="0.2">
      <c r="A2701" s="10" t="s">
        <v>745</v>
      </c>
      <c r="B2701" s="10" t="s">
        <v>754</v>
      </c>
      <c r="C2701" s="10" t="s">
        <v>46</v>
      </c>
      <c r="D2701" s="10">
        <v>98903</v>
      </c>
      <c r="E2701" s="10" t="s">
        <v>6</v>
      </c>
      <c r="F2701" s="10">
        <v>1572</v>
      </c>
    </row>
    <row r="2702" spans="1:6" x14ac:dyDescent="0.2">
      <c r="A2702" s="10" t="s">
        <v>745</v>
      </c>
      <c r="B2702" s="10" t="s">
        <v>84</v>
      </c>
      <c r="C2702" s="10" t="s">
        <v>46</v>
      </c>
      <c r="D2702" s="10">
        <v>99354</v>
      </c>
      <c r="E2702" s="10" t="s">
        <v>6</v>
      </c>
      <c r="F2702" s="10">
        <v>254</v>
      </c>
    </row>
    <row r="2703" spans="1:6" x14ac:dyDescent="0.2">
      <c r="A2703" s="10" t="s">
        <v>745</v>
      </c>
      <c r="B2703" s="10" t="s">
        <v>755</v>
      </c>
      <c r="C2703" s="10" t="s">
        <v>46</v>
      </c>
      <c r="D2703" s="10">
        <v>98532</v>
      </c>
      <c r="E2703" s="10" t="s">
        <v>5</v>
      </c>
      <c r="F2703" s="10">
        <v>1123</v>
      </c>
    </row>
    <row r="2704" spans="1:6" x14ac:dyDescent="0.2">
      <c r="A2704" s="10" t="s">
        <v>745</v>
      </c>
      <c r="B2704" s="10" t="s">
        <v>756</v>
      </c>
      <c r="C2704" s="10" t="s">
        <v>46</v>
      </c>
      <c r="D2704" s="10">
        <v>98503</v>
      </c>
      <c r="E2704" s="10" t="s">
        <v>6</v>
      </c>
      <c r="F2704" s="10">
        <v>708</v>
      </c>
    </row>
    <row r="2705" spans="1:6" x14ac:dyDescent="0.2">
      <c r="A2705" s="10" t="s">
        <v>745</v>
      </c>
      <c r="B2705" s="10" t="s">
        <v>84</v>
      </c>
      <c r="C2705" s="10" t="s">
        <v>46</v>
      </c>
      <c r="D2705" s="10">
        <v>99336</v>
      </c>
      <c r="E2705" s="10" t="s">
        <v>6</v>
      </c>
      <c r="F2705" s="10">
        <v>2206</v>
      </c>
    </row>
    <row r="2706" spans="1:6" x14ac:dyDescent="0.2">
      <c r="A2706" s="10" t="s">
        <v>745</v>
      </c>
      <c r="B2706" s="10" t="s">
        <v>84</v>
      </c>
      <c r="C2706" s="10" t="s">
        <v>46</v>
      </c>
      <c r="D2706" s="10">
        <v>99336</v>
      </c>
      <c r="E2706" s="10" t="s">
        <v>8</v>
      </c>
      <c r="F2706" s="10">
        <v>314</v>
      </c>
    </row>
    <row r="2707" spans="1:6" x14ac:dyDescent="0.2">
      <c r="A2707" s="10" t="s">
        <v>745</v>
      </c>
      <c r="B2707" s="10" t="s">
        <v>757</v>
      </c>
      <c r="C2707" s="10" t="s">
        <v>46</v>
      </c>
      <c r="D2707" s="10">
        <v>98273</v>
      </c>
      <c r="E2707" s="10" t="s">
        <v>6</v>
      </c>
      <c r="F2707" s="10">
        <v>837</v>
      </c>
    </row>
    <row r="2708" spans="1:6" x14ac:dyDescent="0.2">
      <c r="A2708" s="10" t="s">
        <v>745</v>
      </c>
      <c r="B2708" s="10" t="s">
        <v>756</v>
      </c>
      <c r="C2708" s="10" t="s">
        <v>46</v>
      </c>
      <c r="D2708" s="10">
        <v>98516</v>
      </c>
      <c r="E2708" s="10" t="s">
        <v>7</v>
      </c>
      <c r="F2708" s="10">
        <v>1459</v>
      </c>
    </row>
    <row r="2709" spans="1:6" x14ac:dyDescent="0.2">
      <c r="A2709" s="10" t="s">
        <v>745</v>
      </c>
      <c r="B2709" s="10" t="s">
        <v>758</v>
      </c>
      <c r="C2709" s="10" t="s">
        <v>47</v>
      </c>
      <c r="D2709" s="10">
        <v>99218</v>
      </c>
      <c r="E2709" s="10" t="s">
        <v>5</v>
      </c>
      <c r="F2709" s="10">
        <v>1233</v>
      </c>
    </row>
    <row r="2710" spans="1:6" x14ac:dyDescent="0.2">
      <c r="A2710" s="10" t="s">
        <v>745</v>
      </c>
      <c r="B2710" s="10" t="s">
        <v>758</v>
      </c>
      <c r="C2710" s="10" t="s">
        <v>47</v>
      </c>
      <c r="D2710" s="10">
        <v>99202</v>
      </c>
      <c r="E2710" s="10" t="s">
        <v>6</v>
      </c>
      <c r="F2710" s="10">
        <v>799</v>
      </c>
    </row>
    <row r="2711" spans="1:6" x14ac:dyDescent="0.2">
      <c r="A2711" s="10" t="s">
        <v>745</v>
      </c>
      <c r="B2711" s="10" t="s">
        <v>759</v>
      </c>
      <c r="C2711" s="10" t="s">
        <v>47</v>
      </c>
      <c r="D2711" s="10">
        <v>98226</v>
      </c>
      <c r="E2711" s="10" t="s">
        <v>7</v>
      </c>
      <c r="F2711" s="10">
        <v>1343</v>
      </c>
    </row>
    <row r="2712" spans="1:6" x14ac:dyDescent="0.2">
      <c r="A2712" s="10" t="s">
        <v>745</v>
      </c>
      <c r="B2712" s="10" t="s">
        <v>758</v>
      </c>
      <c r="C2712" s="10" t="s">
        <v>47</v>
      </c>
      <c r="D2712" s="10">
        <v>99216</v>
      </c>
      <c r="E2712" s="10" t="s">
        <v>5</v>
      </c>
      <c r="F2712" s="10">
        <v>1446</v>
      </c>
    </row>
    <row r="2713" spans="1:6" x14ac:dyDescent="0.2">
      <c r="A2713" s="10" t="s">
        <v>745</v>
      </c>
      <c r="B2713" s="10" t="s">
        <v>760</v>
      </c>
      <c r="C2713" s="10" t="s">
        <v>47</v>
      </c>
      <c r="D2713" s="10">
        <v>98277</v>
      </c>
      <c r="E2713" s="10" t="s">
        <v>7</v>
      </c>
      <c r="F2713" s="10">
        <v>881</v>
      </c>
    </row>
    <row r="2714" spans="1:6" x14ac:dyDescent="0.2">
      <c r="A2714" s="10" t="s">
        <v>745</v>
      </c>
      <c r="B2714" s="10" t="s">
        <v>308</v>
      </c>
      <c r="C2714" s="10" t="s">
        <v>47</v>
      </c>
      <c r="D2714" s="10">
        <v>98665</v>
      </c>
      <c r="E2714" s="10" t="s">
        <v>6</v>
      </c>
      <c r="F2714" s="10">
        <v>693</v>
      </c>
    </row>
    <row r="2715" spans="1:6" x14ac:dyDescent="0.2">
      <c r="A2715" s="10" t="s">
        <v>745</v>
      </c>
      <c r="B2715" s="10" t="s">
        <v>308</v>
      </c>
      <c r="C2715" s="10" t="s">
        <v>47</v>
      </c>
      <c r="D2715" s="10">
        <v>98683</v>
      </c>
      <c r="E2715" s="10" t="s">
        <v>8</v>
      </c>
      <c r="F2715" s="10">
        <v>693</v>
      </c>
    </row>
    <row r="2716" spans="1:6" x14ac:dyDescent="0.2">
      <c r="A2716" s="10" t="s">
        <v>745</v>
      </c>
      <c r="B2716" s="10" t="s">
        <v>758</v>
      </c>
      <c r="C2716" s="10" t="s">
        <v>47</v>
      </c>
      <c r="D2716" s="10">
        <v>99216</v>
      </c>
      <c r="E2716" s="10" t="s">
        <v>6</v>
      </c>
      <c r="F2716" s="10">
        <v>2130</v>
      </c>
    </row>
    <row r="2717" spans="1:6" x14ac:dyDescent="0.2">
      <c r="A2717" s="10" t="s">
        <v>745</v>
      </c>
      <c r="B2717" s="10" t="s">
        <v>758</v>
      </c>
      <c r="C2717" s="10" t="s">
        <v>47</v>
      </c>
      <c r="D2717" s="10">
        <v>99207</v>
      </c>
      <c r="E2717" s="10" t="s">
        <v>5</v>
      </c>
      <c r="F2717" s="10">
        <v>1266</v>
      </c>
    </row>
    <row r="2718" spans="1:6" x14ac:dyDescent="0.2">
      <c r="A2718" s="10" t="s">
        <v>745</v>
      </c>
      <c r="B2718" s="10" t="s">
        <v>758</v>
      </c>
      <c r="C2718" s="10" t="s">
        <v>47</v>
      </c>
      <c r="D2718" s="10">
        <v>99207</v>
      </c>
      <c r="E2718" s="10" t="s">
        <v>6</v>
      </c>
      <c r="F2718" s="10">
        <v>1451</v>
      </c>
    </row>
    <row r="2719" spans="1:6" x14ac:dyDescent="0.2">
      <c r="A2719" s="10" t="s">
        <v>745</v>
      </c>
      <c r="B2719" s="10" t="s">
        <v>308</v>
      </c>
      <c r="C2719" s="10" t="s">
        <v>47</v>
      </c>
      <c r="D2719" s="10">
        <v>98684</v>
      </c>
      <c r="E2719" s="10" t="s">
        <v>7</v>
      </c>
      <c r="F2719" s="10">
        <v>1713</v>
      </c>
    </row>
    <row r="2720" spans="1:6" x14ac:dyDescent="0.2">
      <c r="A2720" s="10" t="s">
        <v>745</v>
      </c>
      <c r="B2720" s="10" t="s">
        <v>761</v>
      </c>
      <c r="C2720" s="10" t="s">
        <v>47</v>
      </c>
      <c r="D2720" s="10">
        <v>98520</v>
      </c>
      <c r="E2720" s="10" t="s">
        <v>5</v>
      </c>
      <c r="F2720" s="10">
        <v>1741</v>
      </c>
    </row>
    <row r="2721" spans="1:6" x14ac:dyDescent="0.2">
      <c r="A2721" s="10" t="s">
        <v>745</v>
      </c>
      <c r="B2721" s="10" t="s">
        <v>762</v>
      </c>
      <c r="C2721" s="10" t="s">
        <v>47</v>
      </c>
      <c r="D2721" s="10">
        <v>98382</v>
      </c>
      <c r="E2721" s="10" t="s">
        <v>6</v>
      </c>
      <c r="F2721" s="10">
        <v>919</v>
      </c>
    </row>
    <row r="2722" spans="1:6" x14ac:dyDescent="0.2">
      <c r="A2722" s="10" t="s">
        <v>745</v>
      </c>
      <c r="B2722" s="10" t="s">
        <v>758</v>
      </c>
      <c r="C2722" s="10" t="s">
        <v>47</v>
      </c>
      <c r="D2722" s="10">
        <v>99207</v>
      </c>
      <c r="E2722" s="10" t="s">
        <v>8</v>
      </c>
      <c r="F2722" s="10">
        <v>1025</v>
      </c>
    </row>
    <row r="2723" spans="1:6" x14ac:dyDescent="0.2">
      <c r="A2723" s="10" t="s">
        <v>745</v>
      </c>
      <c r="B2723" s="10" t="s">
        <v>308</v>
      </c>
      <c r="C2723" s="10" t="s">
        <v>47</v>
      </c>
      <c r="D2723" s="10">
        <v>98662</v>
      </c>
      <c r="E2723" s="10" t="s">
        <v>6</v>
      </c>
      <c r="F2723" s="10">
        <v>202</v>
      </c>
    </row>
    <row r="2724" spans="1:6" x14ac:dyDescent="0.2">
      <c r="A2724" s="10" t="s">
        <v>763</v>
      </c>
      <c r="B2724" s="10" t="s">
        <v>764</v>
      </c>
      <c r="C2724" s="10" t="s">
        <v>45</v>
      </c>
      <c r="D2724" s="10">
        <v>54701</v>
      </c>
      <c r="E2724" s="10" t="s">
        <v>7</v>
      </c>
      <c r="F2724" s="10">
        <v>805</v>
      </c>
    </row>
    <row r="2725" spans="1:6" x14ac:dyDescent="0.2">
      <c r="A2725" s="10" t="s">
        <v>763</v>
      </c>
      <c r="B2725" s="10" t="s">
        <v>765</v>
      </c>
      <c r="C2725" s="10" t="s">
        <v>45</v>
      </c>
      <c r="D2725" s="10">
        <v>54914</v>
      </c>
      <c r="E2725" s="10" t="s">
        <v>6</v>
      </c>
      <c r="F2725" s="10">
        <v>872</v>
      </c>
    </row>
    <row r="2726" spans="1:6" x14ac:dyDescent="0.2">
      <c r="A2726" s="10" t="s">
        <v>763</v>
      </c>
      <c r="B2726" s="10" t="s">
        <v>764</v>
      </c>
      <c r="C2726" s="10" t="s">
        <v>45</v>
      </c>
      <c r="D2726" s="10">
        <v>54701</v>
      </c>
      <c r="E2726" s="10" t="s">
        <v>8</v>
      </c>
      <c r="F2726" s="10">
        <v>972</v>
      </c>
    </row>
    <row r="2727" spans="1:6" x14ac:dyDescent="0.2">
      <c r="A2727" s="10" t="s">
        <v>763</v>
      </c>
      <c r="B2727" s="10" t="s">
        <v>766</v>
      </c>
      <c r="C2727" s="10" t="s">
        <v>45</v>
      </c>
      <c r="D2727" s="10">
        <v>53704</v>
      </c>
      <c r="E2727" s="10" t="s">
        <v>6</v>
      </c>
      <c r="F2727" s="10">
        <v>959</v>
      </c>
    </row>
    <row r="2728" spans="1:6" x14ac:dyDescent="0.2">
      <c r="A2728" s="10" t="s">
        <v>763</v>
      </c>
      <c r="B2728" s="10" t="s">
        <v>566</v>
      </c>
      <c r="C2728" s="10" t="s">
        <v>45</v>
      </c>
      <c r="D2728" s="10">
        <v>54494</v>
      </c>
      <c r="E2728" s="10" t="s">
        <v>8</v>
      </c>
      <c r="F2728" s="10">
        <v>873</v>
      </c>
    </row>
    <row r="2729" spans="1:6" x14ac:dyDescent="0.2">
      <c r="A2729" s="10" t="s">
        <v>763</v>
      </c>
      <c r="B2729" s="10" t="s">
        <v>767</v>
      </c>
      <c r="C2729" s="10" t="s">
        <v>45</v>
      </c>
      <c r="D2729" s="10">
        <v>53545</v>
      </c>
      <c r="E2729" s="10" t="s">
        <v>7</v>
      </c>
      <c r="F2729" s="10">
        <v>1298</v>
      </c>
    </row>
    <row r="2730" spans="1:6" x14ac:dyDescent="0.2">
      <c r="A2730" s="10" t="s">
        <v>763</v>
      </c>
      <c r="B2730" s="10" t="s">
        <v>768</v>
      </c>
      <c r="C2730" s="10" t="s">
        <v>45</v>
      </c>
      <c r="D2730" s="10">
        <v>53045</v>
      </c>
      <c r="E2730" s="10" t="s">
        <v>8</v>
      </c>
      <c r="F2730" s="10">
        <v>850</v>
      </c>
    </row>
    <row r="2731" spans="1:6" x14ac:dyDescent="0.2">
      <c r="A2731" s="10" t="s">
        <v>763</v>
      </c>
      <c r="B2731" s="10" t="s">
        <v>769</v>
      </c>
      <c r="C2731" s="10" t="s">
        <v>45</v>
      </c>
      <c r="D2731" s="10">
        <v>54915</v>
      </c>
      <c r="E2731" s="10" t="s">
        <v>7</v>
      </c>
      <c r="F2731" s="10">
        <v>2490</v>
      </c>
    </row>
    <row r="2732" spans="1:6" x14ac:dyDescent="0.2">
      <c r="A2732" s="10" t="s">
        <v>763</v>
      </c>
      <c r="B2732" s="10" t="s">
        <v>765</v>
      </c>
      <c r="C2732" s="10" t="s">
        <v>45</v>
      </c>
      <c r="D2732" s="10">
        <v>54914</v>
      </c>
      <c r="E2732" s="10" t="s">
        <v>7</v>
      </c>
      <c r="F2732" s="10">
        <v>777</v>
      </c>
    </row>
    <row r="2733" spans="1:6" x14ac:dyDescent="0.2">
      <c r="A2733" s="10" t="s">
        <v>763</v>
      </c>
      <c r="B2733" s="10" t="s">
        <v>768</v>
      </c>
      <c r="C2733" s="10" t="s">
        <v>45</v>
      </c>
      <c r="D2733" s="10">
        <v>53151</v>
      </c>
      <c r="E2733" s="10" t="s">
        <v>7</v>
      </c>
      <c r="F2733" s="10">
        <v>573</v>
      </c>
    </row>
    <row r="2734" spans="1:6" x14ac:dyDescent="0.2">
      <c r="A2734" s="10" t="s">
        <v>763</v>
      </c>
      <c r="B2734" s="10" t="s">
        <v>770</v>
      </c>
      <c r="C2734" s="10" t="s">
        <v>45</v>
      </c>
      <c r="D2734" s="10">
        <v>53154</v>
      </c>
      <c r="E2734" s="10" t="s">
        <v>7</v>
      </c>
      <c r="F2734" s="10">
        <v>800</v>
      </c>
    </row>
    <row r="2735" spans="1:6" x14ac:dyDescent="0.2">
      <c r="A2735" s="10" t="s">
        <v>763</v>
      </c>
      <c r="B2735" s="10" t="s">
        <v>770</v>
      </c>
      <c r="C2735" s="10" t="s">
        <v>45</v>
      </c>
      <c r="D2735" s="10">
        <v>53213</v>
      </c>
      <c r="E2735" s="10" t="s">
        <v>8</v>
      </c>
      <c r="F2735" s="10">
        <v>42</v>
      </c>
    </row>
    <row r="2736" spans="1:6" x14ac:dyDescent="0.2">
      <c r="A2736" s="10" t="s">
        <v>763</v>
      </c>
      <c r="B2736" s="10" t="s">
        <v>771</v>
      </c>
      <c r="C2736" s="10" t="s">
        <v>45</v>
      </c>
      <c r="D2736" s="10">
        <v>54220</v>
      </c>
      <c r="E2736" s="10" t="s">
        <v>7</v>
      </c>
      <c r="F2736" s="10">
        <v>1559</v>
      </c>
    </row>
    <row r="2737" spans="1:6" x14ac:dyDescent="0.2">
      <c r="A2737" s="10" t="s">
        <v>763</v>
      </c>
      <c r="B2737" s="10" t="s">
        <v>766</v>
      </c>
      <c r="C2737" s="10" t="s">
        <v>45</v>
      </c>
      <c r="D2737" s="10">
        <v>53719</v>
      </c>
      <c r="E2737" s="10" t="s">
        <v>7</v>
      </c>
      <c r="F2737" s="10">
        <v>1317</v>
      </c>
    </row>
    <row r="2738" spans="1:6" x14ac:dyDescent="0.2">
      <c r="A2738" s="10" t="s">
        <v>763</v>
      </c>
      <c r="B2738" s="10" t="s">
        <v>554</v>
      </c>
      <c r="C2738" s="10" t="s">
        <v>45</v>
      </c>
      <c r="D2738" s="10">
        <v>54467</v>
      </c>
      <c r="E2738" s="10" t="s">
        <v>5</v>
      </c>
      <c r="F2738" s="10">
        <v>866</v>
      </c>
    </row>
    <row r="2739" spans="1:6" x14ac:dyDescent="0.2">
      <c r="A2739" s="10" t="s">
        <v>763</v>
      </c>
      <c r="B2739" s="10" t="s">
        <v>770</v>
      </c>
      <c r="C2739" s="10" t="s">
        <v>45</v>
      </c>
      <c r="D2739" s="10">
        <v>53222</v>
      </c>
      <c r="E2739" s="10" t="s">
        <v>7</v>
      </c>
      <c r="F2739" s="10">
        <v>2070</v>
      </c>
    </row>
    <row r="2740" spans="1:6" x14ac:dyDescent="0.2">
      <c r="A2740" s="10" t="s">
        <v>763</v>
      </c>
      <c r="B2740" s="10" t="s">
        <v>766</v>
      </c>
      <c r="C2740" s="10" t="s">
        <v>45</v>
      </c>
      <c r="D2740" s="10">
        <v>53716</v>
      </c>
      <c r="E2740" s="10" t="s">
        <v>5</v>
      </c>
      <c r="F2740" s="10">
        <v>1399</v>
      </c>
    </row>
    <row r="2741" spans="1:6" x14ac:dyDescent="0.2">
      <c r="A2741" s="10" t="s">
        <v>763</v>
      </c>
      <c r="B2741" s="10" t="s">
        <v>766</v>
      </c>
      <c r="C2741" s="10" t="s">
        <v>45</v>
      </c>
      <c r="D2741" s="10">
        <v>53711</v>
      </c>
      <c r="E2741" s="10" t="s">
        <v>6</v>
      </c>
      <c r="F2741" s="10">
        <v>1204</v>
      </c>
    </row>
    <row r="2742" spans="1:6" x14ac:dyDescent="0.2">
      <c r="A2742" s="10" t="s">
        <v>763</v>
      </c>
      <c r="B2742" s="10" t="s">
        <v>766</v>
      </c>
      <c r="C2742" s="10" t="s">
        <v>45</v>
      </c>
      <c r="D2742" s="10">
        <v>53705</v>
      </c>
      <c r="E2742" s="10" t="s">
        <v>10</v>
      </c>
      <c r="F2742" s="10">
        <v>574</v>
      </c>
    </row>
    <row r="2743" spans="1:6" x14ac:dyDescent="0.2">
      <c r="A2743" s="10" t="s">
        <v>763</v>
      </c>
      <c r="B2743" s="10" t="s">
        <v>768</v>
      </c>
      <c r="C2743" s="10" t="s">
        <v>45</v>
      </c>
      <c r="D2743" s="10">
        <v>53051</v>
      </c>
      <c r="E2743" s="10" t="s">
        <v>7</v>
      </c>
      <c r="F2743" s="10">
        <v>1372</v>
      </c>
    </row>
    <row r="2744" spans="1:6" x14ac:dyDescent="0.2">
      <c r="A2744" s="10" t="s">
        <v>763</v>
      </c>
      <c r="B2744" s="10" t="s">
        <v>768</v>
      </c>
      <c r="C2744" s="10" t="s">
        <v>45</v>
      </c>
      <c r="D2744" s="10">
        <v>53005</v>
      </c>
      <c r="E2744" s="10" t="s">
        <v>6</v>
      </c>
      <c r="F2744" s="10">
        <v>1669</v>
      </c>
    </row>
    <row r="2745" spans="1:6" x14ac:dyDescent="0.2">
      <c r="A2745" s="10" t="s">
        <v>763</v>
      </c>
      <c r="B2745" s="10" t="s">
        <v>767</v>
      </c>
      <c r="C2745" s="10" t="s">
        <v>45</v>
      </c>
      <c r="D2745" s="10">
        <v>53511</v>
      </c>
      <c r="E2745" s="10" t="s">
        <v>8</v>
      </c>
      <c r="F2745" s="10">
        <v>296</v>
      </c>
    </row>
    <row r="2746" spans="1:6" x14ac:dyDescent="0.2">
      <c r="A2746" s="10" t="s">
        <v>763</v>
      </c>
      <c r="B2746" s="10" t="s">
        <v>770</v>
      </c>
      <c r="C2746" s="10" t="s">
        <v>45</v>
      </c>
      <c r="D2746" s="10">
        <v>53227</v>
      </c>
      <c r="E2746" s="10" t="s">
        <v>7</v>
      </c>
      <c r="F2746" s="10">
        <v>2502</v>
      </c>
    </row>
    <row r="2747" spans="1:6" x14ac:dyDescent="0.2">
      <c r="A2747" s="10" t="s">
        <v>763</v>
      </c>
      <c r="B2747" s="10" t="s">
        <v>772</v>
      </c>
      <c r="C2747" s="10" t="s">
        <v>45</v>
      </c>
      <c r="D2747" s="10">
        <v>53024</v>
      </c>
      <c r="E2747" s="10" t="s">
        <v>7</v>
      </c>
      <c r="F2747" s="10">
        <v>790</v>
      </c>
    </row>
    <row r="2748" spans="1:6" x14ac:dyDescent="0.2">
      <c r="A2748" s="10" t="s">
        <v>763</v>
      </c>
      <c r="B2748" s="10" t="s">
        <v>770</v>
      </c>
      <c r="C2748" s="10" t="s">
        <v>45</v>
      </c>
      <c r="D2748" s="10">
        <v>53221</v>
      </c>
      <c r="E2748" s="10" t="s">
        <v>6</v>
      </c>
      <c r="F2748" s="10">
        <v>1671</v>
      </c>
    </row>
    <row r="2749" spans="1:6" x14ac:dyDescent="0.2">
      <c r="A2749" s="10" t="s">
        <v>763</v>
      </c>
      <c r="B2749" s="10" t="s">
        <v>768</v>
      </c>
      <c r="C2749" s="10" t="s">
        <v>45</v>
      </c>
      <c r="D2749" s="10">
        <v>53018</v>
      </c>
      <c r="E2749" s="10" t="s">
        <v>7</v>
      </c>
      <c r="F2749" s="10">
        <v>989</v>
      </c>
    </row>
    <row r="2750" spans="1:6" x14ac:dyDescent="0.2">
      <c r="A2750" s="10" t="s">
        <v>763</v>
      </c>
      <c r="B2750" s="10" t="s">
        <v>770</v>
      </c>
      <c r="C2750" s="10" t="s">
        <v>45</v>
      </c>
      <c r="D2750" s="10">
        <v>53217</v>
      </c>
      <c r="E2750" s="10" t="s">
        <v>10</v>
      </c>
      <c r="F2750" s="10">
        <v>284</v>
      </c>
    </row>
    <row r="2751" spans="1:6" x14ac:dyDescent="0.2">
      <c r="A2751" s="10" t="s">
        <v>763</v>
      </c>
      <c r="B2751" s="10" t="s">
        <v>770</v>
      </c>
      <c r="C2751" s="10" t="s">
        <v>45</v>
      </c>
      <c r="D2751" s="10">
        <v>53212</v>
      </c>
      <c r="E2751" s="10" t="s">
        <v>6</v>
      </c>
      <c r="F2751" s="10">
        <v>694</v>
      </c>
    </row>
    <row r="2752" spans="1:6" x14ac:dyDescent="0.2">
      <c r="A2752" s="10" t="s">
        <v>763</v>
      </c>
      <c r="B2752" s="10" t="s">
        <v>770</v>
      </c>
      <c r="C2752" s="10" t="s">
        <v>45</v>
      </c>
      <c r="D2752" s="10">
        <v>53209</v>
      </c>
      <c r="E2752" s="10" t="s">
        <v>6</v>
      </c>
      <c r="F2752" s="10">
        <v>1445</v>
      </c>
    </row>
    <row r="2753" spans="1:6" x14ac:dyDescent="0.2">
      <c r="A2753" s="10" t="s">
        <v>763</v>
      </c>
      <c r="B2753" s="10" t="s">
        <v>772</v>
      </c>
      <c r="C2753" s="10" t="s">
        <v>45</v>
      </c>
      <c r="D2753" s="10">
        <v>53092</v>
      </c>
      <c r="E2753" s="10" t="s">
        <v>8</v>
      </c>
      <c r="F2753" s="10">
        <v>140</v>
      </c>
    </row>
    <row r="2754" spans="1:6" x14ac:dyDescent="0.2">
      <c r="A2754" s="10" t="s">
        <v>763</v>
      </c>
      <c r="B2754" s="10" t="s">
        <v>768</v>
      </c>
      <c r="C2754" s="10" t="s">
        <v>45</v>
      </c>
      <c r="D2754" s="10">
        <v>53072</v>
      </c>
      <c r="E2754" s="10" t="s">
        <v>6</v>
      </c>
      <c r="F2754" s="10">
        <v>1040</v>
      </c>
    </row>
    <row r="2755" spans="1:6" x14ac:dyDescent="0.2">
      <c r="A2755" s="10" t="s">
        <v>763</v>
      </c>
      <c r="B2755" s="10" t="s">
        <v>768</v>
      </c>
      <c r="C2755" s="10" t="s">
        <v>45</v>
      </c>
      <c r="D2755" s="10">
        <v>53045</v>
      </c>
      <c r="E2755" s="10" t="s">
        <v>10</v>
      </c>
      <c r="F2755" s="10">
        <v>1754</v>
      </c>
    </row>
    <row r="2756" spans="1:6" x14ac:dyDescent="0.2">
      <c r="A2756" s="10" t="s">
        <v>763</v>
      </c>
      <c r="B2756" s="10" t="s">
        <v>282</v>
      </c>
      <c r="C2756" s="10" t="s">
        <v>46</v>
      </c>
      <c r="D2756" s="10">
        <v>54901</v>
      </c>
      <c r="E2756" s="10" t="s">
        <v>8</v>
      </c>
      <c r="F2756" s="10">
        <v>506</v>
      </c>
    </row>
    <row r="2757" spans="1:6" x14ac:dyDescent="0.2">
      <c r="A2757" s="10" t="s">
        <v>763</v>
      </c>
      <c r="B2757" s="10" t="s">
        <v>773</v>
      </c>
      <c r="C2757" s="10" t="s">
        <v>46</v>
      </c>
      <c r="D2757" s="10">
        <v>53142</v>
      </c>
      <c r="E2757" s="10" t="s">
        <v>7</v>
      </c>
      <c r="F2757" s="10">
        <v>745</v>
      </c>
    </row>
    <row r="2758" spans="1:6" x14ac:dyDescent="0.2">
      <c r="A2758" s="10" t="s">
        <v>763</v>
      </c>
      <c r="B2758" s="10" t="s">
        <v>282</v>
      </c>
      <c r="C2758" s="10" t="s">
        <v>46</v>
      </c>
      <c r="D2758" s="10">
        <v>54902</v>
      </c>
      <c r="E2758" s="10" t="s">
        <v>7</v>
      </c>
      <c r="F2758" s="10">
        <v>2047</v>
      </c>
    </row>
    <row r="2759" spans="1:6" x14ac:dyDescent="0.2">
      <c r="A2759" s="10" t="s">
        <v>763</v>
      </c>
      <c r="B2759" s="10" t="s">
        <v>774</v>
      </c>
      <c r="C2759" s="10" t="s">
        <v>46</v>
      </c>
      <c r="D2759" s="10">
        <v>54868</v>
      </c>
      <c r="E2759" s="10" t="s">
        <v>7</v>
      </c>
      <c r="F2759" s="10">
        <v>403</v>
      </c>
    </row>
    <row r="2760" spans="1:6" x14ac:dyDescent="0.2">
      <c r="A2760" s="10" t="s">
        <v>763</v>
      </c>
      <c r="B2760" s="10" t="s">
        <v>775</v>
      </c>
      <c r="C2760" s="10" t="s">
        <v>46</v>
      </c>
      <c r="D2760" s="10">
        <v>54935</v>
      </c>
      <c r="E2760" s="10" t="s">
        <v>8</v>
      </c>
      <c r="F2760" s="10">
        <v>85</v>
      </c>
    </row>
    <row r="2761" spans="1:6" x14ac:dyDescent="0.2">
      <c r="A2761" s="10" t="s">
        <v>763</v>
      </c>
      <c r="B2761" s="10" t="s">
        <v>82</v>
      </c>
      <c r="C2761" s="10" t="s">
        <v>46</v>
      </c>
      <c r="D2761" s="10">
        <v>53095</v>
      </c>
      <c r="E2761" s="10" t="s">
        <v>7</v>
      </c>
      <c r="F2761" s="10">
        <v>602</v>
      </c>
    </row>
    <row r="2762" spans="1:6" x14ac:dyDescent="0.2">
      <c r="A2762" s="10" t="s">
        <v>763</v>
      </c>
      <c r="B2762" s="10" t="s">
        <v>481</v>
      </c>
      <c r="C2762" s="10" t="s">
        <v>47</v>
      </c>
      <c r="D2762" s="10">
        <v>53916</v>
      </c>
      <c r="E2762" s="10" t="s">
        <v>5</v>
      </c>
      <c r="F2762" s="10">
        <v>188</v>
      </c>
    </row>
    <row r="2763" spans="1:6" x14ac:dyDescent="0.2">
      <c r="A2763" s="10" t="s">
        <v>763</v>
      </c>
      <c r="B2763" s="10" t="s">
        <v>776</v>
      </c>
      <c r="C2763" s="10" t="s">
        <v>47</v>
      </c>
      <c r="D2763" s="10">
        <v>53406</v>
      </c>
      <c r="E2763" s="10" t="s">
        <v>6</v>
      </c>
      <c r="F2763" s="10">
        <v>1685</v>
      </c>
    </row>
    <row r="2764" spans="1:6" x14ac:dyDescent="0.2">
      <c r="A2764" s="10" t="s">
        <v>763</v>
      </c>
      <c r="B2764" s="10" t="s">
        <v>777</v>
      </c>
      <c r="C2764" s="10" t="s">
        <v>47</v>
      </c>
      <c r="D2764" s="10">
        <v>54601</v>
      </c>
      <c r="E2764" s="10" t="s">
        <v>6</v>
      </c>
      <c r="F2764" s="10">
        <v>2212</v>
      </c>
    </row>
    <row r="2765" spans="1:6" x14ac:dyDescent="0.2">
      <c r="A2765" s="10" t="s">
        <v>763</v>
      </c>
      <c r="B2765" s="10" t="s">
        <v>778</v>
      </c>
      <c r="C2765" s="10" t="s">
        <v>47</v>
      </c>
      <c r="D2765" s="10">
        <v>54401</v>
      </c>
      <c r="E2765" s="10" t="s">
        <v>7</v>
      </c>
      <c r="F2765" s="10">
        <v>1213</v>
      </c>
    </row>
    <row r="2766" spans="1:6" x14ac:dyDescent="0.2">
      <c r="A2766" s="10" t="s">
        <v>763</v>
      </c>
      <c r="B2766" s="10" t="s">
        <v>637</v>
      </c>
      <c r="C2766" s="10" t="s">
        <v>47</v>
      </c>
      <c r="D2766" s="10">
        <v>54304</v>
      </c>
      <c r="E2766" s="10" t="s">
        <v>8</v>
      </c>
      <c r="F2766" s="10">
        <v>767</v>
      </c>
    </row>
    <row r="2767" spans="1:6" x14ac:dyDescent="0.2">
      <c r="A2767" s="10" t="s">
        <v>763</v>
      </c>
      <c r="B2767" s="10" t="s">
        <v>637</v>
      </c>
      <c r="C2767" s="10" t="s">
        <v>47</v>
      </c>
      <c r="D2767" s="10">
        <v>54304</v>
      </c>
      <c r="E2767" s="10" t="s">
        <v>7</v>
      </c>
      <c r="F2767" s="10">
        <v>1734</v>
      </c>
    </row>
    <row r="2768" spans="1:6" x14ac:dyDescent="0.2">
      <c r="A2768" s="10" t="s">
        <v>763</v>
      </c>
      <c r="B2768" s="10" t="s">
        <v>637</v>
      </c>
      <c r="C2768" s="10" t="s">
        <v>47</v>
      </c>
      <c r="D2768" s="10">
        <v>54302</v>
      </c>
      <c r="E2768" s="10" t="s">
        <v>7</v>
      </c>
      <c r="F2768" s="10">
        <v>817</v>
      </c>
    </row>
    <row r="2769" spans="1:6" x14ac:dyDescent="0.2">
      <c r="A2769" s="10" t="s">
        <v>763</v>
      </c>
      <c r="B2769" s="10" t="s">
        <v>779</v>
      </c>
      <c r="C2769" s="10" t="s">
        <v>47</v>
      </c>
      <c r="D2769" s="10">
        <v>53081</v>
      </c>
      <c r="E2769" s="10" t="s">
        <v>7</v>
      </c>
      <c r="F2769" s="10">
        <v>1208</v>
      </c>
    </row>
    <row r="2770" spans="1:6" x14ac:dyDescent="0.2">
      <c r="A2770" s="10" t="s">
        <v>763</v>
      </c>
      <c r="B2770" s="10" t="s">
        <v>777</v>
      </c>
      <c r="C2770" s="10" t="s">
        <v>47</v>
      </c>
      <c r="D2770" s="10">
        <v>54601</v>
      </c>
      <c r="E2770" s="10" t="s">
        <v>8</v>
      </c>
      <c r="F2770" s="10">
        <v>149</v>
      </c>
    </row>
    <row r="2771" spans="1:6" x14ac:dyDescent="0.2">
      <c r="A2771" s="10" t="s">
        <v>780</v>
      </c>
      <c r="B2771" s="10" t="s">
        <v>566</v>
      </c>
      <c r="C2771" s="10" t="s">
        <v>45</v>
      </c>
      <c r="D2771" s="10">
        <v>26105</v>
      </c>
      <c r="E2771" s="10" t="s">
        <v>6</v>
      </c>
      <c r="F2771" s="10">
        <v>1552</v>
      </c>
    </row>
    <row r="2772" spans="1:6" x14ac:dyDescent="0.2">
      <c r="A2772" s="10" t="s">
        <v>780</v>
      </c>
      <c r="B2772" s="10" t="s">
        <v>435</v>
      </c>
      <c r="C2772" s="10" t="s">
        <v>45</v>
      </c>
      <c r="D2772" s="10">
        <v>26301</v>
      </c>
      <c r="E2772" s="10" t="s">
        <v>5</v>
      </c>
      <c r="F2772" s="10">
        <v>1555</v>
      </c>
    </row>
    <row r="2773" spans="1:6" x14ac:dyDescent="0.2">
      <c r="A2773" s="10" t="s">
        <v>780</v>
      </c>
      <c r="B2773" s="10" t="s">
        <v>781</v>
      </c>
      <c r="C2773" s="10" t="s">
        <v>45</v>
      </c>
      <c r="D2773" s="10">
        <v>26505</v>
      </c>
      <c r="E2773" s="10" t="s">
        <v>6</v>
      </c>
      <c r="F2773" s="10">
        <v>975</v>
      </c>
    </row>
    <row r="2774" spans="1:6" x14ac:dyDescent="0.2">
      <c r="A2774" s="10" t="s">
        <v>780</v>
      </c>
      <c r="B2774" s="10" t="s">
        <v>782</v>
      </c>
      <c r="C2774" s="10" t="s">
        <v>46</v>
      </c>
      <c r="D2774" s="10">
        <v>25313</v>
      </c>
      <c r="E2774" s="10" t="s">
        <v>5</v>
      </c>
      <c r="F2774" s="10">
        <v>1575</v>
      </c>
    </row>
    <row r="2775" spans="1:6" x14ac:dyDescent="0.2">
      <c r="A2775" s="10" t="s">
        <v>780</v>
      </c>
      <c r="B2775" s="10" t="s">
        <v>782</v>
      </c>
      <c r="C2775" s="10" t="s">
        <v>46</v>
      </c>
      <c r="D2775" s="10">
        <v>25309</v>
      </c>
      <c r="E2775" s="10" t="s">
        <v>7</v>
      </c>
      <c r="F2775" s="10">
        <v>945</v>
      </c>
    </row>
    <row r="2776" spans="1:6" x14ac:dyDescent="0.2">
      <c r="A2776" s="10" t="s">
        <v>780</v>
      </c>
      <c r="B2776" s="10" t="s">
        <v>622</v>
      </c>
      <c r="C2776" s="10" t="s">
        <v>46</v>
      </c>
      <c r="D2776" s="10">
        <v>25401</v>
      </c>
      <c r="E2776" s="10" t="s">
        <v>7</v>
      </c>
      <c r="F2776" s="10">
        <v>1526</v>
      </c>
    </row>
    <row r="2777" spans="1:6" x14ac:dyDescent="0.2">
      <c r="A2777" s="10" t="s">
        <v>780</v>
      </c>
      <c r="B2777" s="10" t="s">
        <v>783</v>
      </c>
      <c r="C2777" s="10" t="s">
        <v>47</v>
      </c>
      <c r="D2777" s="10">
        <v>25504</v>
      </c>
      <c r="E2777" s="10" t="s">
        <v>6</v>
      </c>
      <c r="F2777" s="10">
        <v>336</v>
      </c>
    </row>
    <row r="2778" spans="1:6" x14ac:dyDescent="0.2">
      <c r="A2778" s="10" t="s">
        <v>780</v>
      </c>
      <c r="B2778" s="10" t="s">
        <v>784</v>
      </c>
      <c r="C2778" s="10" t="s">
        <v>47</v>
      </c>
      <c r="D2778" s="10">
        <v>25801</v>
      </c>
      <c r="E2778" s="10" t="s">
        <v>5</v>
      </c>
      <c r="F2778" s="10">
        <v>723</v>
      </c>
    </row>
    <row r="2779" spans="1:6" x14ac:dyDescent="0.2">
      <c r="A2779" s="10" t="s">
        <v>785</v>
      </c>
      <c r="B2779" s="10" t="s">
        <v>786</v>
      </c>
      <c r="C2779" s="10" t="s">
        <v>45</v>
      </c>
      <c r="D2779" s="10">
        <v>82609</v>
      </c>
      <c r="E2779" s="10" t="s">
        <v>5</v>
      </c>
      <c r="F2779" s="10">
        <v>665</v>
      </c>
    </row>
    <row r="2780" spans="1:6" x14ac:dyDescent="0.2">
      <c r="A2780" s="10" t="s">
        <v>785</v>
      </c>
      <c r="B2780" s="10" t="s">
        <v>787</v>
      </c>
      <c r="C2780" s="10" t="s">
        <v>46</v>
      </c>
      <c r="D2780" s="10">
        <v>83001</v>
      </c>
      <c r="E2780" s="10" t="s">
        <v>5</v>
      </c>
      <c r="F2780" s="10">
        <v>382</v>
      </c>
    </row>
    <row r="2781" spans="1:6" x14ac:dyDescent="0.2">
      <c r="A2781" s="10" t="s">
        <v>785</v>
      </c>
      <c r="B2781" s="10" t="s">
        <v>323</v>
      </c>
      <c r="C2781" s="10" t="s">
        <v>46</v>
      </c>
      <c r="D2781" s="10">
        <v>82718</v>
      </c>
      <c r="E2781" s="10" t="s">
        <v>6</v>
      </c>
      <c r="F2781" s="10">
        <v>2642</v>
      </c>
    </row>
    <row r="2782" spans="1:6" x14ac:dyDescent="0.2">
      <c r="A2782" s="10" t="s">
        <v>785</v>
      </c>
      <c r="B2782" s="10" t="s">
        <v>788</v>
      </c>
      <c r="C2782" s="10" t="s">
        <v>47</v>
      </c>
      <c r="D2782" s="10">
        <v>82901</v>
      </c>
      <c r="E2782" s="10" t="s">
        <v>5</v>
      </c>
      <c r="F2782" s="10">
        <v>425</v>
      </c>
    </row>
  </sheetData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BB79-9268-0149-84A8-6B4A7BF97DB7}">
  <dimension ref="A1:H67"/>
  <sheetViews>
    <sheetView workbookViewId="0">
      <selection sqref="A1:A67"/>
    </sheetView>
  </sheetViews>
  <sheetFormatPr baseColWidth="10" defaultRowHeight="16" x14ac:dyDescent="0.2"/>
  <sheetData>
    <row r="1" spans="1:8" x14ac:dyDescent="0.2">
      <c r="A1" t="s">
        <v>197</v>
      </c>
      <c r="H1" s="12"/>
    </row>
    <row r="2" spans="1:8" x14ac:dyDescent="0.2">
      <c r="A2" t="s">
        <v>1168</v>
      </c>
      <c r="H2" s="12"/>
    </row>
    <row r="3" spans="1:8" x14ac:dyDescent="0.2">
      <c r="A3" t="s">
        <v>192</v>
      </c>
      <c r="H3" s="12"/>
    </row>
    <row r="4" spans="1:8" x14ac:dyDescent="0.2">
      <c r="A4" t="s">
        <v>1169</v>
      </c>
    </row>
    <row r="5" spans="1:8" x14ac:dyDescent="0.2">
      <c r="A5" t="s">
        <v>201</v>
      </c>
    </row>
    <row r="6" spans="1:8" x14ac:dyDescent="0.2">
      <c r="A6" t="s">
        <v>198</v>
      </c>
      <c r="H6" s="12"/>
    </row>
    <row r="7" spans="1:8" x14ac:dyDescent="0.2">
      <c r="A7" t="s">
        <v>67</v>
      </c>
      <c r="H7" s="12"/>
    </row>
    <row r="8" spans="1:8" x14ac:dyDescent="0.2">
      <c r="A8" t="s">
        <v>175</v>
      </c>
      <c r="H8" s="12"/>
    </row>
    <row r="9" spans="1:8" x14ac:dyDescent="0.2">
      <c r="A9" t="s">
        <v>180</v>
      </c>
      <c r="H9" s="12"/>
    </row>
    <row r="10" spans="1:8" x14ac:dyDescent="0.2">
      <c r="A10" t="s">
        <v>207</v>
      </c>
      <c r="H10" s="12"/>
    </row>
    <row r="11" spans="1:8" x14ac:dyDescent="0.2">
      <c r="A11" t="s">
        <v>190</v>
      </c>
      <c r="H11" s="12"/>
    </row>
    <row r="12" spans="1:8" x14ac:dyDescent="0.2">
      <c r="A12" t="s">
        <v>194</v>
      </c>
      <c r="H12" s="12"/>
    </row>
    <row r="13" spans="1:8" x14ac:dyDescent="0.2">
      <c r="A13" t="s">
        <v>430</v>
      </c>
      <c r="H13" s="12"/>
    </row>
    <row r="14" spans="1:8" x14ac:dyDescent="0.2">
      <c r="A14" t="s">
        <v>1170</v>
      </c>
      <c r="H14" s="12"/>
    </row>
    <row r="15" spans="1:8" x14ac:dyDescent="0.2">
      <c r="A15" t="s">
        <v>191</v>
      </c>
      <c r="H15" s="12"/>
    </row>
    <row r="16" spans="1:8" x14ac:dyDescent="0.2">
      <c r="A16" t="s">
        <v>177</v>
      </c>
      <c r="H16" s="12"/>
    </row>
    <row r="17" spans="1:8" x14ac:dyDescent="0.2">
      <c r="A17" t="s">
        <v>182</v>
      </c>
      <c r="H17" s="12"/>
    </row>
    <row r="18" spans="1:8" x14ac:dyDescent="0.2">
      <c r="A18" t="s">
        <v>328</v>
      </c>
      <c r="H18" s="12"/>
    </row>
    <row r="19" spans="1:8" x14ac:dyDescent="0.2">
      <c r="A19" t="s">
        <v>1171</v>
      </c>
      <c r="H19" s="12"/>
    </row>
    <row r="20" spans="1:8" x14ac:dyDescent="0.2">
      <c r="A20" t="s">
        <v>1172</v>
      </c>
      <c r="H20" s="12"/>
    </row>
    <row r="21" spans="1:8" x14ac:dyDescent="0.2">
      <c r="A21" t="s">
        <v>1173</v>
      </c>
      <c r="H21" s="12"/>
    </row>
    <row r="22" spans="1:8" x14ac:dyDescent="0.2">
      <c r="A22" t="s">
        <v>1174</v>
      </c>
      <c r="H22" s="12"/>
    </row>
    <row r="23" spans="1:8" x14ac:dyDescent="0.2">
      <c r="A23" t="s">
        <v>296</v>
      </c>
      <c r="H23" s="12"/>
    </row>
    <row r="24" spans="1:8" x14ac:dyDescent="0.2">
      <c r="A24" t="s">
        <v>1175</v>
      </c>
      <c r="H24" s="12"/>
    </row>
    <row r="25" spans="1:8" x14ac:dyDescent="0.2">
      <c r="A25" t="s">
        <v>1176</v>
      </c>
      <c r="H25" s="12"/>
    </row>
    <row r="26" spans="1:8" x14ac:dyDescent="0.2">
      <c r="A26" t="s">
        <v>183</v>
      </c>
    </row>
    <row r="27" spans="1:8" x14ac:dyDescent="0.2">
      <c r="A27" t="s">
        <v>203</v>
      </c>
      <c r="H27" s="12"/>
    </row>
    <row r="28" spans="1:8" x14ac:dyDescent="0.2">
      <c r="A28" t="s">
        <v>187</v>
      </c>
      <c r="H28" s="12"/>
    </row>
    <row r="29" spans="1:8" x14ac:dyDescent="0.2">
      <c r="A29" t="s">
        <v>1177</v>
      </c>
      <c r="H29" s="12"/>
    </row>
    <row r="30" spans="1:8" x14ac:dyDescent="0.2">
      <c r="A30" t="s">
        <v>173</v>
      </c>
      <c r="H30" s="12"/>
    </row>
    <row r="31" spans="1:8" x14ac:dyDescent="0.2">
      <c r="A31" t="s">
        <v>285</v>
      </c>
      <c r="H31" s="12"/>
    </row>
    <row r="32" spans="1:8" x14ac:dyDescent="0.2">
      <c r="A32" t="s">
        <v>75</v>
      </c>
      <c r="H32" s="12"/>
    </row>
    <row r="33" spans="1:8" x14ac:dyDescent="0.2">
      <c r="A33" t="s">
        <v>431</v>
      </c>
      <c r="H33" s="12"/>
    </row>
    <row r="34" spans="1:8" x14ac:dyDescent="0.2">
      <c r="A34" t="s">
        <v>174</v>
      </c>
      <c r="H34" s="12"/>
    </row>
    <row r="35" spans="1:8" x14ac:dyDescent="0.2">
      <c r="A35" t="s">
        <v>76</v>
      </c>
      <c r="H35" s="12"/>
    </row>
    <row r="36" spans="1:8" x14ac:dyDescent="0.2">
      <c r="A36" t="s">
        <v>204</v>
      </c>
      <c r="H36" s="12"/>
    </row>
    <row r="37" spans="1:8" x14ac:dyDescent="0.2">
      <c r="A37" t="s">
        <v>1178</v>
      </c>
      <c r="H37" s="12"/>
    </row>
    <row r="38" spans="1:8" x14ac:dyDescent="0.2">
      <c r="A38" t="s">
        <v>892</v>
      </c>
      <c r="H38" s="12"/>
    </row>
    <row r="39" spans="1:8" x14ac:dyDescent="0.2">
      <c r="A39" t="s">
        <v>62</v>
      </c>
      <c r="H39" s="12"/>
    </row>
    <row r="40" spans="1:8" x14ac:dyDescent="0.2">
      <c r="A40" t="s">
        <v>195</v>
      </c>
      <c r="H40" s="12"/>
    </row>
    <row r="41" spans="1:8" x14ac:dyDescent="0.2">
      <c r="A41" t="s">
        <v>205</v>
      </c>
      <c r="H41" s="12"/>
    </row>
    <row r="42" spans="1:8" x14ac:dyDescent="0.2">
      <c r="A42" t="s">
        <v>193</v>
      </c>
      <c r="H42" s="12"/>
    </row>
    <row r="43" spans="1:8" x14ac:dyDescent="0.2">
      <c r="A43" t="s">
        <v>185</v>
      </c>
    </row>
    <row r="44" spans="1:8" x14ac:dyDescent="0.2">
      <c r="A44" t="s">
        <v>178</v>
      </c>
      <c r="H44" s="12"/>
    </row>
    <row r="45" spans="1:8" x14ac:dyDescent="0.2">
      <c r="A45" t="s">
        <v>181</v>
      </c>
      <c r="H45" s="12"/>
    </row>
    <row r="46" spans="1:8" x14ac:dyDescent="0.2">
      <c r="A46" t="s">
        <v>202</v>
      </c>
      <c r="H46" s="12"/>
    </row>
    <row r="47" spans="1:8" x14ac:dyDescent="0.2">
      <c r="A47" t="s">
        <v>1179</v>
      </c>
      <c r="H47" s="12"/>
    </row>
    <row r="48" spans="1:8" x14ac:dyDescent="0.2">
      <c r="A48" t="s">
        <v>112</v>
      </c>
    </row>
    <row r="49" spans="1:8" x14ac:dyDescent="0.2">
      <c r="A49" t="s">
        <v>179</v>
      </c>
      <c r="H49" s="12"/>
    </row>
    <row r="50" spans="1:8" x14ac:dyDescent="0.2">
      <c r="A50" t="s">
        <v>196</v>
      </c>
      <c r="H50" s="12"/>
    </row>
    <row r="51" spans="1:8" x14ac:dyDescent="0.2">
      <c r="A51" t="s">
        <v>199</v>
      </c>
      <c r="H51" s="12"/>
    </row>
    <row r="52" spans="1:8" x14ac:dyDescent="0.2">
      <c r="A52" t="s">
        <v>186</v>
      </c>
      <c r="H52" s="12"/>
    </row>
    <row r="53" spans="1:8" x14ac:dyDescent="0.2">
      <c r="A53" t="s">
        <v>176</v>
      </c>
      <c r="H53" s="12"/>
    </row>
    <row r="54" spans="1:8" x14ac:dyDescent="0.2">
      <c r="A54" t="s">
        <v>184</v>
      </c>
      <c r="H54" s="12"/>
    </row>
    <row r="55" spans="1:8" x14ac:dyDescent="0.2">
      <c r="A55" t="s">
        <v>208</v>
      </c>
      <c r="H55" s="12"/>
    </row>
    <row r="56" spans="1:8" x14ac:dyDescent="0.2">
      <c r="A56" t="s">
        <v>188</v>
      </c>
      <c r="H56" s="12"/>
    </row>
    <row r="57" spans="1:8" x14ac:dyDescent="0.2">
      <c r="A57" t="s">
        <v>189</v>
      </c>
      <c r="H57" s="12"/>
    </row>
    <row r="58" spans="1:8" x14ac:dyDescent="0.2">
      <c r="A58" t="s">
        <v>172</v>
      </c>
      <c r="H58" s="12"/>
    </row>
    <row r="59" spans="1:8" x14ac:dyDescent="0.2">
      <c r="A59" t="s">
        <v>200</v>
      </c>
      <c r="H59" s="12"/>
    </row>
    <row r="60" spans="1:8" x14ac:dyDescent="0.2">
      <c r="A60" t="s">
        <v>627</v>
      </c>
      <c r="H60" s="12"/>
    </row>
    <row r="61" spans="1:8" x14ac:dyDescent="0.2">
      <c r="A61" t="s">
        <v>1180</v>
      </c>
      <c r="H61" s="12"/>
    </row>
    <row r="62" spans="1:8" x14ac:dyDescent="0.2">
      <c r="A62" t="s">
        <v>691</v>
      </c>
      <c r="H62" s="12"/>
    </row>
    <row r="63" spans="1:8" x14ac:dyDescent="0.2">
      <c r="A63" t="s">
        <v>88</v>
      </c>
      <c r="H63" s="12"/>
    </row>
    <row r="64" spans="1:8" x14ac:dyDescent="0.2">
      <c r="A64" t="s">
        <v>206</v>
      </c>
      <c r="H64" s="12"/>
    </row>
    <row r="65" spans="1:8" x14ac:dyDescent="0.2">
      <c r="A65" t="s">
        <v>1181</v>
      </c>
      <c r="H65" s="12"/>
    </row>
    <row r="66" spans="1:8" x14ac:dyDescent="0.2">
      <c r="A66" t="s">
        <v>1182</v>
      </c>
      <c r="H66" s="12"/>
    </row>
    <row r="67" spans="1:8" x14ac:dyDescent="0.2">
      <c r="A67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006A-EB58-3640-A2AE-2B29F18F76AA}">
  <dimension ref="A1:G524"/>
  <sheetViews>
    <sheetView workbookViewId="0">
      <selection activeCell="A2" sqref="A2"/>
    </sheetView>
  </sheetViews>
  <sheetFormatPr baseColWidth="10" defaultRowHeight="16" x14ac:dyDescent="0.2"/>
  <sheetData>
    <row r="1" spans="1:7" x14ac:dyDescent="0.2">
      <c r="A1" t="s">
        <v>623</v>
      </c>
      <c r="G1" s="12"/>
    </row>
    <row r="2" spans="1:7" x14ac:dyDescent="0.2">
      <c r="A2" t="s">
        <v>959</v>
      </c>
    </row>
    <row r="3" spans="1:7" x14ac:dyDescent="0.2">
      <c r="A3" t="s">
        <v>796</v>
      </c>
      <c r="G3" s="12"/>
    </row>
    <row r="4" spans="1:7" x14ac:dyDescent="0.2">
      <c r="A4" t="s">
        <v>960</v>
      </c>
    </row>
    <row r="5" spans="1:7" x14ac:dyDescent="0.2">
      <c r="A5" t="s">
        <v>682</v>
      </c>
      <c r="G5" s="12"/>
    </row>
    <row r="6" spans="1:7" x14ac:dyDescent="0.2">
      <c r="A6" t="s">
        <v>961</v>
      </c>
    </row>
    <row r="7" spans="1:7" x14ac:dyDescent="0.2">
      <c r="A7" t="s">
        <v>797</v>
      </c>
      <c r="G7" s="12"/>
    </row>
    <row r="8" spans="1:7" x14ac:dyDescent="0.2">
      <c r="A8" t="s">
        <v>962</v>
      </c>
    </row>
    <row r="9" spans="1:7" x14ac:dyDescent="0.2">
      <c r="A9" t="s">
        <v>799</v>
      </c>
      <c r="G9" s="12"/>
    </row>
    <row r="10" spans="1:7" x14ac:dyDescent="0.2">
      <c r="A10" t="s">
        <v>963</v>
      </c>
    </row>
    <row r="11" spans="1:7" x14ac:dyDescent="0.2">
      <c r="A11" t="s">
        <v>801</v>
      </c>
      <c r="G11" s="12"/>
    </row>
    <row r="12" spans="1:7" x14ac:dyDescent="0.2">
      <c r="A12" t="s">
        <v>964</v>
      </c>
    </row>
    <row r="13" spans="1:7" x14ac:dyDescent="0.2">
      <c r="A13" t="s">
        <v>802</v>
      </c>
      <c r="G13" s="12"/>
    </row>
    <row r="14" spans="1:7" x14ac:dyDescent="0.2">
      <c r="A14" t="s">
        <v>965</v>
      </c>
    </row>
    <row r="15" spans="1:7" x14ac:dyDescent="0.2">
      <c r="A15" t="s">
        <v>803</v>
      </c>
      <c r="G15" s="12"/>
    </row>
    <row r="16" spans="1:7" x14ac:dyDescent="0.2">
      <c r="A16" t="s">
        <v>966</v>
      </c>
    </row>
    <row r="17" spans="1:7" x14ac:dyDescent="0.2">
      <c r="A17" t="s">
        <v>804</v>
      </c>
      <c r="G17" s="12"/>
    </row>
    <row r="18" spans="1:7" x14ac:dyDescent="0.2">
      <c r="A18" t="s">
        <v>967</v>
      </c>
    </row>
    <row r="19" spans="1:7" x14ac:dyDescent="0.2">
      <c r="A19" t="s">
        <v>805</v>
      </c>
      <c r="G19" s="12"/>
    </row>
    <row r="20" spans="1:7" x14ac:dyDescent="0.2">
      <c r="A20" t="s">
        <v>968</v>
      </c>
    </row>
    <row r="21" spans="1:7" x14ac:dyDescent="0.2">
      <c r="A21" t="s">
        <v>668</v>
      </c>
      <c r="G21" s="12"/>
    </row>
    <row r="22" spans="1:7" x14ac:dyDescent="0.2">
      <c r="A22" t="s">
        <v>969</v>
      </c>
    </row>
    <row r="23" spans="1:7" x14ac:dyDescent="0.2">
      <c r="A23" t="s">
        <v>806</v>
      </c>
      <c r="G23" s="12"/>
    </row>
    <row r="24" spans="1:7" x14ac:dyDescent="0.2">
      <c r="A24" t="s">
        <v>970</v>
      </c>
    </row>
    <row r="25" spans="1:7" x14ac:dyDescent="0.2">
      <c r="A25" t="s">
        <v>807</v>
      </c>
      <c r="G25" s="12"/>
    </row>
    <row r="26" spans="1:7" x14ac:dyDescent="0.2">
      <c r="A26" t="s">
        <v>971</v>
      </c>
    </row>
    <row r="27" spans="1:7" x14ac:dyDescent="0.2">
      <c r="A27" t="s">
        <v>687</v>
      </c>
      <c r="G27" s="12"/>
    </row>
    <row r="28" spans="1:7" x14ac:dyDescent="0.2">
      <c r="A28" t="s">
        <v>972</v>
      </c>
    </row>
    <row r="29" spans="1:7" x14ac:dyDescent="0.2">
      <c r="A29" t="s">
        <v>686</v>
      </c>
      <c r="G29" s="12"/>
    </row>
    <row r="30" spans="1:7" x14ac:dyDescent="0.2">
      <c r="A30" t="s">
        <v>973</v>
      </c>
    </row>
    <row r="31" spans="1:7" x14ac:dyDescent="0.2">
      <c r="A31" t="s">
        <v>809</v>
      </c>
      <c r="G31" s="12"/>
    </row>
    <row r="32" spans="1:7" x14ac:dyDescent="0.2">
      <c r="A32" t="s">
        <v>974</v>
      </c>
    </row>
    <row r="33" spans="1:7" x14ac:dyDescent="0.2">
      <c r="A33" t="s">
        <v>810</v>
      </c>
    </row>
    <row r="34" spans="1:7" x14ac:dyDescent="0.2">
      <c r="A34" t="s">
        <v>975</v>
      </c>
    </row>
    <row r="35" spans="1:7" x14ac:dyDescent="0.2">
      <c r="A35" t="s">
        <v>811</v>
      </c>
      <c r="G35" s="12"/>
    </row>
    <row r="36" spans="1:7" x14ac:dyDescent="0.2">
      <c r="A36" t="s">
        <v>976</v>
      </c>
    </row>
    <row r="37" spans="1:7" x14ac:dyDescent="0.2">
      <c r="A37" t="s">
        <v>693</v>
      </c>
      <c r="G37" s="12"/>
    </row>
    <row r="38" spans="1:7" x14ac:dyDescent="0.2">
      <c r="A38" t="s">
        <v>969</v>
      </c>
    </row>
    <row r="39" spans="1:7" x14ac:dyDescent="0.2">
      <c r="A39" t="s">
        <v>667</v>
      </c>
      <c r="G39" s="12"/>
    </row>
    <row r="40" spans="1:7" x14ac:dyDescent="0.2">
      <c r="A40" t="s">
        <v>977</v>
      </c>
    </row>
    <row r="41" spans="1:7" x14ac:dyDescent="0.2">
      <c r="A41" t="s">
        <v>675</v>
      </c>
      <c r="G41" s="12"/>
    </row>
    <row r="42" spans="1:7" x14ac:dyDescent="0.2">
      <c r="A42" t="s">
        <v>978</v>
      </c>
    </row>
    <row r="43" spans="1:7" x14ac:dyDescent="0.2">
      <c r="A43" t="s">
        <v>813</v>
      </c>
      <c r="G43" s="12"/>
    </row>
    <row r="44" spans="1:7" x14ac:dyDescent="0.2">
      <c r="A44" t="s">
        <v>979</v>
      </c>
    </row>
    <row r="45" spans="1:7" x14ac:dyDescent="0.2">
      <c r="A45" t="s">
        <v>815</v>
      </c>
      <c r="G45" s="12"/>
    </row>
    <row r="46" spans="1:7" x14ac:dyDescent="0.2">
      <c r="A46" t="s">
        <v>980</v>
      </c>
    </row>
    <row r="47" spans="1:7" x14ac:dyDescent="0.2">
      <c r="A47" t="s">
        <v>816</v>
      </c>
      <c r="G47" s="12"/>
    </row>
    <row r="48" spans="1:7" x14ac:dyDescent="0.2">
      <c r="A48" t="s">
        <v>981</v>
      </c>
    </row>
    <row r="49" spans="1:7" x14ac:dyDescent="0.2">
      <c r="A49" t="s">
        <v>637</v>
      </c>
      <c r="G49" s="12"/>
    </row>
    <row r="50" spans="1:7" x14ac:dyDescent="0.2">
      <c r="A50" t="s">
        <v>982</v>
      </c>
    </row>
    <row r="51" spans="1:7" x14ac:dyDescent="0.2">
      <c r="A51" t="s">
        <v>818</v>
      </c>
      <c r="G51" s="12"/>
    </row>
    <row r="52" spans="1:7" x14ac:dyDescent="0.2">
      <c r="A52" t="s">
        <v>983</v>
      </c>
    </row>
    <row r="53" spans="1:7" x14ac:dyDescent="0.2">
      <c r="A53" t="s">
        <v>659</v>
      </c>
      <c r="G53" s="12"/>
    </row>
    <row r="54" spans="1:7" x14ac:dyDescent="0.2">
      <c r="A54" t="s">
        <v>984</v>
      </c>
    </row>
    <row r="55" spans="1:7" x14ac:dyDescent="0.2">
      <c r="A55" t="s">
        <v>819</v>
      </c>
      <c r="G55" s="12"/>
    </row>
    <row r="56" spans="1:7" x14ac:dyDescent="0.2">
      <c r="A56" t="s">
        <v>985</v>
      </c>
    </row>
    <row r="57" spans="1:7" x14ac:dyDescent="0.2">
      <c r="A57" t="s">
        <v>67</v>
      </c>
      <c r="G57" s="12"/>
    </row>
    <row r="58" spans="1:7" x14ac:dyDescent="0.2">
      <c r="A58" t="s">
        <v>986</v>
      </c>
    </row>
    <row r="59" spans="1:7" x14ac:dyDescent="0.2">
      <c r="A59" t="s">
        <v>820</v>
      </c>
      <c r="G59" s="12"/>
    </row>
    <row r="60" spans="1:7" x14ac:dyDescent="0.2">
      <c r="A60" t="s">
        <v>975</v>
      </c>
    </row>
    <row r="61" spans="1:7" x14ac:dyDescent="0.2">
      <c r="A61" t="s">
        <v>653</v>
      </c>
      <c r="G61" s="12"/>
    </row>
    <row r="62" spans="1:7" x14ac:dyDescent="0.2">
      <c r="A62" t="s">
        <v>987</v>
      </c>
    </row>
    <row r="63" spans="1:7" x14ac:dyDescent="0.2">
      <c r="A63" t="s">
        <v>821</v>
      </c>
      <c r="G63" s="12"/>
    </row>
    <row r="64" spans="1:7" x14ac:dyDescent="0.2">
      <c r="A64" t="s">
        <v>988</v>
      </c>
    </row>
    <row r="65" spans="1:7" x14ac:dyDescent="0.2">
      <c r="A65" t="s">
        <v>823</v>
      </c>
      <c r="G65" s="12"/>
    </row>
    <row r="66" spans="1:7" x14ac:dyDescent="0.2">
      <c r="A66" t="s">
        <v>989</v>
      </c>
    </row>
    <row r="67" spans="1:7" x14ac:dyDescent="0.2">
      <c r="A67" t="s">
        <v>428</v>
      </c>
    </row>
    <row r="68" spans="1:7" x14ac:dyDescent="0.2">
      <c r="A68" t="s">
        <v>990</v>
      </c>
      <c r="B68" s="12"/>
    </row>
    <row r="69" spans="1:7" x14ac:dyDescent="0.2">
      <c r="A69" t="s">
        <v>991</v>
      </c>
    </row>
    <row r="70" spans="1:7" x14ac:dyDescent="0.2">
      <c r="A70" t="s">
        <v>824</v>
      </c>
      <c r="G70" s="12"/>
    </row>
    <row r="71" spans="1:7" x14ac:dyDescent="0.2">
      <c r="A71" t="s">
        <v>992</v>
      </c>
    </row>
    <row r="72" spans="1:7" x14ac:dyDescent="0.2">
      <c r="A72" t="s">
        <v>825</v>
      </c>
      <c r="G72" s="12"/>
    </row>
    <row r="73" spans="1:7" x14ac:dyDescent="0.2">
      <c r="A73" t="s">
        <v>993</v>
      </c>
    </row>
    <row r="74" spans="1:7" x14ac:dyDescent="0.2">
      <c r="A74" t="s">
        <v>223</v>
      </c>
      <c r="G74" s="12"/>
    </row>
    <row r="75" spans="1:7" x14ac:dyDescent="0.2">
      <c r="A75" t="s">
        <v>994</v>
      </c>
    </row>
    <row r="76" spans="1:7" x14ac:dyDescent="0.2">
      <c r="A76" t="s">
        <v>826</v>
      </c>
      <c r="G76" s="12"/>
    </row>
    <row r="77" spans="1:7" x14ac:dyDescent="0.2">
      <c r="A77" t="s">
        <v>995</v>
      </c>
    </row>
    <row r="78" spans="1:7" x14ac:dyDescent="0.2">
      <c r="A78" t="s">
        <v>207</v>
      </c>
      <c r="G78" s="12"/>
    </row>
    <row r="79" spans="1:7" x14ac:dyDescent="0.2">
      <c r="A79" t="s">
        <v>996</v>
      </c>
    </row>
    <row r="80" spans="1:7" x14ac:dyDescent="0.2">
      <c r="A80" t="s">
        <v>828</v>
      </c>
      <c r="G80" s="12"/>
    </row>
    <row r="81" spans="1:7" x14ac:dyDescent="0.2">
      <c r="A81" t="s">
        <v>997</v>
      </c>
    </row>
    <row r="82" spans="1:7" x14ac:dyDescent="0.2">
      <c r="A82" t="s">
        <v>829</v>
      </c>
      <c r="G82" s="12"/>
    </row>
    <row r="83" spans="1:7" x14ac:dyDescent="0.2">
      <c r="A83" t="s">
        <v>975</v>
      </c>
    </row>
    <row r="84" spans="1:7" x14ac:dyDescent="0.2">
      <c r="A84" t="s">
        <v>830</v>
      </c>
      <c r="G84" s="12"/>
    </row>
    <row r="85" spans="1:7" x14ac:dyDescent="0.2">
      <c r="A85" t="s">
        <v>998</v>
      </c>
    </row>
    <row r="86" spans="1:7" x14ac:dyDescent="0.2">
      <c r="A86" t="s">
        <v>672</v>
      </c>
      <c r="G86" s="12"/>
    </row>
    <row r="87" spans="1:7" x14ac:dyDescent="0.2">
      <c r="A87" t="s">
        <v>999</v>
      </c>
    </row>
    <row r="88" spans="1:7" x14ac:dyDescent="0.2">
      <c r="A88" t="s">
        <v>831</v>
      </c>
      <c r="G88" s="12"/>
    </row>
    <row r="89" spans="1:7" x14ac:dyDescent="0.2">
      <c r="A89" t="s">
        <v>1000</v>
      </c>
    </row>
    <row r="90" spans="1:7" x14ac:dyDescent="0.2">
      <c r="A90" t="s">
        <v>832</v>
      </c>
    </row>
    <row r="91" spans="1:7" x14ac:dyDescent="0.2">
      <c r="A91" t="s">
        <v>1001</v>
      </c>
      <c r="B91" s="12"/>
    </row>
    <row r="92" spans="1:7" x14ac:dyDescent="0.2">
      <c r="A92" t="s">
        <v>1002</v>
      </c>
    </row>
    <row r="93" spans="1:7" x14ac:dyDescent="0.2">
      <c r="A93" t="s">
        <v>688</v>
      </c>
      <c r="G93" s="12"/>
    </row>
    <row r="94" spans="1:7" x14ac:dyDescent="0.2">
      <c r="A94" t="s">
        <v>1003</v>
      </c>
    </row>
    <row r="95" spans="1:7" x14ac:dyDescent="0.2">
      <c r="A95" t="s">
        <v>572</v>
      </c>
      <c r="G95" s="12"/>
    </row>
    <row r="96" spans="1:7" x14ac:dyDescent="0.2">
      <c r="A96" t="s">
        <v>991</v>
      </c>
    </row>
    <row r="97" spans="1:7" x14ac:dyDescent="0.2">
      <c r="A97" t="s">
        <v>833</v>
      </c>
      <c r="G97" s="12"/>
    </row>
    <row r="98" spans="1:7" x14ac:dyDescent="0.2">
      <c r="A98" t="s">
        <v>1004</v>
      </c>
    </row>
    <row r="99" spans="1:7" x14ac:dyDescent="0.2">
      <c r="A99" t="s">
        <v>827</v>
      </c>
      <c r="G99" s="12"/>
    </row>
    <row r="100" spans="1:7" x14ac:dyDescent="0.2">
      <c r="A100" t="s">
        <v>1005</v>
      </c>
    </row>
    <row r="101" spans="1:7" x14ac:dyDescent="0.2">
      <c r="A101" t="s">
        <v>834</v>
      </c>
      <c r="G101" s="12"/>
    </row>
    <row r="102" spans="1:7" x14ac:dyDescent="0.2">
      <c r="A102" t="s">
        <v>994</v>
      </c>
    </row>
    <row r="103" spans="1:7" x14ac:dyDescent="0.2">
      <c r="A103" t="s">
        <v>835</v>
      </c>
      <c r="G103" s="12"/>
    </row>
    <row r="104" spans="1:7" x14ac:dyDescent="0.2">
      <c r="A104" t="s">
        <v>1006</v>
      </c>
    </row>
    <row r="105" spans="1:7" x14ac:dyDescent="0.2">
      <c r="A105" t="s">
        <v>836</v>
      </c>
      <c r="G105" s="12"/>
    </row>
    <row r="106" spans="1:7" x14ac:dyDescent="0.2">
      <c r="A106" t="s">
        <v>1007</v>
      </c>
    </row>
    <row r="107" spans="1:7" x14ac:dyDescent="0.2">
      <c r="A107" t="s">
        <v>837</v>
      </c>
      <c r="G107" s="12"/>
    </row>
    <row r="108" spans="1:7" x14ac:dyDescent="0.2">
      <c r="A108" t="s">
        <v>1008</v>
      </c>
    </row>
    <row r="109" spans="1:7" x14ac:dyDescent="0.2">
      <c r="A109" t="s">
        <v>838</v>
      </c>
      <c r="G109" s="12"/>
    </row>
    <row r="110" spans="1:7" x14ac:dyDescent="0.2">
      <c r="A110" t="s">
        <v>980</v>
      </c>
    </row>
    <row r="111" spans="1:7" x14ac:dyDescent="0.2">
      <c r="A111" t="s">
        <v>839</v>
      </c>
      <c r="G111" s="12"/>
    </row>
    <row r="112" spans="1:7" x14ac:dyDescent="0.2">
      <c r="A112" t="s">
        <v>1009</v>
      </c>
    </row>
    <row r="113" spans="1:7" x14ac:dyDescent="0.2">
      <c r="A113" t="s">
        <v>840</v>
      </c>
      <c r="G113" s="12"/>
    </row>
    <row r="114" spans="1:7" x14ac:dyDescent="0.2">
      <c r="A114" t="s">
        <v>1010</v>
      </c>
    </row>
    <row r="115" spans="1:7" x14ac:dyDescent="0.2">
      <c r="A115" t="s">
        <v>258</v>
      </c>
    </row>
    <row r="116" spans="1:7" x14ac:dyDescent="0.2">
      <c r="A116" t="s">
        <v>841</v>
      </c>
      <c r="B116" s="12"/>
    </row>
    <row r="117" spans="1:7" x14ac:dyDescent="0.2">
      <c r="A117" t="s">
        <v>971</v>
      </c>
    </row>
    <row r="118" spans="1:7" x14ac:dyDescent="0.2">
      <c r="A118" t="s">
        <v>842</v>
      </c>
      <c r="G118" s="12"/>
    </row>
    <row r="119" spans="1:7" x14ac:dyDescent="0.2">
      <c r="A119" t="s">
        <v>1011</v>
      </c>
    </row>
    <row r="120" spans="1:7" x14ac:dyDescent="0.2">
      <c r="A120" t="s">
        <v>843</v>
      </c>
      <c r="G120" s="12"/>
    </row>
    <row r="121" spans="1:7" x14ac:dyDescent="0.2">
      <c r="A121" t="s">
        <v>1012</v>
      </c>
    </row>
    <row r="122" spans="1:7" x14ac:dyDescent="0.2">
      <c r="A122" t="s">
        <v>844</v>
      </c>
      <c r="G122" s="12"/>
    </row>
    <row r="123" spans="1:7" x14ac:dyDescent="0.2">
      <c r="A123" t="s">
        <v>1013</v>
      </c>
    </row>
    <row r="124" spans="1:7" x14ac:dyDescent="0.2">
      <c r="A124" t="s">
        <v>676</v>
      </c>
      <c r="G124" s="12"/>
    </row>
    <row r="125" spans="1:7" x14ac:dyDescent="0.2">
      <c r="A125" t="s">
        <v>969</v>
      </c>
    </row>
    <row r="126" spans="1:7" x14ac:dyDescent="0.2">
      <c r="A126" t="s">
        <v>845</v>
      </c>
      <c r="G126" s="12"/>
    </row>
    <row r="127" spans="1:7" x14ac:dyDescent="0.2">
      <c r="A127" t="s">
        <v>1014</v>
      </c>
    </row>
    <row r="128" spans="1:7" x14ac:dyDescent="0.2">
      <c r="A128" t="s">
        <v>846</v>
      </c>
      <c r="G128" s="12"/>
    </row>
    <row r="129" spans="1:7" x14ac:dyDescent="0.2">
      <c r="A129" t="s">
        <v>1015</v>
      </c>
    </row>
    <row r="130" spans="1:7" x14ac:dyDescent="0.2">
      <c r="A130" t="s">
        <v>847</v>
      </c>
      <c r="G130" s="12"/>
    </row>
    <row r="131" spans="1:7" x14ac:dyDescent="0.2">
      <c r="A131" t="s">
        <v>1016</v>
      </c>
    </row>
    <row r="132" spans="1:7" x14ac:dyDescent="0.2">
      <c r="A132" t="s">
        <v>848</v>
      </c>
      <c r="G132" s="12"/>
    </row>
    <row r="133" spans="1:7" x14ac:dyDescent="0.2">
      <c r="A133" t="s">
        <v>1017</v>
      </c>
    </row>
    <row r="134" spans="1:7" x14ac:dyDescent="0.2">
      <c r="A134" t="s">
        <v>191</v>
      </c>
      <c r="G134" s="12"/>
    </row>
    <row r="135" spans="1:7" x14ac:dyDescent="0.2">
      <c r="A135" t="s">
        <v>1018</v>
      </c>
    </row>
    <row r="136" spans="1:7" x14ac:dyDescent="0.2">
      <c r="A136" t="s">
        <v>849</v>
      </c>
      <c r="G136" s="12"/>
    </row>
    <row r="137" spans="1:7" x14ac:dyDescent="0.2">
      <c r="A137" t="s">
        <v>1019</v>
      </c>
    </row>
    <row r="138" spans="1:7" x14ac:dyDescent="0.2">
      <c r="A138" t="s">
        <v>685</v>
      </c>
      <c r="G138" s="12"/>
    </row>
    <row r="139" spans="1:7" x14ac:dyDescent="0.2">
      <c r="A139" t="s">
        <v>1006</v>
      </c>
    </row>
    <row r="140" spans="1:7" x14ac:dyDescent="0.2">
      <c r="A140" t="s">
        <v>850</v>
      </c>
      <c r="G140" s="12"/>
    </row>
    <row r="141" spans="1:7" x14ac:dyDescent="0.2">
      <c r="A141" t="s">
        <v>1020</v>
      </c>
    </row>
    <row r="142" spans="1:7" x14ac:dyDescent="0.2">
      <c r="A142" t="s">
        <v>680</v>
      </c>
      <c r="G142" s="12"/>
    </row>
    <row r="143" spans="1:7" x14ac:dyDescent="0.2">
      <c r="A143" t="s">
        <v>1021</v>
      </c>
    </row>
    <row r="144" spans="1:7" x14ac:dyDescent="0.2">
      <c r="A144" t="s">
        <v>146</v>
      </c>
      <c r="G144" s="12"/>
    </row>
    <row r="145" spans="1:7" x14ac:dyDescent="0.2">
      <c r="A145" t="s">
        <v>1022</v>
      </c>
    </row>
    <row r="146" spans="1:7" x14ac:dyDescent="0.2">
      <c r="A146" t="s">
        <v>663</v>
      </c>
      <c r="G146" s="12"/>
    </row>
    <row r="147" spans="1:7" x14ac:dyDescent="0.2">
      <c r="A147" t="s">
        <v>1023</v>
      </c>
    </row>
    <row r="148" spans="1:7" x14ac:dyDescent="0.2">
      <c r="A148" t="s">
        <v>851</v>
      </c>
      <c r="G148" s="12"/>
    </row>
    <row r="149" spans="1:7" x14ac:dyDescent="0.2">
      <c r="A149" t="s">
        <v>1024</v>
      </c>
    </row>
    <row r="150" spans="1:7" x14ac:dyDescent="0.2">
      <c r="A150" t="s">
        <v>800</v>
      </c>
      <c r="G150" s="12"/>
    </row>
    <row r="151" spans="1:7" x14ac:dyDescent="0.2">
      <c r="A151" t="s">
        <v>1025</v>
      </c>
    </row>
    <row r="152" spans="1:7" x14ac:dyDescent="0.2">
      <c r="A152" t="s">
        <v>230</v>
      </c>
      <c r="G152" s="12"/>
    </row>
    <row r="153" spans="1:7" x14ac:dyDescent="0.2">
      <c r="A153" t="s">
        <v>1026</v>
      </c>
    </row>
    <row r="154" spans="1:7" x14ac:dyDescent="0.2">
      <c r="A154" t="s">
        <v>852</v>
      </c>
      <c r="G154" s="12"/>
    </row>
    <row r="155" spans="1:7" x14ac:dyDescent="0.2">
      <c r="A155" t="s">
        <v>1006</v>
      </c>
    </row>
    <row r="156" spans="1:7" x14ac:dyDescent="0.2">
      <c r="A156" t="s">
        <v>216</v>
      </c>
      <c r="G156" s="12"/>
    </row>
    <row r="157" spans="1:7" x14ac:dyDescent="0.2">
      <c r="A157" t="s">
        <v>1004</v>
      </c>
    </row>
    <row r="158" spans="1:7" x14ac:dyDescent="0.2">
      <c r="A158" t="s">
        <v>853</v>
      </c>
      <c r="G158" s="12"/>
    </row>
    <row r="159" spans="1:7" x14ac:dyDescent="0.2">
      <c r="A159" t="s">
        <v>1027</v>
      </c>
    </row>
    <row r="160" spans="1:7" x14ac:dyDescent="0.2">
      <c r="A160" t="s">
        <v>673</v>
      </c>
      <c r="G160" s="12"/>
    </row>
    <row r="161" spans="1:7" x14ac:dyDescent="0.2">
      <c r="A161" t="s">
        <v>1028</v>
      </c>
    </row>
    <row r="162" spans="1:7" x14ac:dyDescent="0.2">
      <c r="A162" t="s">
        <v>328</v>
      </c>
      <c r="G162" s="12"/>
    </row>
    <row r="163" spans="1:7" x14ac:dyDescent="0.2">
      <c r="A163" t="s">
        <v>1029</v>
      </c>
    </row>
    <row r="164" spans="1:7" x14ac:dyDescent="0.2">
      <c r="A164" t="s">
        <v>854</v>
      </c>
      <c r="G164" s="12"/>
    </row>
    <row r="165" spans="1:7" x14ac:dyDescent="0.2">
      <c r="A165" t="s">
        <v>1030</v>
      </c>
    </row>
    <row r="166" spans="1:7" x14ac:dyDescent="0.2">
      <c r="A166" t="s">
        <v>855</v>
      </c>
    </row>
    <row r="167" spans="1:7" x14ac:dyDescent="0.2">
      <c r="A167" t="s">
        <v>1031</v>
      </c>
      <c r="B167" s="12"/>
    </row>
    <row r="168" spans="1:7" x14ac:dyDescent="0.2">
      <c r="A168" t="s">
        <v>1032</v>
      </c>
    </row>
    <row r="169" spans="1:7" x14ac:dyDescent="0.2">
      <c r="A169" t="s">
        <v>856</v>
      </c>
      <c r="G169" s="12"/>
    </row>
    <row r="170" spans="1:7" x14ac:dyDescent="0.2">
      <c r="A170" t="s">
        <v>1033</v>
      </c>
    </row>
    <row r="171" spans="1:7" x14ac:dyDescent="0.2">
      <c r="A171" t="s">
        <v>679</v>
      </c>
      <c r="G171" s="12"/>
    </row>
    <row r="172" spans="1:7" x14ac:dyDescent="0.2">
      <c r="A172" t="s">
        <v>1034</v>
      </c>
    </row>
    <row r="173" spans="1:7" x14ac:dyDescent="0.2">
      <c r="A173" t="s">
        <v>857</v>
      </c>
      <c r="G173" s="12"/>
    </row>
    <row r="174" spans="1:7" x14ac:dyDescent="0.2">
      <c r="A174" t="s">
        <v>1035</v>
      </c>
    </row>
    <row r="175" spans="1:7" x14ac:dyDescent="0.2">
      <c r="A175" t="s">
        <v>858</v>
      </c>
      <c r="G175" s="12"/>
    </row>
    <row r="176" spans="1:7" x14ac:dyDescent="0.2">
      <c r="A176" t="s">
        <v>1036</v>
      </c>
    </row>
    <row r="177" spans="1:7" x14ac:dyDescent="0.2">
      <c r="A177" t="s">
        <v>859</v>
      </c>
      <c r="G177" s="12"/>
    </row>
    <row r="178" spans="1:7" x14ac:dyDescent="0.2">
      <c r="A178" t="s">
        <v>1006</v>
      </c>
    </row>
    <row r="179" spans="1:7" x14ac:dyDescent="0.2">
      <c r="A179" t="s">
        <v>860</v>
      </c>
      <c r="G179" s="12"/>
    </row>
    <row r="180" spans="1:7" x14ac:dyDescent="0.2">
      <c r="A180" t="s">
        <v>1037</v>
      </c>
    </row>
    <row r="181" spans="1:7" x14ac:dyDescent="0.2">
      <c r="A181" t="s">
        <v>861</v>
      </c>
      <c r="G181" s="12"/>
    </row>
    <row r="182" spans="1:7" x14ac:dyDescent="0.2">
      <c r="A182" t="s">
        <v>1038</v>
      </c>
    </row>
    <row r="183" spans="1:7" x14ac:dyDescent="0.2">
      <c r="A183" t="s">
        <v>862</v>
      </c>
      <c r="G183" s="12"/>
    </row>
    <row r="184" spans="1:7" x14ac:dyDescent="0.2">
      <c r="A184" t="s">
        <v>1039</v>
      </c>
    </row>
    <row r="185" spans="1:7" x14ac:dyDescent="0.2">
      <c r="A185" t="s">
        <v>697</v>
      </c>
      <c r="G185" s="12"/>
    </row>
    <row r="186" spans="1:7" x14ac:dyDescent="0.2">
      <c r="A186" t="s">
        <v>1040</v>
      </c>
    </row>
    <row r="187" spans="1:7" x14ac:dyDescent="0.2">
      <c r="A187" t="s">
        <v>670</v>
      </c>
      <c r="G187" s="12"/>
    </row>
    <row r="188" spans="1:7" x14ac:dyDescent="0.2">
      <c r="A188" t="s">
        <v>1041</v>
      </c>
    </row>
    <row r="189" spans="1:7" x14ac:dyDescent="0.2">
      <c r="A189" t="s">
        <v>863</v>
      </c>
      <c r="G189" s="12"/>
    </row>
    <row r="190" spans="1:7" x14ac:dyDescent="0.2">
      <c r="A190" t="s">
        <v>1042</v>
      </c>
    </row>
    <row r="191" spans="1:7" x14ac:dyDescent="0.2">
      <c r="A191" t="s">
        <v>665</v>
      </c>
      <c r="G191" s="12"/>
    </row>
    <row r="192" spans="1:7" x14ac:dyDescent="0.2">
      <c r="A192" t="s">
        <v>974</v>
      </c>
    </row>
    <row r="193" spans="1:7" x14ac:dyDescent="0.2">
      <c r="A193" t="s">
        <v>864</v>
      </c>
      <c r="G193" s="12"/>
    </row>
    <row r="194" spans="1:7" x14ac:dyDescent="0.2">
      <c r="A194" t="s">
        <v>1043</v>
      </c>
    </row>
    <row r="195" spans="1:7" x14ac:dyDescent="0.2">
      <c r="A195" t="s">
        <v>228</v>
      </c>
      <c r="G195" s="12"/>
    </row>
    <row r="196" spans="1:7" x14ac:dyDescent="0.2">
      <c r="A196" t="s">
        <v>1044</v>
      </c>
    </row>
    <row r="197" spans="1:7" x14ac:dyDescent="0.2">
      <c r="A197" t="s">
        <v>296</v>
      </c>
      <c r="G197" s="12"/>
    </row>
    <row r="198" spans="1:7" x14ac:dyDescent="0.2">
      <c r="A198" t="s">
        <v>1045</v>
      </c>
    </row>
    <row r="199" spans="1:7" x14ac:dyDescent="0.2">
      <c r="A199" t="s">
        <v>865</v>
      </c>
      <c r="G199" s="12"/>
    </row>
    <row r="200" spans="1:7" x14ac:dyDescent="0.2">
      <c r="A200" t="s">
        <v>1046</v>
      </c>
    </row>
    <row r="201" spans="1:7" x14ac:dyDescent="0.2">
      <c r="A201" t="s">
        <v>866</v>
      </c>
      <c r="G201" s="12"/>
    </row>
    <row r="202" spans="1:7" x14ac:dyDescent="0.2">
      <c r="A202" t="s">
        <v>1047</v>
      </c>
    </row>
    <row r="203" spans="1:7" x14ac:dyDescent="0.2">
      <c r="A203" t="s">
        <v>320</v>
      </c>
      <c r="G203" s="12"/>
    </row>
    <row r="204" spans="1:7" x14ac:dyDescent="0.2">
      <c r="A204" t="s">
        <v>1048</v>
      </c>
    </row>
    <row r="205" spans="1:7" x14ac:dyDescent="0.2">
      <c r="A205" t="s">
        <v>669</v>
      </c>
      <c r="G205" s="12"/>
    </row>
    <row r="206" spans="1:7" x14ac:dyDescent="0.2">
      <c r="A206" t="s">
        <v>1049</v>
      </c>
    </row>
    <row r="207" spans="1:7" x14ac:dyDescent="0.2">
      <c r="A207" t="s">
        <v>435</v>
      </c>
      <c r="G207" s="12"/>
    </row>
    <row r="208" spans="1:7" x14ac:dyDescent="0.2">
      <c r="A208" t="s">
        <v>975</v>
      </c>
    </row>
    <row r="209" spans="1:7" x14ac:dyDescent="0.2">
      <c r="A209" t="s">
        <v>867</v>
      </c>
      <c r="G209" s="12"/>
    </row>
    <row r="210" spans="1:7" x14ac:dyDescent="0.2">
      <c r="A210" t="s">
        <v>1050</v>
      </c>
    </row>
    <row r="211" spans="1:7" x14ac:dyDescent="0.2">
      <c r="A211" t="s">
        <v>868</v>
      </c>
      <c r="G211" s="12"/>
    </row>
    <row r="212" spans="1:7" x14ac:dyDescent="0.2">
      <c r="A212" t="s">
        <v>1044</v>
      </c>
    </row>
    <row r="213" spans="1:7" x14ac:dyDescent="0.2">
      <c r="A213" t="s">
        <v>695</v>
      </c>
      <c r="G213" s="12"/>
    </row>
    <row r="214" spans="1:7" x14ac:dyDescent="0.2">
      <c r="A214" t="s">
        <v>1051</v>
      </c>
    </row>
    <row r="215" spans="1:7" x14ac:dyDescent="0.2">
      <c r="A215" t="s">
        <v>869</v>
      </c>
      <c r="G215" s="12"/>
    </row>
    <row r="216" spans="1:7" x14ac:dyDescent="0.2">
      <c r="A216" t="s">
        <v>963</v>
      </c>
    </row>
    <row r="217" spans="1:7" x14ac:dyDescent="0.2">
      <c r="A217" t="s">
        <v>447</v>
      </c>
      <c r="G217" s="12"/>
    </row>
    <row r="218" spans="1:7" x14ac:dyDescent="0.2">
      <c r="A218" t="s">
        <v>1005</v>
      </c>
    </row>
    <row r="219" spans="1:7" x14ac:dyDescent="0.2">
      <c r="A219" t="s">
        <v>664</v>
      </c>
      <c r="G219" s="12"/>
    </row>
    <row r="220" spans="1:7" x14ac:dyDescent="0.2">
      <c r="A220" t="s">
        <v>1052</v>
      </c>
    </row>
    <row r="221" spans="1:7" x14ac:dyDescent="0.2">
      <c r="A221" t="s">
        <v>870</v>
      </c>
      <c r="G221" s="12"/>
    </row>
    <row r="222" spans="1:7" x14ac:dyDescent="0.2">
      <c r="A222" t="s">
        <v>1053</v>
      </c>
    </row>
    <row r="223" spans="1:7" x14ac:dyDescent="0.2">
      <c r="A223" t="s">
        <v>871</v>
      </c>
      <c r="G223" s="12"/>
    </row>
    <row r="224" spans="1:7" x14ac:dyDescent="0.2">
      <c r="A224" t="s">
        <v>1054</v>
      </c>
    </row>
    <row r="225" spans="1:7" x14ac:dyDescent="0.2">
      <c r="A225" t="s">
        <v>684</v>
      </c>
      <c r="G225" s="12"/>
    </row>
    <row r="226" spans="1:7" x14ac:dyDescent="0.2">
      <c r="A226" t="s">
        <v>1055</v>
      </c>
    </row>
    <row r="227" spans="1:7" x14ac:dyDescent="0.2">
      <c r="A227" t="s">
        <v>872</v>
      </c>
      <c r="G227" s="12"/>
    </row>
    <row r="228" spans="1:7" x14ac:dyDescent="0.2">
      <c r="A228" t="s">
        <v>1056</v>
      </c>
    </row>
    <row r="229" spans="1:7" x14ac:dyDescent="0.2">
      <c r="A229" t="s">
        <v>64</v>
      </c>
      <c r="G229" s="12"/>
    </row>
    <row r="230" spans="1:7" x14ac:dyDescent="0.2">
      <c r="A230" t="s">
        <v>1057</v>
      </c>
    </row>
    <row r="231" spans="1:7" x14ac:dyDescent="0.2">
      <c r="A231" t="s">
        <v>298</v>
      </c>
      <c r="G231" s="12"/>
    </row>
    <row r="232" spans="1:7" x14ac:dyDescent="0.2">
      <c r="A232" t="s">
        <v>1044</v>
      </c>
    </row>
    <row r="233" spans="1:7" x14ac:dyDescent="0.2">
      <c r="A233" t="s">
        <v>873</v>
      </c>
      <c r="G233" s="12"/>
    </row>
    <row r="234" spans="1:7" x14ac:dyDescent="0.2">
      <c r="A234" t="s">
        <v>1058</v>
      </c>
    </row>
    <row r="235" spans="1:7" x14ac:dyDescent="0.2">
      <c r="A235" t="s">
        <v>654</v>
      </c>
      <c r="G235" s="12"/>
    </row>
    <row r="236" spans="1:7" x14ac:dyDescent="0.2">
      <c r="A236" t="s">
        <v>1059</v>
      </c>
    </row>
    <row r="237" spans="1:7" x14ac:dyDescent="0.2">
      <c r="A237" t="s">
        <v>874</v>
      </c>
      <c r="G237" s="12"/>
    </row>
    <row r="238" spans="1:7" x14ac:dyDescent="0.2">
      <c r="A238" t="s">
        <v>1060</v>
      </c>
    </row>
    <row r="239" spans="1:7" x14ac:dyDescent="0.2">
      <c r="A239" t="s">
        <v>875</v>
      </c>
      <c r="G239" s="12"/>
    </row>
    <row r="240" spans="1:7" x14ac:dyDescent="0.2">
      <c r="A240" t="s">
        <v>994</v>
      </c>
    </row>
    <row r="241" spans="1:7" x14ac:dyDescent="0.2">
      <c r="A241" t="s">
        <v>876</v>
      </c>
      <c r="G241" s="12"/>
    </row>
    <row r="242" spans="1:7" x14ac:dyDescent="0.2">
      <c r="A242" t="s">
        <v>1061</v>
      </c>
    </row>
    <row r="243" spans="1:7" x14ac:dyDescent="0.2">
      <c r="A243" t="s">
        <v>285</v>
      </c>
      <c r="G243" s="12"/>
    </row>
    <row r="244" spans="1:7" x14ac:dyDescent="0.2">
      <c r="A244" t="s">
        <v>1062</v>
      </c>
    </row>
    <row r="245" spans="1:7" x14ac:dyDescent="0.2">
      <c r="A245" t="s">
        <v>420</v>
      </c>
      <c r="G245" s="12"/>
    </row>
    <row r="246" spans="1:7" x14ac:dyDescent="0.2">
      <c r="A246" t="s">
        <v>991</v>
      </c>
    </row>
    <row r="247" spans="1:7" x14ac:dyDescent="0.2">
      <c r="A247" t="s">
        <v>877</v>
      </c>
      <c r="G247" s="12"/>
    </row>
    <row r="248" spans="1:7" x14ac:dyDescent="0.2">
      <c r="A248" t="s">
        <v>1063</v>
      </c>
    </row>
    <row r="249" spans="1:7" x14ac:dyDescent="0.2">
      <c r="A249" t="s">
        <v>75</v>
      </c>
      <c r="G249" s="12"/>
    </row>
    <row r="250" spans="1:7" x14ac:dyDescent="0.2">
      <c r="A250" t="s">
        <v>1015</v>
      </c>
    </row>
    <row r="251" spans="1:7" x14ac:dyDescent="0.2">
      <c r="A251" t="s">
        <v>878</v>
      </c>
      <c r="G251" s="12"/>
    </row>
    <row r="252" spans="1:7" x14ac:dyDescent="0.2">
      <c r="A252" t="s">
        <v>1064</v>
      </c>
    </row>
    <row r="253" spans="1:7" x14ac:dyDescent="0.2">
      <c r="A253" t="s">
        <v>879</v>
      </c>
      <c r="G253" s="12"/>
    </row>
    <row r="254" spans="1:7" x14ac:dyDescent="0.2">
      <c r="A254" t="s">
        <v>1065</v>
      </c>
    </row>
    <row r="255" spans="1:7" x14ac:dyDescent="0.2">
      <c r="A255" t="s">
        <v>254</v>
      </c>
      <c r="G255" s="12"/>
    </row>
    <row r="256" spans="1:7" x14ac:dyDescent="0.2">
      <c r="A256" t="s">
        <v>1066</v>
      </c>
    </row>
    <row r="257" spans="1:7" x14ac:dyDescent="0.2">
      <c r="A257" t="s">
        <v>434</v>
      </c>
      <c r="G257" s="12"/>
    </row>
    <row r="258" spans="1:7" x14ac:dyDescent="0.2">
      <c r="A258" t="s">
        <v>1067</v>
      </c>
    </row>
    <row r="259" spans="1:7" x14ac:dyDescent="0.2">
      <c r="A259" t="s">
        <v>880</v>
      </c>
      <c r="G259" s="12"/>
    </row>
    <row r="260" spans="1:7" x14ac:dyDescent="0.2">
      <c r="A260" t="s">
        <v>1068</v>
      </c>
    </row>
    <row r="261" spans="1:7" x14ac:dyDescent="0.2">
      <c r="A261" t="s">
        <v>881</v>
      </c>
      <c r="G261" s="12"/>
    </row>
    <row r="262" spans="1:7" x14ac:dyDescent="0.2">
      <c r="A262" t="s">
        <v>1007</v>
      </c>
    </row>
    <row r="263" spans="1:7" x14ac:dyDescent="0.2">
      <c r="A263" t="s">
        <v>287</v>
      </c>
      <c r="G263" s="12"/>
    </row>
    <row r="264" spans="1:7" x14ac:dyDescent="0.2">
      <c r="A264" t="s">
        <v>1069</v>
      </c>
    </row>
    <row r="265" spans="1:7" x14ac:dyDescent="0.2">
      <c r="A265" t="s">
        <v>882</v>
      </c>
    </row>
    <row r="266" spans="1:7" x14ac:dyDescent="0.2">
      <c r="A266" t="s">
        <v>1070</v>
      </c>
    </row>
    <row r="267" spans="1:7" x14ac:dyDescent="0.2">
      <c r="A267" t="s">
        <v>170</v>
      </c>
    </row>
    <row r="268" spans="1:7" x14ac:dyDescent="0.2">
      <c r="A268" t="s">
        <v>1011</v>
      </c>
    </row>
    <row r="269" spans="1:7" x14ac:dyDescent="0.2">
      <c r="A269" t="s">
        <v>677</v>
      </c>
      <c r="G269" s="12"/>
    </row>
    <row r="270" spans="1:7" x14ac:dyDescent="0.2">
      <c r="A270" t="s">
        <v>1071</v>
      </c>
    </row>
    <row r="271" spans="1:7" x14ac:dyDescent="0.2">
      <c r="A271" t="s">
        <v>883</v>
      </c>
      <c r="G271" s="12"/>
    </row>
    <row r="272" spans="1:7" x14ac:dyDescent="0.2">
      <c r="A272" t="s">
        <v>1072</v>
      </c>
    </row>
    <row r="273" spans="1:7" x14ac:dyDescent="0.2">
      <c r="A273" t="s">
        <v>746</v>
      </c>
    </row>
    <row r="274" spans="1:7" x14ac:dyDescent="0.2">
      <c r="A274" t="s">
        <v>1073</v>
      </c>
    </row>
    <row r="275" spans="1:7" x14ac:dyDescent="0.2">
      <c r="A275" t="s">
        <v>884</v>
      </c>
      <c r="G275" s="12"/>
    </row>
    <row r="276" spans="1:7" x14ac:dyDescent="0.2">
      <c r="A276" t="s">
        <v>1074</v>
      </c>
    </row>
    <row r="277" spans="1:7" x14ac:dyDescent="0.2">
      <c r="A277" t="s">
        <v>885</v>
      </c>
      <c r="G277" s="12"/>
    </row>
    <row r="278" spans="1:7" x14ac:dyDescent="0.2">
      <c r="A278" t="s">
        <v>970</v>
      </c>
    </row>
    <row r="279" spans="1:7" x14ac:dyDescent="0.2">
      <c r="A279" t="s">
        <v>307</v>
      </c>
      <c r="G279" s="12"/>
    </row>
    <row r="280" spans="1:7" x14ac:dyDescent="0.2">
      <c r="A280" t="s">
        <v>1037</v>
      </c>
    </row>
    <row r="281" spans="1:7" x14ac:dyDescent="0.2">
      <c r="A281" t="s">
        <v>436</v>
      </c>
      <c r="G281" s="12"/>
    </row>
    <row r="282" spans="1:7" x14ac:dyDescent="0.2">
      <c r="A282" t="s">
        <v>1061</v>
      </c>
    </row>
    <row r="283" spans="1:7" x14ac:dyDescent="0.2">
      <c r="A283" t="s">
        <v>886</v>
      </c>
      <c r="G283" s="12"/>
    </row>
    <row r="284" spans="1:7" x14ac:dyDescent="0.2">
      <c r="A284" t="s">
        <v>1075</v>
      </c>
    </row>
    <row r="285" spans="1:7" x14ac:dyDescent="0.2">
      <c r="A285" t="s">
        <v>887</v>
      </c>
    </row>
    <row r="286" spans="1:7" x14ac:dyDescent="0.2">
      <c r="A286" t="s">
        <v>1076</v>
      </c>
      <c r="B286" s="12"/>
    </row>
    <row r="287" spans="1:7" x14ac:dyDescent="0.2">
      <c r="A287" t="s">
        <v>1077</v>
      </c>
    </row>
    <row r="288" spans="1:7" x14ac:dyDescent="0.2">
      <c r="A288" t="s">
        <v>888</v>
      </c>
      <c r="G288" s="12"/>
    </row>
    <row r="289" spans="1:7" x14ac:dyDescent="0.2">
      <c r="A289" t="s">
        <v>1078</v>
      </c>
    </row>
    <row r="290" spans="1:7" x14ac:dyDescent="0.2">
      <c r="A290" t="s">
        <v>889</v>
      </c>
    </row>
    <row r="291" spans="1:7" x14ac:dyDescent="0.2">
      <c r="A291" t="s">
        <v>890</v>
      </c>
    </row>
    <row r="292" spans="1:7" x14ac:dyDescent="0.2">
      <c r="A292" t="s">
        <v>1079</v>
      </c>
      <c r="B292" s="12"/>
    </row>
    <row r="293" spans="1:7" x14ac:dyDescent="0.2">
      <c r="A293" t="s">
        <v>1080</v>
      </c>
    </row>
    <row r="294" spans="1:7" x14ac:dyDescent="0.2">
      <c r="A294" t="s">
        <v>76</v>
      </c>
      <c r="G294" s="12"/>
    </row>
    <row r="295" spans="1:7" x14ac:dyDescent="0.2">
      <c r="A295" t="s">
        <v>1081</v>
      </c>
    </row>
    <row r="296" spans="1:7" x14ac:dyDescent="0.2">
      <c r="A296" t="s">
        <v>204</v>
      </c>
    </row>
    <row r="297" spans="1:7" x14ac:dyDescent="0.2">
      <c r="A297" t="s">
        <v>1082</v>
      </c>
      <c r="B297" s="12"/>
    </row>
    <row r="298" spans="1:7" x14ac:dyDescent="0.2">
      <c r="A298" t="s">
        <v>1083</v>
      </c>
    </row>
    <row r="299" spans="1:7" x14ac:dyDescent="0.2">
      <c r="A299" t="s">
        <v>892</v>
      </c>
      <c r="G299" s="12"/>
    </row>
    <row r="300" spans="1:7" x14ac:dyDescent="0.2">
      <c r="A300" t="s">
        <v>1084</v>
      </c>
    </row>
    <row r="301" spans="1:7" x14ac:dyDescent="0.2">
      <c r="A301" t="s">
        <v>79</v>
      </c>
      <c r="G301" s="12"/>
    </row>
    <row r="302" spans="1:7" x14ac:dyDescent="0.2">
      <c r="A302" t="s">
        <v>1014</v>
      </c>
    </row>
    <row r="303" spans="1:7" x14ac:dyDescent="0.2">
      <c r="A303" t="s">
        <v>893</v>
      </c>
      <c r="G303" s="12"/>
    </row>
    <row r="304" spans="1:7" x14ac:dyDescent="0.2">
      <c r="A304" t="s">
        <v>1085</v>
      </c>
    </row>
    <row r="305" spans="1:7" x14ac:dyDescent="0.2">
      <c r="A305" t="s">
        <v>894</v>
      </c>
      <c r="G305" s="12"/>
    </row>
    <row r="306" spans="1:7" x14ac:dyDescent="0.2">
      <c r="A306" t="s">
        <v>1086</v>
      </c>
    </row>
    <row r="307" spans="1:7" x14ac:dyDescent="0.2">
      <c r="A307" t="s">
        <v>895</v>
      </c>
    </row>
    <row r="308" spans="1:7" x14ac:dyDescent="0.2">
      <c r="A308" t="s">
        <v>1087</v>
      </c>
      <c r="B308" s="12"/>
    </row>
    <row r="309" spans="1:7" x14ac:dyDescent="0.2">
      <c r="A309" t="s">
        <v>1088</v>
      </c>
    </row>
    <row r="310" spans="1:7" x14ac:dyDescent="0.2">
      <c r="A310" t="s">
        <v>896</v>
      </c>
    </row>
    <row r="311" spans="1:7" x14ac:dyDescent="0.2">
      <c r="A311" t="s">
        <v>1089</v>
      </c>
    </row>
    <row r="312" spans="1:7" x14ac:dyDescent="0.2">
      <c r="A312" t="s">
        <v>1090</v>
      </c>
    </row>
    <row r="313" spans="1:7" x14ac:dyDescent="0.2">
      <c r="A313" t="s">
        <v>655</v>
      </c>
      <c r="G313" s="12"/>
    </row>
    <row r="314" spans="1:7" x14ac:dyDescent="0.2">
      <c r="A314" t="s">
        <v>980</v>
      </c>
    </row>
    <row r="315" spans="1:7" x14ac:dyDescent="0.2">
      <c r="A315" t="s">
        <v>897</v>
      </c>
      <c r="G315" s="12"/>
    </row>
    <row r="316" spans="1:7" x14ac:dyDescent="0.2">
      <c r="A316" t="s">
        <v>1025</v>
      </c>
    </row>
    <row r="317" spans="1:7" x14ac:dyDescent="0.2">
      <c r="A317" t="s">
        <v>898</v>
      </c>
      <c r="G317" s="12"/>
    </row>
    <row r="318" spans="1:7" x14ac:dyDescent="0.2">
      <c r="A318" t="s">
        <v>1091</v>
      </c>
    </row>
    <row r="319" spans="1:7" x14ac:dyDescent="0.2">
      <c r="A319" t="s">
        <v>671</v>
      </c>
      <c r="G319" s="12"/>
    </row>
    <row r="320" spans="1:7" x14ac:dyDescent="0.2">
      <c r="A320" t="s">
        <v>1092</v>
      </c>
    </row>
    <row r="321" spans="1:7" x14ac:dyDescent="0.2">
      <c r="A321" t="s">
        <v>899</v>
      </c>
    </row>
    <row r="322" spans="1:7" x14ac:dyDescent="0.2">
      <c r="A322" t="s">
        <v>1093</v>
      </c>
    </row>
    <row r="323" spans="1:7" x14ac:dyDescent="0.2">
      <c r="A323" t="s">
        <v>62</v>
      </c>
      <c r="G323" s="12"/>
    </row>
    <row r="324" spans="1:7" x14ac:dyDescent="0.2">
      <c r="A324" t="s">
        <v>1094</v>
      </c>
    </row>
    <row r="325" spans="1:7" x14ac:dyDescent="0.2">
      <c r="A325" t="s">
        <v>205</v>
      </c>
      <c r="G325" s="12"/>
    </row>
    <row r="326" spans="1:7" x14ac:dyDescent="0.2">
      <c r="A326" t="s">
        <v>1095</v>
      </c>
    </row>
    <row r="327" spans="1:7" x14ac:dyDescent="0.2">
      <c r="A327" t="s">
        <v>193</v>
      </c>
      <c r="G327" s="12"/>
    </row>
    <row r="328" spans="1:7" x14ac:dyDescent="0.2">
      <c r="A328" t="s">
        <v>1096</v>
      </c>
    </row>
    <row r="329" spans="1:7" x14ac:dyDescent="0.2">
      <c r="A329" t="s">
        <v>900</v>
      </c>
      <c r="G329" s="12"/>
    </row>
    <row r="330" spans="1:7" x14ac:dyDescent="0.2">
      <c r="A330" t="s">
        <v>1085</v>
      </c>
    </row>
    <row r="331" spans="1:7" x14ac:dyDescent="0.2">
      <c r="A331" t="s">
        <v>901</v>
      </c>
    </row>
    <row r="332" spans="1:7" x14ac:dyDescent="0.2">
      <c r="A332" t="s">
        <v>1097</v>
      </c>
      <c r="B332" s="12"/>
    </row>
    <row r="333" spans="1:7" x14ac:dyDescent="0.2">
      <c r="A333" t="s">
        <v>1098</v>
      </c>
    </row>
    <row r="334" spans="1:7" x14ac:dyDescent="0.2">
      <c r="A334" t="s">
        <v>902</v>
      </c>
      <c r="G334" s="12"/>
    </row>
    <row r="335" spans="1:7" x14ac:dyDescent="0.2">
      <c r="A335" t="s">
        <v>1099</v>
      </c>
    </row>
    <row r="336" spans="1:7" x14ac:dyDescent="0.2">
      <c r="A336" t="s">
        <v>556</v>
      </c>
      <c r="G336" s="12"/>
    </row>
    <row r="337" spans="1:7" x14ac:dyDescent="0.2">
      <c r="A337" t="s">
        <v>1100</v>
      </c>
    </row>
    <row r="338" spans="1:7" x14ac:dyDescent="0.2">
      <c r="A338" t="s">
        <v>903</v>
      </c>
      <c r="G338" s="12"/>
    </row>
    <row r="339" spans="1:7" x14ac:dyDescent="0.2">
      <c r="A339" t="s">
        <v>1011</v>
      </c>
    </row>
    <row r="340" spans="1:7" x14ac:dyDescent="0.2">
      <c r="A340" t="s">
        <v>387</v>
      </c>
      <c r="G340" s="12"/>
    </row>
    <row r="341" spans="1:7" x14ac:dyDescent="0.2">
      <c r="A341" t="s">
        <v>980</v>
      </c>
    </row>
    <row r="342" spans="1:7" x14ac:dyDescent="0.2">
      <c r="A342" t="s">
        <v>808</v>
      </c>
      <c r="G342" s="12"/>
    </row>
    <row r="343" spans="1:7" x14ac:dyDescent="0.2">
      <c r="A343" t="s">
        <v>1101</v>
      </c>
    </row>
    <row r="344" spans="1:7" x14ac:dyDescent="0.2">
      <c r="A344" t="s">
        <v>904</v>
      </c>
      <c r="G344" s="12"/>
    </row>
    <row r="345" spans="1:7" x14ac:dyDescent="0.2">
      <c r="A345" t="s">
        <v>1102</v>
      </c>
    </row>
    <row r="346" spans="1:7" x14ac:dyDescent="0.2">
      <c r="A346" t="s">
        <v>905</v>
      </c>
      <c r="G346" s="12"/>
    </row>
    <row r="347" spans="1:7" x14ac:dyDescent="0.2">
      <c r="A347" t="s">
        <v>963</v>
      </c>
    </row>
    <row r="348" spans="1:7" x14ac:dyDescent="0.2">
      <c r="A348" t="s">
        <v>906</v>
      </c>
      <c r="G348" s="12"/>
    </row>
    <row r="349" spans="1:7" x14ac:dyDescent="0.2">
      <c r="A349" t="s">
        <v>1067</v>
      </c>
    </row>
    <row r="350" spans="1:7" x14ac:dyDescent="0.2">
      <c r="A350" t="s">
        <v>74</v>
      </c>
      <c r="G350" s="12"/>
    </row>
    <row r="351" spans="1:7" x14ac:dyDescent="0.2">
      <c r="A351" t="s">
        <v>1103</v>
      </c>
    </row>
    <row r="352" spans="1:7" x14ac:dyDescent="0.2">
      <c r="A352" t="s">
        <v>456</v>
      </c>
      <c r="G352" s="12"/>
    </row>
    <row r="353" spans="1:7" x14ac:dyDescent="0.2">
      <c r="A353" t="s">
        <v>980</v>
      </c>
    </row>
    <row r="354" spans="1:7" x14ac:dyDescent="0.2">
      <c r="A354" t="s">
        <v>504</v>
      </c>
      <c r="G354" s="12"/>
    </row>
    <row r="355" spans="1:7" x14ac:dyDescent="0.2">
      <c r="A355" t="s">
        <v>1104</v>
      </c>
    </row>
    <row r="356" spans="1:7" x14ac:dyDescent="0.2">
      <c r="A356" t="s">
        <v>907</v>
      </c>
      <c r="G356" s="12"/>
    </row>
    <row r="357" spans="1:7" x14ac:dyDescent="0.2">
      <c r="A357" t="s">
        <v>976</v>
      </c>
    </row>
    <row r="358" spans="1:7" x14ac:dyDescent="0.2">
      <c r="A358" t="s">
        <v>678</v>
      </c>
      <c r="G358" s="12"/>
    </row>
    <row r="359" spans="1:7" x14ac:dyDescent="0.2">
      <c r="A359" t="s">
        <v>1105</v>
      </c>
    </row>
    <row r="360" spans="1:7" x14ac:dyDescent="0.2">
      <c r="A360" t="s">
        <v>656</v>
      </c>
      <c r="G360" s="12"/>
    </row>
    <row r="361" spans="1:7" x14ac:dyDescent="0.2">
      <c r="A361" t="s">
        <v>959</v>
      </c>
    </row>
    <row r="362" spans="1:7" x14ac:dyDescent="0.2">
      <c r="A362" t="s">
        <v>908</v>
      </c>
      <c r="G362" s="12"/>
    </row>
    <row r="363" spans="1:7" x14ac:dyDescent="0.2">
      <c r="A363" t="s">
        <v>1106</v>
      </c>
    </row>
    <row r="364" spans="1:7" x14ac:dyDescent="0.2">
      <c r="A364" t="s">
        <v>909</v>
      </c>
      <c r="G364" s="12"/>
    </row>
    <row r="365" spans="1:7" x14ac:dyDescent="0.2">
      <c r="A365" t="s">
        <v>1073</v>
      </c>
    </row>
    <row r="366" spans="1:7" x14ac:dyDescent="0.2">
      <c r="A366" t="s">
        <v>674</v>
      </c>
    </row>
    <row r="367" spans="1:7" x14ac:dyDescent="0.2">
      <c r="A367" t="s">
        <v>1107</v>
      </c>
      <c r="B367" s="12"/>
    </row>
    <row r="368" spans="1:7" x14ac:dyDescent="0.2">
      <c r="A368" t="s">
        <v>1045</v>
      </c>
    </row>
    <row r="369" spans="1:7" x14ac:dyDescent="0.2">
      <c r="A369" t="s">
        <v>911</v>
      </c>
      <c r="G369" s="12"/>
    </row>
    <row r="370" spans="1:7" x14ac:dyDescent="0.2">
      <c r="A370" t="s">
        <v>1108</v>
      </c>
    </row>
    <row r="371" spans="1:7" x14ac:dyDescent="0.2">
      <c r="A371" t="s">
        <v>912</v>
      </c>
      <c r="G371" s="12"/>
    </row>
    <row r="372" spans="1:7" x14ac:dyDescent="0.2">
      <c r="A372" t="s">
        <v>960</v>
      </c>
    </row>
    <row r="373" spans="1:7" x14ac:dyDescent="0.2">
      <c r="A373" t="s">
        <v>112</v>
      </c>
      <c r="G373" s="12"/>
    </row>
    <row r="374" spans="1:7" x14ac:dyDescent="0.2">
      <c r="A374" t="s">
        <v>1109</v>
      </c>
    </row>
    <row r="375" spans="1:7" x14ac:dyDescent="0.2">
      <c r="A375" t="s">
        <v>913</v>
      </c>
    </row>
    <row r="376" spans="1:7" x14ac:dyDescent="0.2">
      <c r="A376" t="s">
        <v>1110</v>
      </c>
      <c r="B376" s="12"/>
    </row>
    <row r="377" spans="1:7" x14ac:dyDescent="0.2">
      <c r="A377" t="s">
        <v>1111</v>
      </c>
    </row>
    <row r="378" spans="1:7" x14ac:dyDescent="0.2">
      <c r="A378" t="s">
        <v>914</v>
      </c>
      <c r="G378" s="12"/>
    </row>
    <row r="379" spans="1:7" x14ac:dyDescent="0.2">
      <c r="A379" t="s">
        <v>1112</v>
      </c>
    </row>
    <row r="380" spans="1:7" x14ac:dyDescent="0.2">
      <c r="A380" t="s">
        <v>662</v>
      </c>
      <c r="G380" s="12"/>
    </row>
    <row r="381" spans="1:7" x14ac:dyDescent="0.2">
      <c r="A381" t="s">
        <v>1015</v>
      </c>
    </row>
    <row r="382" spans="1:7" x14ac:dyDescent="0.2">
      <c r="A382" t="s">
        <v>915</v>
      </c>
      <c r="G382" s="12"/>
    </row>
    <row r="383" spans="1:7" x14ac:dyDescent="0.2">
      <c r="A383" t="s">
        <v>1113</v>
      </c>
    </row>
    <row r="384" spans="1:7" x14ac:dyDescent="0.2">
      <c r="A384" t="s">
        <v>916</v>
      </c>
      <c r="G384" s="12"/>
    </row>
    <row r="385" spans="1:7" x14ac:dyDescent="0.2">
      <c r="A385" t="s">
        <v>1114</v>
      </c>
    </row>
    <row r="386" spans="1:7" x14ac:dyDescent="0.2">
      <c r="A386" t="s">
        <v>176</v>
      </c>
      <c r="G386" s="12"/>
    </row>
    <row r="387" spans="1:7" x14ac:dyDescent="0.2">
      <c r="A387" t="s">
        <v>1115</v>
      </c>
    </row>
    <row r="388" spans="1:7" x14ac:dyDescent="0.2">
      <c r="A388" t="s">
        <v>658</v>
      </c>
      <c r="G388" s="12"/>
    </row>
    <row r="389" spans="1:7" x14ac:dyDescent="0.2">
      <c r="A389" t="s">
        <v>1014</v>
      </c>
    </row>
    <row r="390" spans="1:7" x14ac:dyDescent="0.2">
      <c r="A390" t="s">
        <v>814</v>
      </c>
      <c r="G390" s="12"/>
    </row>
    <row r="391" spans="1:7" x14ac:dyDescent="0.2">
      <c r="A391" t="s">
        <v>1116</v>
      </c>
    </row>
    <row r="392" spans="1:7" x14ac:dyDescent="0.2">
      <c r="A392" t="s">
        <v>917</v>
      </c>
      <c r="G392" s="12"/>
    </row>
    <row r="393" spans="1:7" x14ac:dyDescent="0.2">
      <c r="A393" t="s">
        <v>1117</v>
      </c>
    </row>
    <row r="394" spans="1:7" x14ac:dyDescent="0.2">
      <c r="A394" t="s">
        <v>681</v>
      </c>
      <c r="G394" s="12"/>
    </row>
    <row r="395" spans="1:7" x14ac:dyDescent="0.2">
      <c r="A395" t="s">
        <v>964</v>
      </c>
    </row>
    <row r="396" spans="1:7" x14ac:dyDescent="0.2">
      <c r="A396" t="s">
        <v>918</v>
      </c>
      <c r="G396" s="12"/>
    </row>
    <row r="397" spans="1:7" x14ac:dyDescent="0.2">
      <c r="A397" t="s">
        <v>1118</v>
      </c>
    </row>
    <row r="398" spans="1:7" x14ac:dyDescent="0.2">
      <c r="A398" t="s">
        <v>919</v>
      </c>
      <c r="G398" s="12"/>
    </row>
    <row r="399" spans="1:7" x14ac:dyDescent="0.2">
      <c r="A399" t="s">
        <v>1119</v>
      </c>
    </row>
    <row r="400" spans="1:7" x14ac:dyDescent="0.2">
      <c r="A400" t="s">
        <v>812</v>
      </c>
      <c r="G400" s="12"/>
    </row>
    <row r="401" spans="1:7" x14ac:dyDescent="0.2">
      <c r="A401" t="s">
        <v>1120</v>
      </c>
    </row>
    <row r="402" spans="1:7" x14ac:dyDescent="0.2">
      <c r="A402" t="s">
        <v>920</v>
      </c>
      <c r="G402" s="12"/>
    </row>
    <row r="403" spans="1:7" x14ac:dyDescent="0.2">
      <c r="A403" t="s">
        <v>1121</v>
      </c>
    </row>
    <row r="404" spans="1:7" x14ac:dyDescent="0.2">
      <c r="A404" t="s">
        <v>798</v>
      </c>
      <c r="G404" s="12"/>
    </row>
    <row r="405" spans="1:7" x14ac:dyDescent="0.2">
      <c r="A405" t="s">
        <v>1122</v>
      </c>
    </row>
    <row r="406" spans="1:7" x14ac:dyDescent="0.2">
      <c r="A406" t="s">
        <v>921</v>
      </c>
    </row>
    <row r="407" spans="1:7" x14ac:dyDescent="0.2">
      <c r="A407" t="s">
        <v>1123</v>
      </c>
    </row>
    <row r="408" spans="1:7" x14ac:dyDescent="0.2">
      <c r="A408" t="s">
        <v>891</v>
      </c>
      <c r="G408" s="12"/>
    </row>
    <row r="409" spans="1:7" x14ac:dyDescent="0.2">
      <c r="A409" t="s">
        <v>1124</v>
      </c>
    </row>
    <row r="410" spans="1:7" x14ac:dyDescent="0.2">
      <c r="A410" t="s">
        <v>689</v>
      </c>
      <c r="G410" s="12"/>
    </row>
    <row r="411" spans="1:7" x14ac:dyDescent="0.2">
      <c r="A411" t="s">
        <v>1125</v>
      </c>
    </row>
    <row r="412" spans="1:7" x14ac:dyDescent="0.2">
      <c r="A412" t="s">
        <v>922</v>
      </c>
      <c r="G412" s="12"/>
    </row>
    <row r="413" spans="1:7" x14ac:dyDescent="0.2">
      <c r="A413" t="s">
        <v>1126</v>
      </c>
    </row>
    <row r="414" spans="1:7" x14ac:dyDescent="0.2">
      <c r="A414" t="s">
        <v>923</v>
      </c>
      <c r="G414" s="12"/>
    </row>
    <row r="415" spans="1:7" x14ac:dyDescent="0.2">
      <c r="A415" t="s">
        <v>1123</v>
      </c>
    </row>
    <row r="416" spans="1:7" x14ac:dyDescent="0.2">
      <c r="A416" t="s">
        <v>924</v>
      </c>
    </row>
    <row r="417" spans="1:7" x14ac:dyDescent="0.2">
      <c r="A417" t="s">
        <v>1127</v>
      </c>
      <c r="B417" s="12"/>
    </row>
    <row r="418" spans="1:7" x14ac:dyDescent="0.2">
      <c r="A418" t="s">
        <v>1128</v>
      </c>
    </row>
    <row r="419" spans="1:7" x14ac:dyDescent="0.2">
      <c r="A419" t="s">
        <v>925</v>
      </c>
      <c r="G419" s="12"/>
    </row>
    <row r="420" spans="1:7" x14ac:dyDescent="0.2">
      <c r="A420" t="s">
        <v>1129</v>
      </c>
    </row>
    <row r="421" spans="1:7" x14ac:dyDescent="0.2">
      <c r="A421" t="s">
        <v>926</v>
      </c>
      <c r="G421" s="12"/>
    </row>
    <row r="422" spans="1:7" x14ac:dyDescent="0.2">
      <c r="A422" t="s">
        <v>1130</v>
      </c>
    </row>
    <row r="423" spans="1:7" x14ac:dyDescent="0.2">
      <c r="A423" t="s">
        <v>910</v>
      </c>
      <c r="G423" s="12"/>
    </row>
    <row r="424" spans="1:7" x14ac:dyDescent="0.2">
      <c r="A424" t="s">
        <v>1131</v>
      </c>
    </row>
    <row r="425" spans="1:7" x14ac:dyDescent="0.2">
      <c r="A425" t="s">
        <v>927</v>
      </c>
      <c r="G425" s="12"/>
    </row>
    <row r="426" spans="1:7" x14ac:dyDescent="0.2">
      <c r="A426" t="s">
        <v>1132</v>
      </c>
    </row>
    <row r="427" spans="1:7" x14ac:dyDescent="0.2">
      <c r="A427" t="s">
        <v>928</v>
      </c>
      <c r="G427" s="12"/>
    </row>
    <row r="428" spans="1:7" x14ac:dyDescent="0.2">
      <c r="A428" t="s">
        <v>1133</v>
      </c>
    </row>
    <row r="429" spans="1:7" x14ac:dyDescent="0.2">
      <c r="A429" t="s">
        <v>929</v>
      </c>
      <c r="G429" s="12"/>
    </row>
    <row r="430" spans="1:7" x14ac:dyDescent="0.2">
      <c r="A430" t="s">
        <v>1044</v>
      </c>
    </row>
    <row r="431" spans="1:7" x14ac:dyDescent="0.2">
      <c r="A431" t="s">
        <v>930</v>
      </c>
      <c r="G431" s="12"/>
    </row>
    <row r="432" spans="1:7" x14ac:dyDescent="0.2">
      <c r="A432" t="s">
        <v>964</v>
      </c>
    </row>
    <row r="433" spans="1:7" x14ac:dyDescent="0.2">
      <c r="A433" t="s">
        <v>77</v>
      </c>
      <c r="G433" s="12"/>
    </row>
    <row r="434" spans="1:7" x14ac:dyDescent="0.2">
      <c r="A434" t="s">
        <v>1042</v>
      </c>
    </row>
    <row r="435" spans="1:7" x14ac:dyDescent="0.2">
      <c r="A435" t="s">
        <v>931</v>
      </c>
      <c r="G435" s="12"/>
    </row>
    <row r="436" spans="1:7" x14ac:dyDescent="0.2">
      <c r="A436" t="s">
        <v>989</v>
      </c>
    </row>
    <row r="437" spans="1:7" x14ac:dyDescent="0.2">
      <c r="A437" t="s">
        <v>690</v>
      </c>
      <c r="G437" s="12"/>
    </row>
    <row r="438" spans="1:7" x14ac:dyDescent="0.2">
      <c r="A438" t="s">
        <v>1039</v>
      </c>
    </row>
    <row r="439" spans="1:7" x14ac:dyDescent="0.2">
      <c r="A439" t="s">
        <v>932</v>
      </c>
      <c r="G439" s="12"/>
    </row>
    <row r="440" spans="1:7" x14ac:dyDescent="0.2">
      <c r="A440" t="s">
        <v>1134</v>
      </c>
    </row>
    <row r="441" spans="1:7" x14ac:dyDescent="0.2">
      <c r="A441" t="s">
        <v>817</v>
      </c>
      <c r="G441" s="12"/>
    </row>
    <row r="442" spans="1:7" x14ac:dyDescent="0.2">
      <c r="A442" t="s">
        <v>1135</v>
      </c>
    </row>
    <row r="443" spans="1:7" x14ac:dyDescent="0.2">
      <c r="A443" t="s">
        <v>933</v>
      </c>
    </row>
    <row r="444" spans="1:7" x14ac:dyDescent="0.2">
      <c r="A444" t="s">
        <v>934</v>
      </c>
      <c r="C444" s="12"/>
    </row>
    <row r="445" spans="1:7" x14ac:dyDescent="0.2">
      <c r="A445" t="s">
        <v>1136</v>
      </c>
    </row>
    <row r="446" spans="1:7" x14ac:dyDescent="0.2">
      <c r="A446" t="s">
        <v>935</v>
      </c>
      <c r="G446" s="12"/>
    </row>
    <row r="447" spans="1:7" x14ac:dyDescent="0.2">
      <c r="A447" t="s">
        <v>989</v>
      </c>
    </row>
    <row r="448" spans="1:7" x14ac:dyDescent="0.2">
      <c r="A448" t="s">
        <v>936</v>
      </c>
      <c r="G448" s="12"/>
    </row>
    <row r="449" spans="1:7" x14ac:dyDescent="0.2">
      <c r="A449" t="s">
        <v>1000</v>
      </c>
    </row>
    <row r="450" spans="1:7" x14ac:dyDescent="0.2">
      <c r="A450" t="s">
        <v>937</v>
      </c>
      <c r="G450" s="12"/>
    </row>
    <row r="451" spans="1:7" x14ac:dyDescent="0.2">
      <c r="A451" t="s">
        <v>1137</v>
      </c>
    </row>
    <row r="452" spans="1:7" x14ac:dyDescent="0.2">
      <c r="A452" t="s">
        <v>938</v>
      </c>
      <c r="G452" s="12"/>
    </row>
    <row r="453" spans="1:7" x14ac:dyDescent="0.2">
      <c r="A453" t="s">
        <v>980</v>
      </c>
    </row>
    <row r="454" spans="1:7" x14ac:dyDescent="0.2">
      <c r="A454" t="s">
        <v>657</v>
      </c>
      <c r="G454" s="12"/>
    </row>
    <row r="455" spans="1:7" x14ac:dyDescent="0.2">
      <c r="A455" t="s">
        <v>1138</v>
      </c>
    </row>
    <row r="456" spans="1:7" x14ac:dyDescent="0.2">
      <c r="A456" t="s">
        <v>691</v>
      </c>
      <c r="G456" s="12"/>
    </row>
    <row r="457" spans="1:7" x14ac:dyDescent="0.2">
      <c r="A457" t="s">
        <v>1139</v>
      </c>
    </row>
    <row r="458" spans="1:7" x14ac:dyDescent="0.2">
      <c r="A458" t="s">
        <v>939</v>
      </c>
    </row>
    <row r="459" spans="1:7" x14ac:dyDescent="0.2">
      <c r="A459" t="s">
        <v>1140</v>
      </c>
    </row>
    <row r="460" spans="1:7" x14ac:dyDescent="0.2">
      <c r="A460" t="s">
        <v>940</v>
      </c>
      <c r="G460" s="12"/>
    </row>
    <row r="461" spans="1:7" x14ac:dyDescent="0.2">
      <c r="A461" t="s">
        <v>1141</v>
      </c>
    </row>
    <row r="462" spans="1:7" x14ac:dyDescent="0.2">
      <c r="A462" t="s">
        <v>941</v>
      </c>
      <c r="G462" s="12"/>
    </row>
    <row r="463" spans="1:7" x14ac:dyDescent="0.2">
      <c r="A463" t="s">
        <v>1073</v>
      </c>
    </row>
    <row r="464" spans="1:7" x14ac:dyDescent="0.2">
      <c r="A464" t="s">
        <v>661</v>
      </c>
      <c r="G464" s="12"/>
    </row>
    <row r="465" spans="1:7" x14ac:dyDescent="0.2">
      <c r="A465" t="s">
        <v>1142</v>
      </c>
    </row>
    <row r="466" spans="1:7" x14ac:dyDescent="0.2">
      <c r="A466" t="s">
        <v>694</v>
      </c>
      <c r="G466" s="12"/>
    </row>
    <row r="467" spans="1:7" x14ac:dyDescent="0.2">
      <c r="A467" t="s">
        <v>1143</v>
      </c>
    </row>
    <row r="468" spans="1:7" x14ac:dyDescent="0.2">
      <c r="A468" t="s">
        <v>666</v>
      </c>
      <c r="G468" s="12"/>
    </row>
    <row r="469" spans="1:7" x14ac:dyDescent="0.2">
      <c r="A469" t="s">
        <v>976</v>
      </c>
    </row>
    <row r="470" spans="1:7" x14ac:dyDescent="0.2">
      <c r="A470" t="s">
        <v>942</v>
      </c>
      <c r="G470" s="12"/>
    </row>
    <row r="471" spans="1:7" x14ac:dyDescent="0.2">
      <c r="A471" t="s">
        <v>1144</v>
      </c>
    </row>
    <row r="472" spans="1:7" x14ac:dyDescent="0.2">
      <c r="A472" t="s">
        <v>943</v>
      </c>
      <c r="G472" s="12"/>
    </row>
    <row r="473" spans="1:7" x14ac:dyDescent="0.2">
      <c r="A473" t="s">
        <v>989</v>
      </c>
    </row>
    <row r="474" spans="1:7" x14ac:dyDescent="0.2">
      <c r="A474" t="s">
        <v>822</v>
      </c>
      <c r="G474" s="12"/>
    </row>
    <row r="475" spans="1:7" x14ac:dyDescent="0.2">
      <c r="A475" t="s">
        <v>1145</v>
      </c>
    </row>
    <row r="476" spans="1:7" x14ac:dyDescent="0.2">
      <c r="A476" t="s">
        <v>944</v>
      </c>
      <c r="G476" s="12"/>
    </row>
    <row r="477" spans="1:7" x14ac:dyDescent="0.2">
      <c r="A477" t="s">
        <v>1146</v>
      </c>
    </row>
    <row r="478" spans="1:7" x14ac:dyDescent="0.2">
      <c r="A478" t="s">
        <v>945</v>
      </c>
      <c r="G478" s="12"/>
    </row>
    <row r="479" spans="1:7" x14ac:dyDescent="0.2">
      <c r="A479" t="s">
        <v>1147</v>
      </c>
    </row>
    <row r="480" spans="1:7" x14ac:dyDescent="0.2">
      <c r="A480" t="s">
        <v>946</v>
      </c>
    </row>
    <row r="481" spans="1:7" x14ac:dyDescent="0.2">
      <c r="A481" t="s">
        <v>1148</v>
      </c>
      <c r="B481" s="12"/>
    </row>
    <row r="482" spans="1:7" x14ac:dyDescent="0.2">
      <c r="A482" t="s">
        <v>1149</v>
      </c>
    </row>
    <row r="483" spans="1:7" x14ac:dyDescent="0.2">
      <c r="A483" t="s">
        <v>947</v>
      </c>
      <c r="G483" s="12"/>
    </row>
    <row r="484" spans="1:7" x14ac:dyDescent="0.2">
      <c r="A484" t="s">
        <v>1150</v>
      </c>
    </row>
    <row r="485" spans="1:7" x14ac:dyDescent="0.2">
      <c r="A485" t="s">
        <v>696</v>
      </c>
      <c r="G485" s="12"/>
    </row>
    <row r="486" spans="1:7" x14ac:dyDescent="0.2">
      <c r="A486" t="s">
        <v>1151</v>
      </c>
    </row>
    <row r="487" spans="1:7" x14ac:dyDescent="0.2">
      <c r="A487" t="s">
        <v>683</v>
      </c>
      <c r="G487" s="12"/>
    </row>
    <row r="488" spans="1:7" x14ac:dyDescent="0.2">
      <c r="A488" t="s">
        <v>1152</v>
      </c>
    </row>
    <row r="489" spans="1:7" x14ac:dyDescent="0.2">
      <c r="A489" t="s">
        <v>948</v>
      </c>
      <c r="G489" s="12"/>
    </row>
    <row r="490" spans="1:7" x14ac:dyDescent="0.2">
      <c r="A490" t="s">
        <v>1153</v>
      </c>
    </row>
    <row r="491" spans="1:7" x14ac:dyDescent="0.2">
      <c r="A491" t="s">
        <v>479</v>
      </c>
      <c r="G491" s="12"/>
    </row>
    <row r="492" spans="1:7" x14ac:dyDescent="0.2">
      <c r="A492" t="s">
        <v>1045</v>
      </c>
    </row>
    <row r="493" spans="1:7" x14ac:dyDescent="0.2">
      <c r="A493" t="s">
        <v>82</v>
      </c>
      <c r="G493" s="12"/>
    </row>
    <row r="494" spans="1:7" x14ac:dyDescent="0.2">
      <c r="A494" t="s">
        <v>1154</v>
      </c>
    </row>
    <row r="495" spans="1:7" x14ac:dyDescent="0.2">
      <c r="A495" t="s">
        <v>692</v>
      </c>
      <c r="G495" s="12"/>
    </row>
    <row r="496" spans="1:7" x14ac:dyDescent="0.2">
      <c r="A496" t="s">
        <v>1155</v>
      </c>
    </row>
    <row r="497" spans="1:7" x14ac:dyDescent="0.2">
      <c r="A497" t="s">
        <v>949</v>
      </c>
      <c r="G497" s="12"/>
    </row>
    <row r="498" spans="1:7" x14ac:dyDescent="0.2">
      <c r="A498" t="s">
        <v>1156</v>
      </c>
    </row>
    <row r="499" spans="1:7" x14ac:dyDescent="0.2">
      <c r="A499" t="s">
        <v>950</v>
      </c>
      <c r="G499" s="12"/>
    </row>
    <row r="500" spans="1:7" x14ac:dyDescent="0.2">
      <c r="A500" t="s">
        <v>964</v>
      </c>
    </row>
    <row r="501" spans="1:7" x14ac:dyDescent="0.2">
      <c r="A501" t="s">
        <v>660</v>
      </c>
      <c r="G501" s="12"/>
    </row>
    <row r="502" spans="1:7" x14ac:dyDescent="0.2">
      <c r="A502" t="s">
        <v>1157</v>
      </c>
    </row>
    <row r="503" spans="1:7" x14ac:dyDescent="0.2">
      <c r="A503" t="s">
        <v>951</v>
      </c>
      <c r="G503" s="12"/>
    </row>
    <row r="504" spans="1:7" x14ac:dyDescent="0.2">
      <c r="A504" t="s">
        <v>1158</v>
      </c>
    </row>
    <row r="505" spans="1:7" x14ac:dyDescent="0.2">
      <c r="A505" t="s">
        <v>952</v>
      </c>
      <c r="G505" s="12"/>
    </row>
    <row r="506" spans="1:7" x14ac:dyDescent="0.2">
      <c r="A506" t="s">
        <v>1159</v>
      </c>
    </row>
    <row r="507" spans="1:7" x14ac:dyDescent="0.2">
      <c r="A507" t="s">
        <v>643</v>
      </c>
      <c r="G507" s="12"/>
    </row>
    <row r="508" spans="1:7" x14ac:dyDescent="0.2">
      <c r="A508" t="s">
        <v>1160</v>
      </c>
    </row>
    <row r="509" spans="1:7" x14ac:dyDescent="0.2">
      <c r="A509" t="s">
        <v>451</v>
      </c>
      <c r="G509" s="12"/>
    </row>
    <row r="510" spans="1:7" x14ac:dyDescent="0.2">
      <c r="A510" t="s">
        <v>1161</v>
      </c>
    </row>
    <row r="511" spans="1:7" x14ac:dyDescent="0.2">
      <c r="A511" t="s">
        <v>953</v>
      </c>
      <c r="G511" s="12"/>
    </row>
    <row r="512" spans="1:7" x14ac:dyDescent="0.2">
      <c r="A512" t="s">
        <v>1059</v>
      </c>
    </row>
    <row r="513" spans="1:7" x14ac:dyDescent="0.2">
      <c r="A513" t="s">
        <v>954</v>
      </c>
      <c r="G513" s="12"/>
    </row>
    <row r="514" spans="1:7" x14ac:dyDescent="0.2">
      <c r="A514" t="s">
        <v>1162</v>
      </c>
    </row>
    <row r="515" spans="1:7" x14ac:dyDescent="0.2">
      <c r="A515" t="s">
        <v>566</v>
      </c>
      <c r="G515" s="12"/>
    </row>
    <row r="516" spans="1:7" x14ac:dyDescent="0.2">
      <c r="A516" t="s">
        <v>1163</v>
      </c>
    </row>
    <row r="517" spans="1:7" x14ac:dyDescent="0.2">
      <c r="A517" t="s">
        <v>955</v>
      </c>
      <c r="G517" s="12"/>
    </row>
    <row r="518" spans="1:7" x14ac:dyDescent="0.2">
      <c r="A518" t="s">
        <v>1164</v>
      </c>
    </row>
    <row r="519" spans="1:7" x14ac:dyDescent="0.2">
      <c r="A519" t="s">
        <v>956</v>
      </c>
      <c r="G519" s="12"/>
    </row>
    <row r="520" spans="1:7" x14ac:dyDescent="0.2">
      <c r="A520" t="s">
        <v>1165</v>
      </c>
    </row>
    <row r="521" spans="1:7" x14ac:dyDescent="0.2">
      <c r="A521" t="s">
        <v>957</v>
      </c>
      <c r="G521" s="12"/>
    </row>
    <row r="522" spans="1:7" x14ac:dyDescent="0.2">
      <c r="A522" t="s">
        <v>1166</v>
      </c>
    </row>
    <row r="523" spans="1:7" x14ac:dyDescent="0.2">
      <c r="A523" t="s">
        <v>958</v>
      </c>
      <c r="G523" s="12"/>
    </row>
    <row r="524" spans="1:7" x14ac:dyDescent="0.2">
      <c r="A524" t="s">
        <v>1167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6797-A203-2242-90E4-73A8F85E583D}">
  <dimension ref="A1:D9"/>
  <sheetViews>
    <sheetView workbookViewId="0">
      <selection activeCell="B2" sqref="B2"/>
    </sheetView>
  </sheetViews>
  <sheetFormatPr baseColWidth="10" defaultColWidth="8.83203125" defaultRowHeight="16" x14ac:dyDescent="0.2"/>
  <cols>
    <col min="1" max="1" width="17.6640625" bestFit="1" customWidth="1"/>
    <col min="2" max="2" width="134.5" customWidth="1"/>
    <col min="4" max="4" width="120.5" customWidth="1"/>
  </cols>
  <sheetData>
    <row r="1" spans="1:4" x14ac:dyDescent="0.2">
      <c r="A1" t="s">
        <v>37</v>
      </c>
      <c r="B1" t="s">
        <v>38</v>
      </c>
    </row>
    <row r="2" spans="1:4" ht="409" customHeight="1" x14ac:dyDescent="0.2">
      <c r="B2" s="6" t="s">
        <v>39</v>
      </c>
    </row>
    <row r="5" spans="1:4" x14ac:dyDescent="0.2">
      <c r="A5" t="s">
        <v>43</v>
      </c>
      <c r="B5" t="s">
        <v>40</v>
      </c>
      <c r="D5" s="9" t="s">
        <v>51</v>
      </c>
    </row>
    <row r="6" spans="1:4" ht="408" customHeight="1" x14ac:dyDescent="0.2">
      <c r="B6" s="6" t="s">
        <v>41</v>
      </c>
      <c r="D6" s="6" t="s">
        <v>50</v>
      </c>
    </row>
    <row r="8" spans="1:4" x14ac:dyDescent="0.2">
      <c r="B8" s="7" t="s">
        <v>42</v>
      </c>
    </row>
    <row r="9" spans="1:4" ht="409.6" x14ac:dyDescent="0.2">
      <c r="B9" s="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 Total Visits By Brand</vt:lpstr>
      <vt:lpstr>Weekly visits</vt:lpstr>
      <vt:lpstr>Q1 Weekly Visits</vt:lpstr>
      <vt:lpstr>Q1 demographic factor</vt:lpstr>
      <vt:lpstr>Q3 Brand Stabilization</vt:lpstr>
      <vt:lpstr>Q2 Urban Rural Classification</vt:lpstr>
      <vt:lpstr>Q2 Heatmap</vt:lpstr>
      <vt:lpstr>Sheet2</vt:lpstr>
      <vt:lpstr>Texas county names</vt:lpstr>
      <vt:lpstr>Query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Agniva Mondal</dc:creator>
  <cp:keywords/>
  <dc:description/>
  <cp:lastModifiedBy>Ramana prabhu Sana</cp:lastModifiedBy>
  <cp:revision/>
  <dcterms:created xsi:type="dcterms:W3CDTF">2025-10-11T14:51:57Z</dcterms:created>
  <dcterms:modified xsi:type="dcterms:W3CDTF">2025-10-12T22:41:03Z</dcterms:modified>
  <cp:category/>
  <cp:contentStatus/>
</cp:coreProperties>
</file>