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n244/Dropbox/Purdue/course/MGMT670/slides/lec 4 Discrete probability distribution/"/>
    </mc:Choice>
  </mc:AlternateContent>
  <xr:revisionPtr revIDLastSave="0" documentId="13_ncr:1_{1503B241-D0F9-1542-851C-19300676DB9D}" xr6:coauthVersionLast="47" xr6:coauthVersionMax="47" xr10:uidLastSave="{00000000-0000-0000-0000-000000000000}"/>
  <bookViews>
    <workbookView xWindow="280" yWindow="700" windowWidth="26680" windowHeight="14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D15" i="1"/>
  <c r="D14" i="1"/>
  <c r="C16" i="1"/>
  <c r="D5" i="1"/>
  <c r="D6" i="1"/>
  <c r="D4" i="1"/>
  <c r="C7" i="1"/>
  <c r="D17" i="1" l="1"/>
  <c r="E15" i="1" s="1"/>
  <c r="F15" i="1" s="1"/>
  <c r="E14" i="1"/>
  <c r="F14" i="1" s="1"/>
  <c r="F18" i="1" s="1"/>
  <c r="G19" i="1" s="1"/>
  <c r="D8" i="1"/>
  <c r="E5" i="1" s="1"/>
  <c r="F5" i="1" s="1"/>
  <c r="J20" i="1"/>
  <c r="J12" i="1" l="1"/>
  <c r="J9" i="1"/>
  <c r="J18" i="1"/>
  <c r="J10" i="1"/>
  <c r="J19" i="1"/>
  <c r="J11" i="1"/>
  <c r="J21" i="1"/>
  <c r="J13" i="1"/>
  <c r="J22" i="1"/>
  <c r="J14" i="1"/>
  <c r="J23" i="1"/>
  <c r="J6" i="1"/>
  <c r="J15" i="1"/>
  <c r="J24" i="1"/>
  <c r="J7" i="1"/>
  <c r="J16" i="1"/>
  <c r="J25" i="1"/>
  <c r="J8" i="1"/>
  <c r="J17" i="1"/>
  <c r="J5" i="1"/>
  <c r="E4" i="1"/>
  <c r="F4" i="1" s="1"/>
  <c r="E6" i="1"/>
  <c r="F6" i="1" s="1"/>
  <c r="F9" i="1" l="1"/>
  <c r="G10" i="1"/>
  <c r="K18" i="1" s="1"/>
  <c r="L18" i="1" s="1"/>
  <c r="K9" i="1" l="1"/>
  <c r="L9" i="1" s="1"/>
  <c r="K17" i="1"/>
  <c r="L17" i="1" s="1"/>
  <c r="K19" i="1"/>
  <c r="L19" i="1" s="1"/>
  <c r="K14" i="1"/>
  <c r="L14" i="1" s="1"/>
  <c r="K15" i="1"/>
  <c r="L15" i="1" s="1"/>
  <c r="K11" i="1"/>
  <c r="L11" i="1" s="1"/>
  <c r="K6" i="1"/>
  <c r="L6" i="1" s="1"/>
  <c r="K24" i="1"/>
  <c r="L24" i="1" s="1"/>
  <c r="K21" i="1"/>
  <c r="L21" i="1" s="1"/>
  <c r="K7" i="1"/>
  <c r="L7" i="1" s="1"/>
  <c r="K13" i="1"/>
  <c r="L13" i="1" s="1"/>
  <c r="K10" i="1"/>
  <c r="L10" i="1" s="1"/>
  <c r="K8" i="1"/>
  <c r="L8" i="1" s="1"/>
  <c r="K25" i="1"/>
  <c r="L25" i="1" s="1"/>
  <c r="K20" i="1"/>
  <c r="L20" i="1" s="1"/>
  <c r="K22" i="1"/>
  <c r="L22" i="1" s="1"/>
  <c r="K12" i="1"/>
  <c r="L12" i="1" s="1"/>
  <c r="K5" i="1"/>
  <c r="L5" i="1" s="1"/>
  <c r="K23" i="1"/>
  <c r="L23" i="1" s="1"/>
  <c r="K16" i="1"/>
  <c r="L16" i="1" s="1"/>
</calcChain>
</file>

<file path=xl/sharedStrings.xml><?xml version="1.0" encoding="utf-8"?>
<sst xmlns="http://schemas.openxmlformats.org/spreadsheetml/2006/main" count="27" uniqueCount="26">
  <si>
    <t>xi</t>
  </si>
  <si>
    <t>f(xi)</t>
  </si>
  <si>
    <t>mean E(X)</t>
  </si>
  <si>
    <t>var(X)</t>
  </si>
  <si>
    <t>stdev(X)</t>
  </si>
  <si>
    <t>(xi-mean)^2</t>
  </si>
  <si>
    <t>total</t>
  </si>
  <si>
    <t>EXXON stock (X)</t>
  </si>
  <si>
    <t>yi</t>
  </si>
  <si>
    <t>f(yi)</t>
  </si>
  <si>
    <t>yi*f(yi)</t>
  </si>
  <si>
    <t>xi*f(xi)</t>
  </si>
  <si>
    <t>(xi-mean)^2*f(xi)</t>
  </si>
  <si>
    <t>(yi-mean)^2</t>
  </si>
  <si>
    <t>(yi-mean)^2*f(yi)</t>
  </si>
  <si>
    <t>mean E(Y)</t>
  </si>
  <si>
    <t>var(Y)</t>
  </si>
  <si>
    <t>stdev(Y)</t>
  </si>
  <si>
    <t>correlation(X,Y)</t>
  </si>
  <si>
    <t>p</t>
  </si>
  <si>
    <t>Combination of two stocks</t>
  </si>
  <si>
    <t>Z=p*X+(1-p)*Y</t>
  </si>
  <si>
    <t>E(Z)</t>
  </si>
  <si>
    <t>var(Z)</t>
  </si>
  <si>
    <t>stdev(Z)</t>
  </si>
  <si>
    <t>Apple stock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</si>
</sst>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stock combo</c:v>
          </c:tx>
          <c:xVal>
            <c:numRef>
              <c:f>Sheet1!$L$5:$L$25</c:f>
              <c:numCache>
                <c:formatCode>General</c:formatCode>
                <c:ptCount val="21"/>
                <c:pt idx="0">
                  <c:v>31.499999999999996</c:v>
                </c:pt>
                <c:pt idx="1">
                  <c:v>29.761220657089989</c:v>
                </c:pt>
                <c:pt idx="2">
                  <c:v>28.202663349407263</c:v>
                </c:pt>
                <c:pt idx="3">
                  <c:v>26.855723691608087</c:v>
                </c:pt>
                <c:pt idx="4">
                  <c:v>25.753626540741788</c:v>
                </c:pt>
                <c:pt idx="5">
                  <c:v>24.928866299934295</c:v>
                </c:pt>
                <c:pt idx="6">
                  <c:v>24.409571483334155</c:v>
                </c:pt>
                <c:pt idx="7">
                  <c:v>24.215402020201935</c:v>
                </c:pt>
                <c:pt idx="8">
                  <c:v>24.354135583099641</c:v>
                </c:pt>
                <c:pt idx="9">
                  <c:v>24.820190470663199</c:v>
                </c:pt>
                <c:pt idx="10">
                  <c:v>25.595692997064965</c:v>
                </c:pt>
                <c:pt idx="11">
                  <c:v>26.653646185841076</c:v>
                </c:pt>
                <c:pt idx="12">
                  <c:v>27.962008511550106</c:v>
                </c:pt>
                <c:pt idx="13">
                  <c:v>29.487466744364475</c:v>
                </c:pt>
                <c:pt idx="14">
                  <c:v>31.198191934790085</c:v>
                </c:pt>
                <c:pt idx="15">
                  <c:v>33.065440795489195</c:v>
                </c:pt>
                <c:pt idx="16">
                  <c:v>35.064216517697936</c:v>
                </c:pt>
                <c:pt idx="17">
                  <c:v>37.173308905718912</c:v>
                </c:pt>
                <c:pt idx="18">
                  <c:v>39.374994857142539</c:v>
                </c:pt>
                <c:pt idx="19">
                  <c:v>41.654594644528721</c:v>
                </c:pt>
                <c:pt idx="20">
                  <c:v>44</c:v>
                </c:pt>
              </c:numCache>
            </c:numRef>
          </c:xVal>
          <c:yVal>
            <c:numRef>
              <c:f>Sheet1!$J$5:$J$25</c:f>
              <c:numCache>
                <c:formatCode>General</c:formatCode>
                <c:ptCount val="21"/>
                <c:pt idx="0">
                  <c:v>20.5</c:v>
                </c:pt>
                <c:pt idx="1">
                  <c:v>21.875</c:v>
                </c:pt>
                <c:pt idx="2">
                  <c:v>23.250000000000004</c:v>
                </c:pt>
                <c:pt idx="3">
                  <c:v>24.625000000000004</c:v>
                </c:pt>
                <c:pt idx="4">
                  <c:v>26.000000000000004</c:v>
                </c:pt>
                <c:pt idx="5">
                  <c:v>27.375000000000007</c:v>
                </c:pt>
                <c:pt idx="6">
                  <c:v>28.750000000000007</c:v>
                </c:pt>
                <c:pt idx="7">
                  <c:v>30.125000000000007</c:v>
                </c:pt>
                <c:pt idx="8">
                  <c:v>31.500000000000011</c:v>
                </c:pt>
                <c:pt idx="9">
                  <c:v>32.875000000000014</c:v>
                </c:pt>
                <c:pt idx="10">
                  <c:v>34.250000000000014</c:v>
                </c:pt>
                <c:pt idx="11">
                  <c:v>35.625000000000014</c:v>
                </c:pt>
                <c:pt idx="12">
                  <c:v>37.000000000000007</c:v>
                </c:pt>
                <c:pt idx="13">
                  <c:v>38.375000000000007</c:v>
                </c:pt>
                <c:pt idx="14">
                  <c:v>39.750000000000014</c:v>
                </c:pt>
                <c:pt idx="15">
                  <c:v>41.125000000000007</c:v>
                </c:pt>
                <c:pt idx="16">
                  <c:v>42.500000000000007</c:v>
                </c:pt>
                <c:pt idx="17">
                  <c:v>43.875000000000007</c:v>
                </c:pt>
                <c:pt idx="18">
                  <c:v>45.250000000000014</c:v>
                </c:pt>
                <c:pt idx="19">
                  <c:v>46.625000000000007</c:v>
                </c:pt>
                <c:pt idx="20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BA-4942-A4BA-844582C0E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459088"/>
        <c:axId val="350460656"/>
      </c:scatterChart>
      <c:valAx>
        <c:axId val="350459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stdev(Z)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0460656"/>
        <c:crosses val="autoZero"/>
        <c:crossBetween val="midCat"/>
      </c:valAx>
      <c:valAx>
        <c:axId val="35046065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E(Z)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04590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E(Z)</c:v>
          </c:tx>
          <c:xVal>
            <c:numRef>
              <c:f>Sheet1!$I$5:$I$25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0</c:v>
                </c:pt>
              </c:numCache>
            </c:numRef>
          </c:xVal>
          <c:yVal>
            <c:numRef>
              <c:f>Sheet1!$J$5:$J$25</c:f>
              <c:numCache>
                <c:formatCode>General</c:formatCode>
                <c:ptCount val="21"/>
                <c:pt idx="0">
                  <c:v>20.5</c:v>
                </c:pt>
                <c:pt idx="1">
                  <c:v>21.875</c:v>
                </c:pt>
                <c:pt idx="2">
                  <c:v>23.250000000000004</c:v>
                </c:pt>
                <c:pt idx="3">
                  <c:v>24.625000000000004</c:v>
                </c:pt>
                <c:pt idx="4">
                  <c:v>26.000000000000004</c:v>
                </c:pt>
                <c:pt idx="5">
                  <c:v>27.375000000000007</c:v>
                </c:pt>
                <c:pt idx="6">
                  <c:v>28.750000000000007</c:v>
                </c:pt>
                <c:pt idx="7">
                  <c:v>30.125000000000007</c:v>
                </c:pt>
                <c:pt idx="8">
                  <c:v>31.500000000000011</c:v>
                </c:pt>
                <c:pt idx="9">
                  <c:v>32.875000000000014</c:v>
                </c:pt>
                <c:pt idx="10">
                  <c:v>34.250000000000014</c:v>
                </c:pt>
                <c:pt idx="11">
                  <c:v>35.625000000000014</c:v>
                </c:pt>
                <c:pt idx="12">
                  <c:v>37.000000000000007</c:v>
                </c:pt>
                <c:pt idx="13">
                  <c:v>38.375000000000007</c:v>
                </c:pt>
                <c:pt idx="14">
                  <c:v>39.750000000000014</c:v>
                </c:pt>
                <c:pt idx="15">
                  <c:v>41.125000000000007</c:v>
                </c:pt>
                <c:pt idx="16">
                  <c:v>42.500000000000007</c:v>
                </c:pt>
                <c:pt idx="17">
                  <c:v>43.875000000000007</c:v>
                </c:pt>
                <c:pt idx="18">
                  <c:v>45.250000000000014</c:v>
                </c:pt>
                <c:pt idx="19">
                  <c:v>46.625000000000007</c:v>
                </c:pt>
                <c:pt idx="20">
                  <c:v>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91-8045-8C19-E8D37C434A58}"/>
            </c:ext>
          </c:extLst>
        </c:ser>
        <c:ser>
          <c:idx val="1"/>
          <c:order val="1"/>
          <c:tx>
            <c:v>stdev(Z)</c:v>
          </c:tx>
          <c:marker>
            <c:spPr>
              <a:solidFill>
                <a:srgbClr val="00B050"/>
              </a:solidFill>
            </c:spPr>
          </c:marker>
          <c:xVal>
            <c:numRef>
              <c:f>Sheet1!$I$5:$I$25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0</c:v>
                </c:pt>
              </c:numCache>
            </c:numRef>
          </c:xVal>
          <c:yVal>
            <c:numRef>
              <c:f>Sheet1!$L$5:$L$25</c:f>
              <c:numCache>
                <c:formatCode>General</c:formatCode>
                <c:ptCount val="21"/>
                <c:pt idx="0">
                  <c:v>31.499999999999996</c:v>
                </c:pt>
                <c:pt idx="1">
                  <c:v>29.761220657089989</c:v>
                </c:pt>
                <c:pt idx="2">
                  <c:v>28.202663349407263</c:v>
                </c:pt>
                <c:pt idx="3">
                  <c:v>26.855723691608087</c:v>
                </c:pt>
                <c:pt idx="4">
                  <c:v>25.753626540741788</c:v>
                </c:pt>
                <c:pt idx="5">
                  <c:v>24.928866299934295</c:v>
                </c:pt>
                <c:pt idx="6">
                  <c:v>24.409571483334155</c:v>
                </c:pt>
                <c:pt idx="7">
                  <c:v>24.215402020201935</c:v>
                </c:pt>
                <c:pt idx="8">
                  <c:v>24.354135583099641</c:v>
                </c:pt>
                <c:pt idx="9">
                  <c:v>24.820190470663199</c:v>
                </c:pt>
                <c:pt idx="10">
                  <c:v>25.595692997064965</c:v>
                </c:pt>
                <c:pt idx="11">
                  <c:v>26.653646185841076</c:v>
                </c:pt>
                <c:pt idx="12">
                  <c:v>27.962008511550106</c:v>
                </c:pt>
                <c:pt idx="13">
                  <c:v>29.487466744364475</c:v>
                </c:pt>
                <c:pt idx="14">
                  <c:v>31.198191934790085</c:v>
                </c:pt>
                <c:pt idx="15">
                  <c:v>33.065440795489195</c:v>
                </c:pt>
                <c:pt idx="16">
                  <c:v>35.064216517697936</c:v>
                </c:pt>
                <c:pt idx="17">
                  <c:v>37.173308905718912</c:v>
                </c:pt>
                <c:pt idx="18">
                  <c:v>39.374994857142539</c:v>
                </c:pt>
                <c:pt idx="19">
                  <c:v>41.654594644528721</c:v>
                </c:pt>
                <c:pt idx="20">
                  <c:v>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91-8045-8C19-E8D37C434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469280"/>
        <c:axId val="350466144"/>
      </c:scatterChart>
      <c:valAx>
        <c:axId val="350469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0466144"/>
        <c:crosses val="autoZero"/>
        <c:crossBetween val="midCat"/>
      </c:valAx>
      <c:valAx>
        <c:axId val="350466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04692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335280</xdr:colOff>
      <xdr:row>17</xdr:row>
      <xdr:rowOff>3810</xdr:rowOff>
    </xdr:from>
    <xdr:to>
      <xdr:col>20</xdr:col>
      <xdr:colOff>30480</xdr:colOff>
      <xdr:row>32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350520</xdr:colOff>
      <xdr:row>0</xdr:row>
      <xdr:rowOff>125730</xdr:rowOff>
    </xdr:from>
    <xdr:to>
      <xdr:col>20</xdr:col>
      <xdr:colOff>45720</xdr:colOff>
      <xdr:row>16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G26" sqref="G26"/>
    </sheetView>
  </sheetViews>
  <sheetFormatPr baseColWidth="10" defaultColWidth="8.83203125" defaultRowHeight="15" x14ac:dyDescent="0.2"/>
  <cols>
    <col min="1" max="1" width="18" customWidth="1"/>
    <col min="5" max="5" width="11.1640625" customWidth="1"/>
    <col min="6" max="6" width="14.83203125" customWidth="1"/>
    <col min="9" max="9" width="12.5" customWidth="1"/>
  </cols>
  <sheetData>
    <row r="1" spans="1:12" x14ac:dyDescent="0.2">
      <c r="I1" t="s">
        <v>20</v>
      </c>
    </row>
    <row r="2" spans="1:12" x14ac:dyDescent="0.2">
      <c r="I2" t="s">
        <v>21</v>
      </c>
    </row>
    <row r="3" spans="1:12" x14ac:dyDescent="0.2">
      <c r="A3" t="s">
        <v>7</v>
      </c>
      <c r="B3" s="6" t="s">
        <v>0</v>
      </c>
      <c r="C3" s="7" t="s">
        <v>1</v>
      </c>
      <c r="D3" s="4" t="s">
        <v>11</v>
      </c>
      <c r="E3" s="4" t="s">
        <v>5</v>
      </c>
      <c r="F3" s="4" t="s">
        <v>12</v>
      </c>
    </row>
    <row r="4" spans="1:12" x14ac:dyDescent="0.2">
      <c r="B4" s="8">
        <v>45</v>
      </c>
      <c r="C4" s="9">
        <v>0.6</v>
      </c>
      <c r="D4" s="4">
        <f>B4*C4</f>
        <v>27</v>
      </c>
      <c r="E4" s="4">
        <f>(B4-$D$8)^2</f>
        <v>600.25</v>
      </c>
      <c r="F4" s="4">
        <f>E4*C4</f>
        <v>360.15</v>
      </c>
      <c r="I4" s="4" t="s">
        <v>19</v>
      </c>
      <c r="J4" s="4" t="s">
        <v>22</v>
      </c>
      <c r="K4" s="4" t="s">
        <v>23</v>
      </c>
      <c r="L4" s="4" t="s">
        <v>24</v>
      </c>
    </row>
    <row r="5" spans="1:12" x14ac:dyDescent="0.2">
      <c r="B5" s="8">
        <v>10</v>
      </c>
      <c r="C5" s="9">
        <v>0.1</v>
      </c>
      <c r="D5" s="4">
        <f t="shared" ref="D5:D6" si="0">B5*C5</f>
        <v>1</v>
      </c>
      <c r="E5" s="4">
        <f t="shared" ref="E5:E6" si="1">(B5-$D$8)^2</f>
        <v>110.25</v>
      </c>
      <c r="F5" s="4">
        <f t="shared" ref="F5:F6" si="2">E5*C5</f>
        <v>11.025</v>
      </c>
      <c r="I5" s="4">
        <v>1</v>
      </c>
      <c r="J5" s="4">
        <f>I5*$D$8+(1-I5)*$D$17</f>
        <v>20.5</v>
      </c>
      <c r="K5" s="4">
        <f>I5^2*$F$9+(1-I5)^2*$F$18+2*I5*(1-I5)*$B$23*$G$10*$G$19</f>
        <v>992.24999999999989</v>
      </c>
      <c r="L5" s="4">
        <f>SQRT(K5)</f>
        <v>31.499999999999996</v>
      </c>
    </row>
    <row r="6" spans="1:12" x14ac:dyDescent="0.2">
      <c r="B6" s="10">
        <v>-25</v>
      </c>
      <c r="C6" s="11">
        <v>0.3</v>
      </c>
      <c r="D6" s="4">
        <f t="shared" si="0"/>
        <v>-7.5</v>
      </c>
      <c r="E6" s="4">
        <f t="shared" si="1"/>
        <v>2070.25</v>
      </c>
      <c r="F6" s="4">
        <f t="shared" si="2"/>
        <v>621.07499999999993</v>
      </c>
      <c r="I6" s="4">
        <f>I5-0.05</f>
        <v>0.95</v>
      </c>
      <c r="J6" s="4">
        <f t="shared" ref="J6:J25" si="3">I6*$D$8+(1-I6)*$D$17</f>
        <v>21.875</v>
      </c>
      <c r="K6" s="4">
        <f t="shared" ref="K6:K25" si="4">I6^2*$F$9+(1-I6)^2*$F$18+2*I6*(1-I6)*$B$23*$G$10*$G$19</f>
        <v>885.73025499999994</v>
      </c>
      <c r="L6" s="4">
        <f t="shared" ref="L6:L25" si="5">SQRT(K6)</f>
        <v>29.761220657089989</v>
      </c>
    </row>
    <row r="7" spans="1:12" x14ac:dyDescent="0.2">
      <c r="A7" t="s">
        <v>6</v>
      </c>
      <c r="B7" s="4"/>
      <c r="C7" s="4">
        <f>SUM(C4:C6)</f>
        <v>1</v>
      </c>
      <c r="D7" s="4"/>
      <c r="E7" s="4"/>
      <c r="F7" s="4"/>
      <c r="I7" s="4">
        <f t="shared" ref="I7:I24" si="6">I6-0.05</f>
        <v>0.89999999999999991</v>
      </c>
      <c r="J7" s="4">
        <f t="shared" si="3"/>
        <v>23.250000000000004</v>
      </c>
      <c r="K7" s="4">
        <f t="shared" si="4"/>
        <v>795.39021999999977</v>
      </c>
      <c r="L7" s="4">
        <f t="shared" si="5"/>
        <v>28.202663349407263</v>
      </c>
    </row>
    <row r="8" spans="1:12" x14ac:dyDescent="0.2">
      <c r="A8" s="1" t="s">
        <v>2</v>
      </c>
      <c r="B8" s="4"/>
      <c r="C8" s="4"/>
      <c r="D8" s="5">
        <f>SUM(D4:D6)</f>
        <v>20.5</v>
      </c>
      <c r="E8" s="4"/>
      <c r="F8" s="4"/>
      <c r="I8" s="4">
        <f t="shared" si="6"/>
        <v>0.84999999999999987</v>
      </c>
      <c r="J8" s="4">
        <f t="shared" si="3"/>
        <v>24.625000000000004</v>
      </c>
      <c r="K8" s="4">
        <f t="shared" si="4"/>
        <v>721.22989499999983</v>
      </c>
      <c r="L8" s="4">
        <f t="shared" si="5"/>
        <v>26.855723691608087</v>
      </c>
    </row>
    <row r="9" spans="1:12" x14ac:dyDescent="0.2">
      <c r="A9" s="1" t="s">
        <v>3</v>
      </c>
      <c r="B9" s="4"/>
      <c r="C9" s="4"/>
      <c r="D9" s="4"/>
      <c r="E9" s="4"/>
      <c r="F9" s="5">
        <f>SUM(F4:F6)</f>
        <v>992.24999999999989</v>
      </c>
      <c r="I9" s="4">
        <f t="shared" si="6"/>
        <v>0.79999999999999982</v>
      </c>
      <c r="J9" s="4">
        <f t="shared" si="3"/>
        <v>26.000000000000004</v>
      </c>
      <c r="K9" s="4">
        <f t="shared" si="4"/>
        <v>663.24927999999977</v>
      </c>
      <c r="L9" s="4">
        <f t="shared" si="5"/>
        <v>25.753626540741788</v>
      </c>
    </row>
    <row r="10" spans="1:12" x14ac:dyDescent="0.2">
      <c r="A10" s="1" t="s">
        <v>4</v>
      </c>
      <c r="B10" s="4"/>
      <c r="C10" s="4"/>
      <c r="D10" s="4"/>
      <c r="E10" s="4"/>
      <c r="F10" s="4"/>
      <c r="G10" s="1">
        <f>SQRT(F9)</f>
        <v>31.499999999999996</v>
      </c>
      <c r="H10" s="1"/>
      <c r="I10" s="4">
        <f t="shared" si="6"/>
        <v>0.74999999999999978</v>
      </c>
      <c r="J10" s="4">
        <f t="shared" si="3"/>
        <v>27.375000000000007</v>
      </c>
      <c r="K10" s="4">
        <f t="shared" si="4"/>
        <v>621.44837499999983</v>
      </c>
      <c r="L10" s="4">
        <f t="shared" si="5"/>
        <v>24.928866299934295</v>
      </c>
    </row>
    <row r="11" spans="1:12" x14ac:dyDescent="0.2">
      <c r="A11" s="2"/>
      <c r="B11" s="3"/>
      <c r="C11" s="3"/>
      <c r="D11" s="3"/>
      <c r="E11" s="3"/>
      <c r="F11" s="3"/>
      <c r="G11" s="2"/>
      <c r="H11" s="2"/>
      <c r="I11" s="4">
        <f t="shared" si="6"/>
        <v>0.69999999999999973</v>
      </c>
      <c r="J11" s="4">
        <f t="shared" si="3"/>
        <v>28.750000000000007</v>
      </c>
      <c r="K11" s="4">
        <f t="shared" si="4"/>
        <v>595.82717999999988</v>
      </c>
      <c r="L11" s="4">
        <f t="shared" si="5"/>
        <v>24.409571483334155</v>
      </c>
    </row>
    <row r="12" spans="1:12" x14ac:dyDescent="0.2">
      <c r="B12" s="4"/>
      <c r="C12" s="4"/>
      <c r="D12" s="4"/>
      <c r="E12" s="4"/>
      <c r="F12" s="4"/>
      <c r="I12" s="4">
        <f t="shared" si="6"/>
        <v>0.64999999999999969</v>
      </c>
      <c r="J12" s="4">
        <f t="shared" si="3"/>
        <v>30.125000000000007</v>
      </c>
      <c r="K12" s="4">
        <f t="shared" si="4"/>
        <v>586.38569499999994</v>
      </c>
      <c r="L12" s="4">
        <f t="shared" si="5"/>
        <v>24.215402020201935</v>
      </c>
    </row>
    <row r="13" spans="1:12" x14ac:dyDescent="0.2">
      <c r="A13" t="s">
        <v>25</v>
      </c>
      <c r="B13" s="6" t="s">
        <v>8</v>
      </c>
      <c r="C13" s="7" t="s">
        <v>9</v>
      </c>
      <c r="D13" s="4" t="s">
        <v>10</v>
      </c>
      <c r="E13" s="4" t="s">
        <v>13</v>
      </c>
      <c r="F13" s="4" t="s">
        <v>14</v>
      </c>
      <c r="I13" s="4">
        <f t="shared" si="6"/>
        <v>0.59999999999999964</v>
      </c>
      <c r="J13" s="4">
        <f t="shared" si="3"/>
        <v>31.500000000000011</v>
      </c>
      <c r="K13" s="4">
        <f t="shared" si="4"/>
        <v>593.12392000000011</v>
      </c>
      <c r="L13" s="4">
        <f t="shared" si="5"/>
        <v>24.354135583099641</v>
      </c>
    </row>
    <row r="14" spans="1:12" x14ac:dyDescent="0.2">
      <c r="B14" s="8">
        <v>70</v>
      </c>
      <c r="C14" s="9">
        <v>0.8</v>
      </c>
      <c r="D14" s="4">
        <f>C14*B14</f>
        <v>56</v>
      </c>
      <c r="E14" s="4">
        <f>(B14-$D$17)^2</f>
        <v>484</v>
      </c>
      <c r="F14" s="4">
        <f>E14*C14</f>
        <v>387.20000000000005</v>
      </c>
      <c r="I14" s="4">
        <f t="shared" si="6"/>
        <v>0.5499999999999996</v>
      </c>
      <c r="J14" s="4">
        <f t="shared" si="3"/>
        <v>32.875000000000014</v>
      </c>
      <c r="K14" s="4">
        <f t="shared" si="4"/>
        <v>616.04185500000028</v>
      </c>
      <c r="L14" s="4">
        <f t="shared" si="5"/>
        <v>24.820190470663199</v>
      </c>
    </row>
    <row r="15" spans="1:12" x14ac:dyDescent="0.2">
      <c r="B15" s="10">
        <v>-40</v>
      </c>
      <c r="C15" s="11">
        <v>0.2</v>
      </c>
      <c r="D15" s="4">
        <f>C15*B15</f>
        <v>-8</v>
      </c>
      <c r="E15" s="4">
        <f>(B15-$D$17)^2</f>
        <v>7744</v>
      </c>
      <c r="F15" s="4">
        <f>E15*C15</f>
        <v>1548.8000000000002</v>
      </c>
      <c r="I15" s="4">
        <f t="shared" si="6"/>
        <v>0.49999999999999961</v>
      </c>
      <c r="J15" s="4">
        <f t="shared" si="3"/>
        <v>34.250000000000014</v>
      </c>
      <c r="K15" s="4">
        <f t="shared" si="4"/>
        <v>655.13950000000045</v>
      </c>
      <c r="L15" s="4">
        <f t="shared" si="5"/>
        <v>25.595692997064965</v>
      </c>
    </row>
    <row r="16" spans="1:12" x14ac:dyDescent="0.2">
      <c r="A16" t="s">
        <v>6</v>
      </c>
      <c r="B16" s="4"/>
      <c r="C16" s="4">
        <f>SUM(C14:C15)</f>
        <v>1</v>
      </c>
      <c r="D16" s="4"/>
      <c r="E16" s="4"/>
      <c r="F16" s="4"/>
      <c r="I16" s="4">
        <f t="shared" si="6"/>
        <v>0.44999999999999962</v>
      </c>
      <c r="J16" s="4">
        <f t="shared" si="3"/>
        <v>35.625000000000014</v>
      </c>
      <c r="K16" s="4">
        <f t="shared" si="4"/>
        <v>710.41685500000051</v>
      </c>
      <c r="L16" s="4">
        <f t="shared" si="5"/>
        <v>26.653646185841076</v>
      </c>
    </row>
    <row r="17" spans="1:12" x14ac:dyDescent="0.2">
      <c r="A17" s="1" t="s">
        <v>15</v>
      </c>
      <c r="B17" s="4"/>
      <c r="C17" s="4"/>
      <c r="D17" s="5">
        <f>SUM(D14:D15)</f>
        <v>48</v>
      </c>
      <c r="E17" s="4"/>
      <c r="F17" s="4"/>
      <c r="I17" s="4">
        <f t="shared" si="6"/>
        <v>0.39999999999999963</v>
      </c>
      <c r="J17" s="4">
        <f t="shared" si="3"/>
        <v>37.000000000000007</v>
      </c>
      <c r="K17" s="4">
        <f t="shared" si="4"/>
        <v>781.87392000000057</v>
      </c>
      <c r="L17" s="4">
        <f t="shared" si="5"/>
        <v>27.962008511550106</v>
      </c>
    </row>
    <row r="18" spans="1:12" x14ac:dyDescent="0.2">
      <c r="A18" s="1" t="s">
        <v>16</v>
      </c>
      <c r="F18" s="5">
        <f>SUM(F14:F15)</f>
        <v>1936.0000000000002</v>
      </c>
      <c r="I18" s="4">
        <f t="shared" si="6"/>
        <v>0.34999999999999964</v>
      </c>
      <c r="J18" s="4">
        <f t="shared" si="3"/>
        <v>38.375000000000007</v>
      </c>
      <c r="K18" s="4">
        <f t="shared" si="4"/>
        <v>869.51069500000085</v>
      </c>
      <c r="L18" s="4">
        <f t="shared" si="5"/>
        <v>29.487466744364475</v>
      </c>
    </row>
    <row r="19" spans="1:12" x14ac:dyDescent="0.2">
      <c r="A19" s="1" t="s">
        <v>17</v>
      </c>
      <c r="G19" s="1">
        <f>SQRT(F18)</f>
        <v>44</v>
      </c>
      <c r="H19" s="1"/>
      <c r="I19" s="4">
        <f t="shared" si="6"/>
        <v>0.29999999999999966</v>
      </c>
      <c r="J19" s="4">
        <f t="shared" si="3"/>
        <v>39.750000000000014</v>
      </c>
      <c r="K19" s="4">
        <f t="shared" si="4"/>
        <v>973.32718000000102</v>
      </c>
      <c r="L19" s="4">
        <f t="shared" si="5"/>
        <v>31.198191934790085</v>
      </c>
    </row>
    <row r="20" spans="1:12" x14ac:dyDescent="0.2">
      <c r="I20" s="4">
        <f t="shared" si="6"/>
        <v>0.24999999999999967</v>
      </c>
      <c r="J20" s="4">
        <f t="shared" si="3"/>
        <v>41.125000000000007</v>
      </c>
      <c r="K20" s="4">
        <f t="shared" si="4"/>
        <v>1093.3233750000011</v>
      </c>
      <c r="L20" s="4">
        <f t="shared" si="5"/>
        <v>33.065440795489195</v>
      </c>
    </row>
    <row r="21" spans="1:12" x14ac:dyDescent="0.2">
      <c r="A21" s="2"/>
      <c r="B21" s="2"/>
      <c r="C21" s="2"/>
      <c r="D21" s="2"/>
      <c r="E21" s="2"/>
      <c r="F21" s="2"/>
      <c r="G21" s="2"/>
      <c r="H21" s="2"/>
      <c r="I21" s="4">
        <f t="shared" si="6"/>
        <v>0.19999999999999968</v>
      </c>
      <c r="J21" s="4">
        <f t="shared" si="3"/>
        <v>42.500000000000007</v>
      </c>
      <c r="K21" s="4">
        <f t="shared" si="4"/>
        <v>1229.4992800000009</v>
      </c>
      <c r="L21" s="4">
        <f t="shared" si="5"/>
        <v>35.064216517697936</v>
      </c>
    </row>
    <row r="22" spans="1:12" x14ac:dyDescent="0.2">
      <c r="I22" s="4">
        <f t="shared" si="6"/>
        <v>0.14999999999999969</v>
      </c>
      <c r="J22" s="4">
        <f t="shared" si="3"/>
        <v>43.875000000000007</v>
      </c>
      <c r="K22" s="4">
        <f t="shared" si="4"/>
        <v>1381.8548950000011</v>
      </c>
      <c r="L22" s="4">
        <f t="shared" si="5"/>
        <v>37.173308905718912</v>
      </c>
    </row>
    <row r="23" spans="1:12" x14ac:dyDescent="0.2">
      <c r="A23" s="1" t="s">
        <v>18</v>
      </c>
      <c r="B23" s="1">
        <v>-0.111</v>
      </c>
      <c r="I23" s="4">
        <f t="shared" si="6"/>
        <v>9.9999999999999686E-2</v>
      </c>
      <c r="J23" s="4">
        <f t="shared" si="3"/>
        <v>45.250000000000014</v>
      </c>
      <c r="K23" s="4">
        <f t="shared" si="4"/>
        <v>1550.3902200000014</v>
      </c>
      <c r="L23" s="4">
        <f t="shared" si="5"/>
        <v>39.374994857142539</v>
      </c>
    </row>
    <row r="24" spans="1:12" x14ac:dyDescent="0.2">
      <c r="I24" s="4">
        <f t="shared" si="6"/>
        <v>4.9999999999999684E-2</v>
      </c>
      <c r="J24" s="4">
        <f t="shared" si="3"/>
        <v>46.625000000000007</v>
      </c>
      <c r="K24" s="4">
        <f t="shared" si="4"/>
        <v>1735.1052550000011</v>
      </c>
      <c r="L24" s="4">
        <f t="shared" si="5"/>
        <v>41.654594644528721</v>
      </c>
    </row>
    <row r="25" spans="1:12" x14ac:dyDescent="0.2">
      <c r="I25" s="4">
        <v>0</v>
      </c>
      <c r="J25" s="4">
        <f t="shared" si="3"/>
        <v>48</v>
      </c>
      <c r="K25" s="4">
        <f t="shared" si="4"/>
        <v>1936.0000000000002</v>
      </c>
      <c r="L25" s="4">
        <f t="shared" si="5"/>
        <v>44</v>
      </c>
    </row>
  </sheetData>
  <pageMargins left="0.7" right="0.7" top="0.75" bottom="0.75" header="0.3" footer="0.3"/>
  <pageSetup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Sun, Wei</cp:lastModifiedBy>
  <cp:lastPrinted>2024-08-26T23:20:28Z</cp:lastPrinted>
  <dcterms:created xsi:type="dcterms:W3CDTF">2014-09-02T20:50:21Z</dcterms:created>
  <dcterms:modified xsi:type="dcterms:W3CDTF">2024-08-26T23:20:38Z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2024-08-25T15:41:45Z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54e7e701-3a34-44f7-bf6d-a1c969576b4b</vt:lpwstr>
  </property>
  <property fmtid="{D5CDD505-2E9C-101B-9397-08002B2CF9AE}" pid="8" name="MSIP_Label_4044bd30-2ed7-4c9d-9d12-46200872a97b_ContentBits">
    <vt:lpwstr>0</vt:lpwstr>
  </property>
</Properties>
</file>