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244/Dropbox/Purdue/course/MGMT670/Fall2025/slides/lec 4 Discrete probability distribution/"/>
    </mc:Choice>
  </mc:AlternateContent>
  <xr:revisionPtr revIDLastSave="0" documentId="13_ncr:1_{7B12D09D-E6C5-0E46-A3AF-494B10683E87}" xr6:coauthVersionLast="47" xr6:coauthVersionMax="47" xr10:uidLastSave="{00000000-0000-0000-0000-000000000000}"/>
  <bookViews>
    <workbookView xWindow="120" yWindow="1260" windowWidth="26480" windowHeight="15140" xr2:uid="{97F3E52E-5BDD-3F46-8907-59050462A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G15" i="1"/>
  <c r="M13" i="1"/>
  <c r="M12" i="1"/>
  <c r="B8" i="1"/>
  <c r="B6" i="1"/>
  <c r="B4" i="1"/>
</calcChain>
</file>

<file path=xl/sharedStrings.xml><?xml version="1.0" encoding="utf-8"?>
<sst xmlns="http://schemas.openxmlformats.org/spreadsheetml/2006/main" count="12" uniqueCount="12">
  <si>
    <t>The records of a department store show that 20% of its customers who make a purchase return the merchandise in order to exchange it. This week the store had 150 customers. </t>
  </si>
  <si>
    <t>  </t>
  </si>
  <si>
    <r>
      <t>–</t>
    </r>
    <r>
      <rPr>
        <sz val="24"/>
        <color rgb="FF000000"/>
        <rFont val="Calibri"/>
        <family val="2"/>
      </rPr>
      <t>what is the probability that less than 20 customers will return the merchandise for exchange?</t>
    </r>
  </si>
  <si>
    <r>
      <t>–</t>
    </r>
    <r>
      <rPr>
        <sz val="24"/>
        <color rgb="FF000000"/>
        <rFont val="Calibri"/>
        <family val="2"/>
      </rPr>
      <t>what is the probability that more than 40 customers will return the merchandise for exchange?</t>
    </r>
  </si>
  <si>
    <r>
      <t>–</t>
    </r>
    <r>
      <rPr>
        <sz val="24"/>
        <color rgb="FF000000"/>
        <rFont val="Calibri"/>
        <family val="2"/>
      </rPr>
      <t>what is the probability that between 25 and 35  customers will return the merchandise for exchange?</t>
    </r>
  </si>
  <si>
    <t xml:space="preserve">In 2024 president election, Trump gets 58.6% of votes in IN. In a random collection of 10 voters. </t>
  </si>
  <si>
    <r>
      <t>•</t>
    </r>
    <r>
      <rPr>
        <sz val="32"/>
        <color rgb="FF000000"/>
        <rFont val="Calibri"/>
        <family val="2"/>
      </rPr>
      <t>On average, how many votes does Trump have?</t>
    </r>
  </si>
  <si>
    <r>
      <t>•</t>
    </r>
    <r>
      <rPr>
        <sz val="32"/>
        <color rgb="FF000000"/>
        <rFont val="Calibri"/>
        <family val="2"/>
      </rPr>
      <t>What is its standard deviation?</t>
    </r>
  </si>
  <si>
    <r>
      <t>•</t>
    </r>
    <r>
      <rPr>
        <sz val="32"/>
        <color rgb="FF000000"/>
        <rFont val="Calibri"/>
        <family val="2"/>
      </rPr>
      <t>What's the probability that less than 9 of these randomly selected 10 voters voted Trump</t>
    </r>
  </si>
  <si>
    <t>An airplane has 100 seats. The airline “overbooks” a flight (sells more tickets than available seats) in order to maximize their profit. Assume that each ticket holder’s decision to show up for a flight is an independent Bernoulli trial with a probability of showing up for the flight of 0.92. If the airline profit is $10 for each seat sold and the airline loses $40 for each “bumped” passenger, what is the expected profit if 103 seats are sold?</t>
  </si>
  <si>
    <t>Answer: expected profit =P(X &lt;= 100) * (1030)+P(X=101)*(1030-40)+P(X=102)*(1030-40*2)+P(X=103)*(1030-40*3)</t>
  </si>
  <si>
    <t>Using excel: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</si>
</sst>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26"/>
      <color rgb="FFFF0000"/>
      <name val="Aptos Narrow"/>
      <family val="2"/>
      <scheme val="minor"/>
    </font>
    <font>
      <sz val="20"/>
      <color rgb="FF000000"/>
      <name val="Calibri"/>
      <family val="2"/>
    </font>
    <font>
      <sz val="24"/>
      <color rgb="FF000000"/>
      <name val="Calibri"/>
      <family val="2"/>
    </font>
    <font>
      <sz val="24"/>
      <color theme="1"/>
      <name val="Arial"/>
      <family val="2"/>
    </font>
    <font>
      <sz val="24"/>
      <color theme="1"/>
      <name val="Aptos Narrow"/>
      <family val="2"/>
      <scheme val="minor"/>
    </font>
    <font>
      <sz val="24"/>
      <color rgb="FFFF0000"/>
      <name val="Calibri"/>
      <family val="2"/>
    </font>
    <font>
      <sz val="24"/>
      <color rgb="FFFF0000"/>
      <name val="Aptos Narrow"/>
      <family val="2"/>
      <scheme val="minor"/>
    </font>
    <font>
      <sz val="32"/>
      <color rgb="FF000000"/>
      <name val="Calibri"/>
      <family val="2"/>
    </font>
    <font>
      <sz val="32"/>
      <color theme="1"/>
      <name val="Arial"/>
      <family val="2"/>
    </font>
    <font>
      <sz val="18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indent="9" readingOrder="1"/>
    </xf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indent="4" readingOrder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 readingOrder="1"/>
    </xf>
    <xf numFmtId="0" fontId="11" fillId="0" borderId="0" xfId="0" applyFont="1"/>
    <xf numFmtId="0" fontId="12" fillId="0" borderId="0" xfId="0" applyFont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25CF-C5C1-6F4F-8979-5915109EC16D}">
  <dimension ref="A1:P20"/>
  <sheetViews>
    <sheetView tabSelected="1" topLeftCell="A7" workbookViewId="0">
      <selection activeCell="D20" sqref="D20"/>
    </sheetView>
  </sheetViews>
  <sheetFormatPr baseColWidth="10" defaultRowHeight="16" x14ac:dyDescent="0.2"/>
  <cols>
    <col min="4" max="4" width="14.5" bestFit="1" customWidth="1"/>
    <col min="13" max="13" width="37.83203125" customWidth="1"/>
  </cols>
  <sheetData>
    <row r="1" spans="1:16" s="2" customFormat="1" ht="31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3"/>
      <c r="O1" s="3"/>
      <c r="P1" s="3"/>
    </row>
    <row r="2" spans="1:16" s="2" customFormat="1" ht="31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3"/>
      <c r="O2" s="3"/>
      <c r="P2" s="3"/>
    </row>
    <row r="3" spans="1:16" s="5" customFormat="1" ht="32" x14ac:dyDescent="0.4">
      <c r="A3" s="4" t="s">
        <v>2</v>
      </c>
    </row>
    <row r="4" spans="1:16" s="1" customFormat="1" ht="34" x14ac:dyDescent="0.4">
      <c r="A4" s="6" t="s">
        <v>1</v>
      </c>
      <c r="B4" s="14">
        <f>_xlfn.BINOM.DIST(19, 150, 0.2, TRUE)</f>
        <v>1.2753100917586229E-2</v>
      </c>
      <c r="C4" s="14"/>
      <c r="D4" s="14"/>
      <c r="E4" s="7"/>
      <c r="F4" s="7"/>
      <c r="G4" s="7"/>
      <c r="H4" s="7"/>
      <c r="I4" s="8"/>
      <c r="J4" s="7"/>
      <c r="K4" s="7"/>
      <c r="L4" s="7"/>
      <c r="M4" s="7"/>
    </row>
    <row r="5" spans="1:16" ht="32" x14ac:dyDescent="0.4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6" ht="32" x14ac:dyDescent="0.4">
      <c r="A6" s="9"/>
      <c r="B6" s="14">
        <f>1-_xlfn.BINOM.DIST(40,150,0.2,1)</f>
        <v>1.8696834311108468E-2</v>
      </c>
      <c r="C6" s="14"/>
      <c r="D6" s="14"/>
      <c r="E6" s="5"/>
      <c r="F6" s="5"/>
      <c r="G6" s="5"/>
      <c r="H6" s="5"/>
      <c r="I6" s="5"/>
      <c r="J6" s="5"/>
      <c r="K6" s="5"/>
      <c r="L6" s="5"/>
      <c r="M6" s="5"/>
    </row>
    <row r="7" spans="1:16" ht="32" x14ac:dyDescent="0.4">
      <c r="A7" s="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6" ht="32" x14ac:dyDescent="0.4">
      <c r="A8" s="5"/>
      <c r="B8" s="14">
        <f>_xlfn.BINOM.DIST(35, 150, 0.2, TRUE) - _xlfn.BINOM.DIST(24, 150, 0.2, TRUE)</f>
        <v>0.7389133474639823</v>
      </c>
      <c r="C8" s="14"/>
      <c r="D8" s="14"/>
      <c r="E8" s="5"/>
      <c r="F8" s="5"/>
      <c r="G8" s="5"/>
      <c r="H8" s="5"/>
      <c r="I8" s="5"/>
      <c r="J8" s="5"/>
      <c r="K8" s="5"/>
      <c r="L8" s="5"/>
      <c r="M8" s="5"/>
    </row>
    <row r="9" spans="1:16" ht="32" x14ac:dyDescent="0.4">
      <c r="A9" s="5"/>
      <c r="B9" s="14"/>
      <c r="C9" s="14"/>
      <c r="D9" s="14"/>
      <c r="E9" s="5"/>
      <c r="F9" s="5"/>
      <c r="G9" s="5"/>
      <c r="H9" s="5"/>
      <c r="I9" s="5"/>
      <c r="J9" s="5"/>
      <c r="K9" s="5"/>
      <c r="L9" s="5"/>
      <c r="M9" s="5"/>
    </row>
    <row r="10" spans="1:16" ht="32" x14ac:dyDescent="0.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6" ht="42" x14ac:dyDescent="0.2">
      <c r="A11" s="10" t="s">
        <v>5</v>
      </c>
    </row>
    <row r="12" spans="1:16" ht="42" x14ac:dyDescent="0.3">
      <c r="A12" s="11" t="s">
        <v>6</v>
      </c>
      <c r="M12" s="12">
        <f>10*0.586</f>
        <v>5.8599999999999994</v>
      </c>
    </row>
    <row r="13" spans="1:16" ht="42" x14ac:dyDescent="0.35">
      <c r="A13" s="11" t="s">
        <v>7</v>
      </c>
      <c r="M13" s="13">
        <f>SQRT(10*0.586*(1-0.586))</f>
        <v>1.5575750383207867</v>
      </c>
    </row>
    <row r="14" spans="1:16" ht="42" x14ac:dyDescent="0.2">
      <c r="A14" s="11" t="s">
        <v>8</v>
      </c>
    </row>
    <row r="15" spans="1:16" ht="27" x14ac:dyDescent="0.35">
      <c r="G15" s="16">
        <f>_xlfn.BINOM.DIST(8,10,0.586,1)</f>
        <v>0.96149011147574015</v>
      </c>
      <c r="H15" s="16"/>
    </row>
    <row r="17" spans="1:4" ht="32" x14ac:dyDescent="0.4">
      <c r="A17" s="17" t="s">
        <v>9</v>
      </c>
    </row>
    <row r="19" spans="1:4" s="7" customFormat="1" ht="32" x14ac:dyDescent="0.4">
      <c r="B19" s="7" t="s">
        <v>10</v>
      </c>
    </row>
    <row r="20" spans="1:4" s="7" customFormat="1" ht="32" x14ac:dyDescent="0.4">
      <c r="B20" s="7" t="s">
        <v>11</v>
      </c>
      <c r="D20" s="18">
        <f>_xlfn.BINOM.DIST(100,103,0.92,1)*1030+_xlfn.BINOM.DIST(101,103,0.92,0)*(1030-40)+_xlfn.BINOM.DIST(102,103,0.92,0)*(1030-40*2)+_xlfn.BINOM.DIST(103,103,0.92,0)*(1030-40*3)</f>
        <v>1029.5482301946076</v>
      </c>
    </row>
  </sheetData>
  <mergeCells count="5">
    <mergeCell ref="B4:D4"/>
    <mergeCell ref="B6:D6"/>
    <mergeCell ref="B8:D9"/>
    <mergeCell ref="A1:M2"/>
    <mergeCell ref="G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Wei</dc:creator>
  <cp:lastModifiedBy>Wei Sun</cp:lastModifiedBy>
  <dcterms:created xsi:type="dcterms:W3CDTF">2024-08-30T02:04:53Z</dcterms:created>
  <dcterms:modified xsi:type="dcterms:W3CDTF">2025-09-08T16:09:47Z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2024-08-30T02:06:25Z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a719039b-3062-4afb-9e8f-6f97c3ec468e</vt:lpwstr>
  </property>
  <property fmtid="{D5CDD505-2E9C-101B-9397-08002B2CF9AE}" pid="8" name="MSIP_Label_4044bd30-2ed7-4c9d-9d12-46200872a97b_ContentBits">
    <vt:lpwstr>0</vt:lpwstr>
  </property>
</Properties>
</file>