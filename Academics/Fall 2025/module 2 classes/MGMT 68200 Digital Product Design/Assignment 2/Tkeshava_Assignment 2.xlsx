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purdue0-my.sharepoint.com/personal/rsana_purdue_edu/Documents/Fall 2025-Prabhu’s MacBook Air/module 2 classes/Digital Product Design/Assignment 2/"/>
    </mc:Choice>
  </mc:AlternateContent>
  <xr:revisionPtr revIDLastSave="0" documentId="8_{68F51744-74B1-7E42-8C4E-07C4A680DAE9}" xr6:coauthVersionLast="47" xr6:coauthVersionMax="47" xr10:uidLastSave="{00000000-0000-0000-0000-000000000000}"/>
  <bookViews>
    <workbookView xWindow="1100" yWindow="740" windowWidth="28040" windowHeight="17100" activeTab="5" xr2:uid="{6A5CBD3B-1542-C442-B1AB-9C817A7BE523}"/>
  </bookViews>
  <sheets>
    <sheet name="Raw" sheetId="1" r:id="rId1"/>
    <sheet name="Question 2" sheetId="2" r:id="rId2"/>
    <sheet name="Question 3" sheetId="4" r:id="rId3"/>
    <sheet name="Question 4" sheetId="5" r:id="rId4"/>
    <sheet name="Question 5" sheetId="6" r:id="rId5"/>
    <sheet name="Question 6" sheetId="7" r:id="rId6"/>
  </sheets>
  <definedNames>
    <definedName name="solver_adj" localSheetId="1" hidden="1">'Question 2'!$E$27</definedName>
    <definedName name="solver_adj" localSheetId="2" hidden="1">'Question 3'!$E$3:$E$4</definedName>
    <definedName name="solver_adj" localSheetId="0" hidden="1">Raw!$E$3</definedName>
    <definedName name="solver_cvg" localSheetId="1" hidden="1">0.0001</definedName>
    <definedName name="solver_cvg" localSheetId="2" hidden="1">0.0001</definedName>
    <definedName name="solver_cvg" localSheetId="0" hidden="1">0.0001</definedName>
    <definedName name="solver_drv" localSheetId="1" hidden="1">1</definedName>
    <definedName name="solver_drv" localSheetId="2" hidden="1">1</definedName>
    <definedName name="solver_drv" localSheetId="0" hidden="1">1</definedName>
    <definedName name="solver_eng" localSheetId="1" hidden="1">1</definedName>
    <definedName name="solver_eng" localSheetId="2" hidden="1">1</definedName>
    <definedName name="solver_eng" localSheetId="0" hidden="1">1</definedName>
    <definedName name="solver_itr" localSheetId="1" hidden="1">2147483647</definedName>
    <definedName name="solver_itr" localSheetId="2" hidden="1">2147483647</definedName>
    <definedName name="solver_itr" localSheetId="0" hidden="1">2147483647</definedName>
    <definedName name="solver_lhs1" localSheetId="1" hidden="1">'Question 2'!$E$27</definedName>
    <definedName name="solver_lhs1" localSheetId="2" hidden="1">'Question 3'!$E$3</definedName>
    <definedName name="solver_lhs2" localSheetId="1" hidden="1">'Question 2'!$H$27</definedName>
    <definedName name="solver_lhs2" localSheetId="2" hidden="1">'Question 3'!$E$4</definedName>
    <definedName name="solver_lhs3" localSheetId="2" hidden="1">'Question 3'!$H$3</definedName>
    <definedName name="solver_lhs4" localSheetId="2" hidden="1">'Question 3'!$H$4</definedName>
    <definedName name="solver_lin" localSheetId="1" hidden="1">2</definedName>
    <definedName name="solver_lin" localSheetId="2" hidden="1">2</definedName>
    <definedName name="solver_lin" localSheetId="0" hidden="1">2</definedName>
    <definedName name="solver_mip" localSheetId="1" hidden="1">2147483647</definedName>
    <definedName name="solver_mip" localSheetId="2" hidden="1">2147483647</definedName>
    <definedName name="solver_mip" localSheetId="0" hidden="1">2147483647</definedName>
    <definedName name="solver_mni" localSheetId="1" hidden="1">30</definedName>
    <definedName name="solver_mni" localSheetId="2" hidden="1">30</definedName>
    <definedName name="solver_mni" localSheetId="0" hidden="1">30</definedName>
    <definedName name="solver_mrt" localSheetId="1" hidden="1">0.075</definedName>
    <definedName name="solver_mrt" localSheetId="2" hidden="1">0.075</definedName>
    <definedName name="solver_mrt" localSheetId="0" hidden="1">0.075</definedName>
    <definedName name="solver_msl" localSheetId="1" hidden="1">2</definedName>
    <definedName name="solver_msl" localSheetId="2" hidden="1">2</definedName>
    <definedName name="solver_msl" localSheetId="0" hidden="1">2</definedName>
    <definedName name="solver_neg" localSheetId="1" hidden="1">1</definedName>
    <definedName name="solver_neg" localSheetId="2" hidden="1">1</definedName>
    <definedName name="solver_neg" localSheetId="0" hidden="1">1</definedName>
    <definedName name="solver_nod" localSheetId="1" hidden="1">2147483647</definedName>
    <definedName name="solver_nod" localSheetId="2" hidden="1">2147483647</definedName>
    <definedName name="solver_nod" localSheetId="0" hidden="1">2147483647</definedName>
    <definedName name="solver_num" localSheetId="1" hidden="1">2</definedName>
    <definedName name="solver_num" localSheetId="2" hidden="1">4</definedName>
    <definedName name="solver_num" localSheetId="0" hidden="1">0</definedName>
    <definedName name="solver_opt" localSheetId="1" hidden="1">'Question 2'!$K$27</definedName>
    <definedName name="solver_opt" localSheetId="2" hidden="1">'Question 3'!$K$5</definedName>
    <definedName name="solver_opt" localSheetId="0" hidden="1">Raw!$K$3</definedName>
    <definedName name="solver_pre" localSheetId="1" hidden="1">0.000001</definedName>
    <definedName name="solver_pre" localSheetId="2" hidden="1">0.000001</definedName>
    <definedName name="solver_pre" localSheetId="0" hidden="1">0.000001</definedName>
    <definedName name="solver_rbv" localSheetId="1" hidden="1">1</definedName>
    <definedName name="solver_rbv" localSheetId="2" hidden="1">1</definedName>
    <definedName name="solver_rbv" localSheetId="0" hidden="1">1</definedName>
    <definedName name="solver_rel1" localSheetId="1" hidden="1">3</definedName>
    <definedName name="solver_rel1" localSheetId="2" hidden="1">3</definedName>
    <definedName name="solver_rel2" localSheetId="1" hidden="1">3</definedName>
    <definedName name="solver_rel2" localSheetId="2" hidden="1">3</definedName>
    <definedName name="solver_rel3" localSheetId="2" hidden="1">3</definedName>
    <definedName name="solver_rel4" localSheetId="2" hidden="1">3</definedName>
    <definedName name="solver_rhs1" localSheetId="1" hidden="1">0</definedName>
    <definedName name="solver_rhs1" localSheetId="2" hidden="1">0</definedName>
    <definedName name="solver_rhs2" localSheetId="1" hidden="1">0</definedName>
    <definedName name="solver_rhs2" localSheetId="2" hidden="1">0</definedName>
    <definedName name="solver_rhs3" localSheetId="2" hidden="1">0</definedName>
    <definedName name="solver_rhs4" localSheetId="2" hidden="1">0</definedName>
    <definedName name="solver_rlx" localSheetId="1" hidden="1">1</definedName>
    <definedName name="solver_rlx" localSheetId="2" hidden="1">2</definedName>
    <definedName name="solver_rlx" localSheetId="0" hidden="1">2</definedName>
    <definedName name="solver_rsd" localSheetId="1" hidden="1">0</definedName>
    <definedName name="solver_rsd" localSheetId="2" hidden="1">0</definedName>
    <definedName name="solver_rsd" localSheetId="0" hidden="1">0</definedName>
    <definedName name="solver_scl" localSheetId="1" hidden="1">2</definedName>
    <definedName name="solver_scl" localSheetId="2" hidden="1">1</definedName>
    <definedName name="solver_scl" localSheetId="0" hidden="1">1</definedName>
    <definedName name="solver_sho" localSheetId="1" hidden="1">2</definedName>
    <definedName name="solver_sho" localSheetId="2" hidden="1">2</definedName>
    <definedName name="solver_sho" localSheetId="0" hidden="1">2</definedName>
    <definedName name="solver_ssz" localSheetId="1" hidden="1">100</definedName>
    <definedName name="solver_ssz" localSheetId="2" hidden="1">100</definedName>
    <definedName name="solver_ssz" localSheetId="0" hidden="1">100</definedName>
    <definedName name="solver_tim" localSheetId="1" hidden="1">2147483647</definedName>
    <definedName name="solver_tim" localSheetId="2" hidden="1">2147483647</definedName>
    <definedName name="solver_tim" localSheetId="0" hidden="1">2147483647</definedName>
    <definedName name="solver_tol" localSheetId="1" hidden="1">0.01</definedName>
    <definedName name="solver_tol" localSheetId="2" hidden="1">0.01</definedName>
    <definedName name="solver_tol" localSheetId="0" hidden="1">0.01</definedName>
    <definedName name="solver_typ" localSheetId="1" hidden="1">1</definedName>
    <definedName name="solver_typ" localSheetId="2" hidden="1">1</definedName>
    <definedName name="solver_typ" localSheetId="0" hidden="1">1</definedName>
    <definedName name="solver_val" localSheetId="1" hidden="1">0</definedName>
    <definedName name="solver_val" localSheetId="2" hidden="1">0</definedName>
    <definedName name="solver_val" localSheetId="0" hidden="1">0</definedName>
    <definedName name="solver_ver" localSheetId="1" hidden="1">2</definedName>
    <definedName name="solver_ver" localSheetId="2" hidden="1">2</definedName>
    <definedName name="solver_ver" localSheetId="0"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B7" i="7" s="1"/>
  <c r="C6" i="7"/>
  <c r="C7" i="7" s="1"/>
  <c r="C6" i="6"/>
  <c r="B6" i="6"/>
  <c r="C5" i="6"/>
  <c r="B5" i="6"/>
  <c r="H10" i="5"/>
  <c r="K10" i="5" s="1"/>
  <c r="H4" i="5"/>
  <c r="H5" i="5" s="1"/>
  <c r="K5" i="5" s="1"/>
  <c r="K3" i="1"/>
  <c r="H3" i="4"/>
  <c r="H4" i="4" s="1"/>
  <c r="K4" i="4" s="1"/>
  <c r="H26" i="2"/>
  <c r="H27" i="2" s="1"/>
  <c r="K27" i="2" s="1"/>
  <c r="H16" i="2"/>
  <c r="K16" i="2" s="1"/>
  <c r="H3" i="2"/>
  <c r="K3" i="2" s="1"/>
  <c r="H3" i="1"/>
  <c r="H4" i="1" s="1"/>
  <c r="K4" i="1" s="1"/>
  <c r="H11" i="5" l="1"/>
  <c r="K11" i="5" s="1"/>
  <c r="K12" i="5" s="1"/>
  <c r="K4" i="5"/>
  <c r="K6" i="5" s="1"/>
  <c r="K3" i="4"/>
  <c r="K5" i="4"/>
  <c r="K26" i="2"/>
  <c r="K28" i="2" s="1"/>
  <c r="H17" i="2"/>
  <c r="K17" i="2" s="1"/>
  <c r="K18" i="2" s="1"/>
  <c r="H4" i="2"/>
  <c r="K4" i="2" s="1"/>
  <c r="K5" i="2" s="1"/>
  <c r="K5" i="1"/>
</calcChain>
</file>

<file path=xl/sharedStrings.xml><?xml version="1.0" encoding="utf-8"?>
<sst xmlns="http://schemas.openxmlformats.org/spreadsheetml/2006/main" count="113" uniqueCount="39">
  <si>
    <t>Parameters</t>
  </si>
  <si>
    <t>Prices (Inputs)</t>
  </si>
  <si>
    <t>Quantities</t>
  </si>
  <si>
    <t>Profits (Objective)</t>
  </si>
  <si>
    <t>Gamma</t>
  </si>
  <si>
    <t>Consumer Price</t>
  </si>
  <si>
    <t>Consumer</t>
  </si>
  <si>
    <t>Consumer side profits</t>
  </si>
  <si>
    <t>Advertiser Price</t>
  </si>
  <si>
    <t>Advertiser</t>
  </si>
  <si>
    <t>Advertiser side profits</t>
  </si>
  <si>
    <t>Total profits</t>
  </si>
  <si>
    <t>2(a)</t>
  </si>
  <si>
    <t>2(b)</t>
  </si>
  <si>
    <t>When focusing only on the consumer side, the platform behaves like a single sided business and tries to maximize revenue from users alone. Since advertisers are ignored in this step, the platform has no reason to keep prices low to attract more users. This leads to a high optimal consumer price of about $45.45, which is simply the monopoly price that maximizes profits on the consumer side.</t>
  </si>
  <si>
    <t>At the optimal consumer price of $45.45 found in part 2(a), 
the consumer demand curve gives a quantity of 50 consumers, which appears automatically in the spreadsheet</t>
  </si>
  <si>
    <t>2(c)</t>
  </si>
  <si>
    <t>With the consumer price fixed at $45.45 from part 2(a), Solver finds that the advertiser-side profit is maximized when the advertiser price is set to $25.
 At this price, the platform attracts 25 advertisers, which reflects the point where the advertising side can extract the most revenue from the available user base of 50 consumers.</t>
  </si>
  <si>
    <t>2(d)</t>
  </si>
  <si>
    <t>At the optimal consumer price of $45.45 and advertiser price of $25, 
the platform earns approximately $2272.70 in consumer side profits and $625.00 
in advertiser-side profits. This gives a total profit of about $2897.70 under the independent pricing scheme.</t>
  </si>
  <si>
    <t>3(b) Answer:
At the joint optimal prices of pC = 28.21 and pA = 34.48, the platform attracts approximately 68.97 consumers and 34.48 advertisers.
 Consumer-side profits are about $1945.74, advertiser-side profits are about $1189.06, and total profits equal roughly $3134.80.</t>
  </si>
  <si>
    <t>3(c) Interpretation:
Under joint pricing, the platform recognizes that attracting more consumers increases the value of the platform
 for advertisers. Because of this cross-side effect, the platform lowers the consumer price to grow the user base
 and then charges advertisers a higher price since they benefit from access to more users. 
This coordinated strategy increases total profit compared to setting each price independently.</t>
  </si>
  <si>
    <t>From 2</t>
  </si>
  <si>
    <t xml:space="preserve">From 3 </t>
  </si>
  <si>
    <t>in  Problem (2), the platform prices each side independently, so the consumer price is high and advertiser price is low.
 In Problem (3), the platform accounts for network effects: lowering the consumer price brings in more users, which increases advertiser willingness to pay. This pushes the advertiser price up while pulling the consumer price down. Overall profits rise because joint pricing internalizes the cross-side benefits.</t>
  </si>
  <si>
    <t>Independent pricing</t>
  </si>
  <si>
    <t>Joint pricing</t>
  </si>
  <si>
    <t>Consumer Quantity</t>
  </si>
  <si>
    <t>Max WTP (choke price)</t>
  </si>
  <si>
    <t>Consumer Surplus</t>
  </si>
  <si>
    <t>Under independent pricing, the consumer price is $45.45 and quantity is 50, giving user surplus of about 1136.48.
 Under joint pricing, the consumer price falls to $28.21 and quantity rises to about 68.97, so user surplus increases to about 2161.93.
 The surplus is higher under joint pricing because the platform lowers the consumer price to attract more users,
 which increases the platform’s value to advertisers.
 A real-world example is Instagram/YouTube, where users pay nothing (low consumer price) to maximize the user base, and advertisers fund the platform raising consumer surplus through free or cheap access.</t>
  </si>
  <si>
    <t>Independent Pricing</t>
  </si>
  <si>
    <t>Joint Pricing</t>
  </si>
  <si>
    <t>Advertiser Price (pA)</t>
  </si>
  <si>
    <t>Advertiser Quantity (qA)</t>
  </si>
  <si>
    <t>Consumer Quantity (qC)</t>
  </si>
  <si>
    <t>Advertiser Surplus</t>
  </si>
  <si>
    <t>pA_max = 100 + qC</t>
  </si>
  <si>
    <t>Advertiser surplus is higher under joint pricing because the platform lowers the consumer price, increasing the number of users on the platform. A larger user base raises advertisers’ willingness to pay for access. Even though advertisers face a higher price under joint pricing, the value of reaching more users increases by even more. As a result, advertiser surplus is higher under joint 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</si>
</sst>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theme="1"/>
      <name val="Aptos Narrow"/>
      <family val="2"/>
      <scheme val="minor"/>
    </font>
    <font>
      <b/>
      <sz val="12"/>
      <color theme="1"/>
      <name val="Aptos Narrow"/>
      <scheme val="minor"/>
    </font>
    <font>
      <b/>
      <sz val="12"/>
      <color theme="1"/>
      <name val="Aptos Narrow"/>
      <family val="2"/>
      <scheme val="minor"/>
    </font>
    <font>
      <b/>
      <sz val="12"/>
      <color rgb="FF000000"/>
      <name val="Aptos Narrow"/>
      <scheme val="minor"/>
    </font>
    <font>
      <sz val="12"/>
      <color rgb="FF000000"/>
      <name val="Aptos Narrow"/>
      <family val="2"/>
      <scheme val="minor"/>
    </font>
    <font>
      <sz val="12"/>
      <color theme="1"/>
      <name val="Aptos Narrow"/>
      <scheme val="minor"/>
    </font>
  </fonts>
  <fills count="12">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3" tint="0.499984740745262"/>
        <bgColor indexed="64"/>
      </patternFill>
    </fill>
    <fill>
      <patternFill patternType="solid">
        <fgColor theme="9" tint="0.79998168889431442"/>
        <bgColor indexed="64"/>
      </patternFill>
    </fill>
    <fill>
      <patternFill patternType="solid">
        <fgColor rgb="FFDAF2D0"/>
        <bgColor rgb="FF000000"/>
      </patternFill>
    </fill>
    <fill>
      <patternFill patternType="solid">
        <fgColor rgb="FFFF0000"/>
        <bgColor rgb="FF000000"/>
      </patternFill>
    </fill>
    <fill>
      <patternFill patternType="solid">
        <fgColor rgb="FFFFFF00"/>
        <bgColor rgb="FF000000"/>
      </patternFill>
    </fill>
    <fill>
      <patternFill patternType="solid">
        <fgColor rgb="FF4D93D9"/>
        <bgColor rgb="FF000000"/>
      </patternFill>
    </fill>
    <fill>
      <patternFill patternType="solid">
        <fgColor theme="5" tint="0.39997558519241921"/>
        <bgColor indexed="64"/>
      </patternFill>
    </fill>
    <fill>
      <patternFill patternType="solid">
        <fgColor theme="0" tint="-0.149998474074526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4">
    <xf numFmtId="0" fontId="0" fillId="0" borderId="0" xfId="0"/>
    <xf numFmtId="0" fontId="0" fillId="3" borderId="0" xfId="0" applyFill="1"/>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1" fillId="5" borderId="1" xfId="0" applyFont="1" applyFill="1" applyBorder="1"/>
    <xf numFmtId="2" fontId="0" fillId="0" borderId="1" xfId="0" applyNumberFormat="1" applyBorder="1"/>
    <xf numFmtId="164" fontId="0" fillId="0" borderId="1" xfId="0" applyNumberFormat="1" applyBorder="1"/>
    <xf numFmtId="1" fontId="0" fillId="0" borderId="1" xfId="0" applyNumberFormat="1" applyBorder="1"/>
    <xf numFmtId="0" fontId="0" fillId="0" borderId="0" xfId="0" applyAlignment="1">
      <alignment vertical="top" wrapText="1"/>
    </xf>
    <xf numFmtId="0" fontId="0" fillId="0" borderId="0" xfId="0" applyAlignment="1">
      <alignment vertical="top"/>
    </xf>
    <xf numFmtId="0" fontId="0" fillId="0" borderId="1" xfId="0" applyBorder="1" applyAlignment="1">
      <alignment horizontal="left" vertical="top"/>
    </xf>
    <xf numFmtId="0" fontId="3" fillId="6" borderId="1" xfId="0" applyFont="1" applyFill="1" applyBorder="1"/>
    <xf numFmtId="0" fontId="3" fillId="6" borderId="3" xfId="0" applyFont="1" applyFill="1" applyBorder="1"/>
    <xf numFmtId="0" fontId="4" fillId="0" borderId="0" xfId="0" applyFont="1"/>
    <xf numFmtId="0" fontId="4" fillId="7" borderId="3" xfId="0" applyFont="1" applyFill="1" applyBorder="1"/>
    <xf numFmtId="0" fontId="4" fillId="8" borderId="3" xfId="0" applyFont="1" applyFill="1" applyBorder="1"/>
    <xf numFmtId="0" fontId="4" fillId="9" borderId="3" xfId="0" applyFont="1" applyFill="1" applyBorder="1"/>
    <xf numFmtId="0" fontId="4" fillId="0" borderId="4" xfId="0" applyFont="1" applyBorder="1"/>
    <xf numFmtId="0" fontId="4" fillId="0" borderId="2" xfId="0" applyFont="1" applyBorder="1"/>
    <xf numFmtId="0" fontId="0" fillId="3" borderId="0" xfId="0" applyFill="1" applyAlignment="1">
      <alignment horizontal="left" vertical="top"/>
    </xf>
    <xf numFmtId="0" fontId="0" fillId="3" borderId="1" xfId="0" applyFill="1" applyBorder="1" applyAlignment="1">
      <alignment horizontal="left" vertical="top"/>
    </xf>
    <xf numFmtId="0" fontId="2" fillId="10" borderId="1" xfId="0" applyFont="1" applyFill="1" applyBorder="1" applyAlignment="1">
      <alignment horizontal="left" vertical="top"/>
    </xf>
    <xf numFmtId="2" fontId="0" fillId="0" borderId="1" xfId="0" applyNumberFormat="1" applyBorder="1" applyAlignment="1">
      <alignment horizontal="left" vertical="top"/>
    </xf>
    <xf numFmtId="2" fontId="5" fillId="0" borderId="1" xfId="0" applyNumberFormat="1" applyFont="1" applyBorder="1"/>
    <xf numFmtId="0" fontId="1" fillId="3" borderId="1" xfId="0" applyFont="1" applyFill="1" applyBorder="1" applyAlignment="1">
      <alignment horizontal="left" vertical="top"/>
    </xf>
    <xf numFmtId="0" fontId="0" fillId="11" borderId="1" xfId="0" applyFill="1" applyBorder="1"/>
    <xf numFmtId="2" fontId="0" fillId="11" borderId="1" xfId="0" applyNumberFormat="1" applyFill="1" applyBorder="1"/>
    <xf numFmtId="1" fontId="0" fillId="11" borderId="1" xfId="0" applyNumberFormat="1" applyFill="1" applyBorder="1"/>
    <xf numFmtId="164" fontId="0" fillId="11" borderId="1" xfId="0" applyNumberFormat="1" applyFill="1" applyBorder="1"/>
    <xf numFmtId="0" fontId="1" fillId="2" borderId="1" xfId="0" applyFont="1" applyFill="1" applyBorder="1"/>
    <xf numFmtId="0" fontId="1" fillId="3" borderId="1" xfId="0" applyFont="1" applyFill="1" applyBorder="1"/>
    <xf numFmtId="0" fontId="1" fillId="4" borderId="1" xfId="0" applyFont="1" applyFill="1" applyBorder="1"/>
    <xf numFmtId="0" fontId="3" fillId="7" borderId="1" xfId="0" applyFont="1" applyFill="1" applyBorder="1"/>
    <xf numFmtId="0" fontId="3" fillId="8" borderId="1" xfId="0" applyFont="1" applyFill="1" applyBorder="1"/>
    <xf numFmtId="0" fontId="3" fillId="9" borderId="1" xfId="0" applyFont="1" applyFill="1" applyBorder="1"/>
    <xf numFmtId="0" fontId="1" fillId="0" borderId="1" xfId="0" applyFont="1" applyBorder="1"/>
    <xf numFmtId="0" fontId="0" fillId="0" borderId="5" xfId="0" applyBorder="1" applyAlignment="1">
      <alignment vertical="top" wrapText="1"/>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1" xfId="0" applyBorder="1" applyAlignment="1">
      <alignment vertical="top"/>
    </xf>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0" fillId="0" borderId="5" xfId="0"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1"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0" xfId="0"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35A9E-C820-D64A-B487-33B7F1E2EAED}">
  <dimension ref="A2:K5"/>
  <sheetViews>
    <sheetView workbookViewId="0">
      <selection activeCell="L17" sqref="L17"/>
    </sheetView>
  </sheetViews>
  <sheetFormatPr baseColWidth="10" defaultColWidth="11" defaultRowHeight="16" x14ac:dyDescent="0.2"/>
  <cols>
    <col min="4" max="4" width="14" bestFit="1" customWidth="1"/>
    <col min="7" max="7" width="15" bestFit="1" customWidth="1"/>
    <col min="10" max="10" width="18.83203125" bestFit="1" customWidth="1"/>
  </cols>
  <sheetData>
    <row r="2" spans="1:11" x14ac:dyDescent="0.2">
      <c r="A2" s="6" t="s">
        <v>0</v>
      </c>
      <c r="B2" s="6"/>
      <c r="D2" s="3" t="s">
        <v>1</v>
      </c>
      <c r="E2" s="3"/>
      <c r="G2" s="4" t="s">
        <v>2</v>
      </c>
      <c r="H2" s="4"/>
      <c r="J2" s="5" t="s">
        <v>3</v>
      </c>
      <c r="K2" s="5"/>
    </row>
    <row r="3" spans="1:11" x14ac:dyDescent="0.2">
      <c r="A3" s="27" t="s">
        <v>4</v>
      </c>
      <c r="B3" s="27">
        <v>1</v>
      </c>
      <c r="D3" s="27" t="s">
        <v>5</v>
      </c>
      <c r="E3" s="27">
        <v>1</v>
      </c>
      <c r="G3" s="27" t="s">
        <v>6</v>
      </c>
      <c r="H3" s="27">
        <f>100 - 1.1 * E3</f>
        <v>98.9</v>
      </c>
      <c r="J3" s="27" t="s">
        <v>7</v>
      </c>
      <c r="K3" s="27">
        <f xml:space="preserve"> E3*H3</f>
        <v>98.9</v>
      </c>
    </row>
    <row r="4" spans="1:11" x14ac:dyDescent="0.2">
      <c r="D4" s="27" t="s">
        <v>8</v>
      </c>
      <c r="E4" s="27">
        <v>1</v>
      </c>
      <c r="G4" s="27" t="s">
        <v>9</v>
      </c>
      <c r="H4" s="27">
        <f>B3 * H3- E4</f>
        <v>97.9</v>
      </c>
      <c r="J4" s="27" t="s">
        <v>10</v>
      </c>
      <c r="K4" s="27">
        <f>E4*H4</f>
        <v>97.9</v>
      </c>
    </row>
    <row r="5" spans="1:11" x14ac:dyDescent="0.2">
      <c r="J5" s="27" t="s">
        <v>11</v>
      </c>
      <c r="K5" s="27">
        <f>K3+K4</f>
        <v>196.8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B89E-09E3-174D-8003-514E81E83528}">
  <dimension ref="A1:K42"/>
  <sheetViews>
    <sheetView workbookViewId="0">
      <selection activeCell="J30" sqref="J30"/>
    </sheetView>
  </sheetViews>
  <sheetFormatPr baseColWidth="10" defaultRowHeight="16" x14ac:dyDescent="0.2"/>
  <cols>
    <col min="4" max="4" width="14" bestFit="1" customWidth="1"/>
    <col min="7" max="7" width="9.6640625" bestFit="1" customWidth="1"/>
    <col min="10" max="10" width="18.83203125" bestFit="1" customWidth="1"/>
    <col min="11" max="11" width="12.6640625" bestFit="1" customWidth="1"/>
  </cols>
  <sheetData>
    <row r="1" spans="1:11" x14ac:dyDescent="0.2">
      <c r="A1" s="1" t="s">
        <v>12</v>
      </c>
    </row>
    <row r="2" spans="1:11" x14ac:dyDescent="0.2">
      <c r="A2" s="6" t="s">
        <v>0</v>
      </c>
      <c r="B2" s="6"/>
      <c r="D2" s="31" t="s">
        <v>1</v>
      </c>
      <c r="E2" s="3"/>
      <c r="G2" s="32" t="s">
        <v>2</v>
      </c>
      <c r="H2" s="4"/>
      <c r="J2" s="33" t="s">
        <v>3</v>
      </c>
      <c r="K2" s="5"/>
    </row>
    <row r="3" spans="1:11" x14ac:dyDescent="0.2">
      <c r="A3" s="27" t="s">
        <v>4</v>
      </c>
      <c r="B3" s="27">
        <v>1</v>
      </c>
      <c r="D3" s="27" t="s">
        <v>5</v>
      </c>
      <c r="E3" s="28">
        <v>45.454545122063898</v>
      </c>
      <c r="G3" s="27" t="s">
        <v>6</v>
      </c>
      <c r="H3" s="29">
        <f>100 - 1.1 * E3</f>
        <v>50.000000365729711</v>
      </c>
      <c r="J3" s="27" t="s">
        <v>7</v>
      </c>
      <c r="K3" s="30">
        <f xml:space="preserve"> E3*H3</f>
        <v>2272.7272727272725</v>
      </c>
    </row>
    <row r="4" spans="1:11" x14ac:dyDescent="0.2">
      <c r="D4" s="27" t="s">
        <v>8</v>
      </c>
      <c r="E4" s="27">
        <v>1</v>
      </c>
      <c r="G4" s="27" t="s">
        <v>9</v>
      </c>
      <c r="H4" s="29">
        <f>B3 * H3- E4</f>
        <v>49.000000365729711</v>
      </c>
      <c r="J4" s="27" t="s">
        <v>10</v>
      </c>
      <c r="K4" s="30">
        <f>E4*H4</f>
        <v>49.000000365729711</v>
      </c>
    </row>
    <row r="5" spans="1:11" x14ac:dyDescent="0.2">
      <c r="J5" s="27" t="s">
        <v>11</v>
      </c>
      <c r="K5" s="30">
        <f>K3+K4</f>
        <v>2321.7272730930022</v>
      </c>
    </row>
    <row r="6" spans="1:11" ht="17" thickBot="1" x14ac:dyDescent="0.25"/>
    <row r="7" spans="1:11" ht="16" customHeight="1" x14ac:dyDescent="0.2">
      <c r="A7" s="56" t="s">
        <v>14</v>
      </c>
      <c r="B7" s="57"/>
      <c r="C7" s="57"/>
      <c r="D7" s="57"/>
      <c r="E7" s="57"/>
      <c r="F7" s="57"/>
      <c r="G7" s="58"/>
      <c r="H7" s="11"/>
    </row>
    <row r="8" spans="1:11" x14ac:dyDescent="0.2">
      <c r="A8" s="59"/>
      <c r="B8" s="60"/>
      <c r="C8" s="60"/>
      <c r="D8" s="60"/>
      <c r="E8" s="60"/>
      <c r="F8" s="60"/>
      <c r="G8" s="61"/>
      <c r="H8" s="11"/>
    </row>
    <row r="9" spans="1:11" x14ac:dyDescent="0.2">
      <c r="A9" s="59"/>
      <c r="B9" s="60"/>
      <c r="C9" s="60"/>
      <c r="D9" s="60"/>
      <c r="E9" s="60"/>
      <c r="F9" s="60"/>
      <c r="G9" s="61"/>
      <c r="H9" s="11"/>
    </row>
    <row r="10" spans="1:11" x14ac:dyDescent="0.2">
      <c r="A10" s="59"/>
      <c r="B10" s="60"/>
      <c r="C10" s="60"/>
      <c r="D10" s="60"/>
      <c r="E10" s="60"/>
      <c r="F10" s="60"/>
      <c r="G10" s="61"/>
      <c r="H10" s="11"/>
    </row>
    <row r="11" spans="1:11" x14ac:dyDescent="0.2">
      <c r="A11" s="59"/>
      <c r="B11" s="60"/>
      <c r="C11" s="60"/>
      <c r="D11" s="60"/>
      <c r="E11" s="60"/>
      <c r="F11" s="60"/>
      <c r="G11" s="61"/>
      <c r="H11" s="11"/>
    </row>
    <row r="12" spans="1:11" ht="17" thickBot="1" x14ac:dyDescent="0.25">
      <c r="A12" s="62"/>
      <c r="B12" s="63"/>
      <c r="C12" s="63"/>
      <c r="D12" s="63"/>
      <c r="E12" s="63"/>
      <c r="F12" s="63"/>
      <c r="G12" s="64"/>
      <c r="H12" s="11"/>
    </row>
    <row r="13" spans="1:11" x14ac:dyDescent="0.2">
      <c r="A13" s="10"/>
      <c r="B13" s="10"/>
      <c r="C13" s="10"/>
      <c r="D13" s="10"/>
      <c r="E13" s="10"/>
      <c r="F13" s="10"/>
      <c r="G13" s="10"/>
      <c r="H13" s="11"/>
    </row>
    <row r="14" spans="1:11" x14ac:dyDescent="0.2">
      <c r="A14" s="1" t="s">
        <v>13</v>
      </c>
      <c r="B14" s="10"/>
      <c r="C14" s="10"/>
      <c r="D14" s="10"/>
      <c r="E14" s="10"/>
      <c r="F14" s="10"/>
      <c r="G14" s="10"/>
      <c r="H14" s="11"/>
    </row>
    <row r="15" spans="1:11" x14ac:dyDescent="0.2">
      <c r="A15" s="6" t="s">
        <v>0</v>
      </c>
      <c r="B15" s="6"/>
      <c r="D15" s="31" t="s">
        <v>1</v>
      </c>
      <c r="E15" s="3"/>
      <c r="G15" s="32" t="s">
        <v>2</v>
      </c>
      <c r="H15" s="4"/>
      <c r="J15" s="33" t="s">
        <v>3</v>
      </c>
      <c r="K15" s="5"/>
    </row>
    <row r="16" spans="1:11" x14ac:dyDescent="0.2">
      <c r="A16" s="27" t="s">
        <v>4</v>
      </c>
      <c r="B16" s="27">
        <v>1</v>
      </c>
      <c r="D16" s="27" t="s">
        <v>5</v>
      </c>
      <c r="E16" s="28">
        <v>45.45454512206387</v>
      </c>
      <c r="G16" s="27" t="s">
        <v>6</v>
      </c>
      <c r="H16" s="29">
        <f>100 - 1.1 * E16</f>
        <v>50.00000036572974</v>
      </c>
      <c r="J16" s="27" t="s">
        <v>7</v>
      </c>
      <c r="K16" s="30">
        <f xml:space="preserve"> E16*H16</f>
        <v>2272.7272727272725</v>
      </c>
    </row>
    <row r="17" spans="1:11" x14ac:dyDescent="0.2">
      <c r="D17" s="27" t="s">
        <v>8</v>
      </c>
      <c r="E17" s="27">
        <v>1</v>
      </c>
      <c r="G17" s="27" t="s">
        <v>9</v>
      </c>
      <c r="H17" s="29">
        <f>B16 * H16- E17</f>
        <v>49.00000036572974</v>
      </c>
      <c r="J17" s="27" t="s">
        <v>10</v>
      </c>
      <c r="K17" s="30">
        <f>E17*H17</f>
        <v>49.00000036572974</v>
      </c>
    </row>
    <row r="18" spans="1:11" ht="17" thickBot="1" x14ac:dyDescent="0.25">
      <c r="J18" s="27" t="s">
        <v>11</v>
      </c>
      <c r="K18" s="30">
        <f>K16+K17</f>
        <v>2321.7272730930022</v>
      </c>
    </row>
    <row r="19" spans="1:11" ht="16" customHeight="1" x14ac:dyDescent="0.2">
      <c r="A19" s="56" t="s">
        <v>15</v>
      </c>
      <c r="B19" s="57"/>
      <c r="C19" s="57"/>
      <c r="D19" s="57"/>
      <c r="E19" s="57"/>
      <c r="F19" s="57"/>
      <c r="G19" s="58"/>
      <c r="H19" s="11"/>
    </row>
    <row r="20" spans="1:11" x14ac:dyDescent="0.2">
      <c r="A20" s="59"/>
      <c r="B20" s="60"/>
      <c r="C20" s="60"/>
      <c r="D20" s="60"/>
      <c r="E20" s="60"/>
      <c r="F20" s="60"/>
      <c r="G20" s="61"/>
      <c r="H20" s="11"/>
    </row>
    <row r="21" spans="1:11" x14ac:dyDescent="0.2">
      <c r="A21" s="59"/>
      <c r="B21" s="60"/>
      <c r="C21" s="60"/>
      <c r="D21" s="60"/>
      <c r="E21" s="60"/>
      <c r="F21" s="60"/>
      <c r="G21" s="61"/>
    </row>
    <row r="22" spans="1:11" ht="17" thickBot="1" x14ac:dyDescent="0.25">
      <c r="A22" s="62"/>
      <c r="B22" s="63"/>
      <c r="C22" s="63"/>
      <c r="D22" s="63"/>
      <c r="E22" s="63"/>
      <c r="F22" s="63"/>
      <c r="G22" s="64"/>
    </row>
    <row r="23" spans="1:11" x14ac:dyDescent="0.2">
      <c r="A23" s="11"/>
      <c r="B23" s="11"/>
      <c r="C23" s="11"/>
      <c r="D23" s="11"/>
      <c r="E23" s="11"/>
      <c r="F23" s="11"/>
      <c r="G23" s="11"/>
    </row>
    <row r="24" spans="1:11" x14ac:dyDescent="0.2">
      <c r="A24" s="1" t="s">
        <v>16</v>
      </c>
    </row>
    <row r="25" spans="1:11" x14ac:dyDescent="0.2">
      <c r="A25" s="6" t="s">
        <v>0</v>
      </c>
      <c r="B25" s="6"/>
      <c r="D25" s="31" t="s">
        <v>1</v>
      </c>
      <c r="E25" s="3"/>
      <c r="G25" s="32" t="s">
        <v>2</v>
      </c>
      <c r="H25" s="4"/>
      <c r="J25" s="33" t="s">
        <v>3</v>
      </c>
      <c r="K25" s="5"/>
    </row>
    <row r="26" spans="1:11" x14ac:dyDescent="0.2">
      <c r="A26" s="27" t="s">
        <v>4</v>
      </c>
      <c r="B26" s="27">
        <v>1</v>
      </c>
      <c r="D26" s="27" t="s">
        <v>5</v>
      </c>
      <c r="E26" s="28">
        <v>45.45454512206387</v>
      </c>
      <c r="G26" s="27" t="s">
        <v>6</v>
      </c>
      <c r="H26" s="29">
        <f>100 - 1.1 * E26</f>
        <v>50.00000036572974</v>
      </c>
      <c r="J26" s="27" t="s">
        <v>7</v>
      </c>
      <c r="K26" s="30">
        <f xml:space="preserve"> E26*H26</f>
        <v>2272.7272727272725</v>
      </c>
    </row>
    <row r="27" spans="1:11" x14ac:dyDescent="0.2">
      <c r="D27" s="27" t="s">
        <v>8</v>
      </c>
      <c r="E27" s="27">
        <v>25.000000100826469</v>
      </c>
      <c r="G27" s="27" t="s">
        <v>9</v>
      </c>
      <c r="H27" s="29">
        <f>B26 * H26- E27</f>
        <v>25.000000264903271</v>
      </c>
      <c r="J27" s="27" t="s">
        <v>10</v>
      </c>
      <c r="K27" s="30">
        <f>E27*H27</f>
        <v>625.00000914324357</v>
      </c>
    </row>
    <row r="28" spans="1:11" ht="17" thickBot="1" x14ac:dyDescent="0.25">
      <c r="J28" s="27" t="s">
        <v>11</v>
      </c>
      <c r="K28" s="30">
        <f>K26+K27</f>
        <v>2897.727281870516</v>
      </c>
    </row>
    <row r="29" spans="1:11" x14ac:dyDescent="0.2">
      <c r="A29" s="38" t="s">
        <v>17</v>
      </c>
      <c r="B29" s="39"/>
      <c r="C29" s="39"/>
      <c r="D29" s="39"/>
      <c r="E29" s="39"/>
      <c r="F29" s="39"/>
      <c r="G29" s="40"/>
    </row>
    <row r="30" spans="1:11" x14ac:dyDescent="0.2">
      <c r="A30" s="41"/>
      <c r="B30" s="42"/>
      <c r="C30" s="42"/>
      <c r="D30" s="42"/>
      <c r="E30" s="42"/>
      <c r="F30" s="42"/>
      <c r="G30" s="43"/>
    </row>
    <row r="31" spans="1:11" x14ac:dyDescent="0.2">
      <c r="A31" s="41"/>
      <c r="B31" s="42"/>
      <c r="C31" s="42"/>
      <c r="D31" s="42"/>
      <c r="E31" s="42"/>
      <c r="F31" s="42"/>
      <c r="G31" s="43"/>
    </row>
    <row r="32" spans="1:11" x14ac:dyDescent="0.2">
      <c r="A32" s="41"/>
      <c r="B32" s="42"/>
      <c r="C32" s="42"/>
      <c r="D32" s="42"/>
      <c r="E32" s="42"/>
      <c r="F32" s="42"/>
      <c r="G32" s="43"/>
    </row>
    <row r="33" spans="1:7" x14ac:dyDescent="0.2">
      <c r="A33" s="41"/>
      <c r="B33" s="42"/>
      <c r="C33" s="42"/>
      <c r="D33" s="42"/>
      <c r="E33" s="42"/>
      <c r="F33" s="42"/>
      <c r="G33" s="43"/>
    </row>
    <row r="34" spans="1:7" ht="17" thickBot="1" x14ac:dyDescent="0.25">
      <c r="A34" s="44"/>
      <c r="B34" s="45"/>
      <c r="C34" s="45"/>
      <c r="D34" s="45"/>
      <c r="E34" s="45"/>
      <c r="F34" s="45"/>
      <c r="G34" s="46"/>
    </row>
    <row r="36" spans="1:7" ht="17" thickBot="1" x14ac:dyDescent="0.25">
      <c r="A36" s="1" t="s">
        <v>18</v>
      </c>
    </row>
    <row r="37" spans="1:7" x14ac:dyDescent="0.2">
      <c r="A37" s="47" t="s">
        <v>19</v>
      </c>
      <c r="B37" s="48"/>
      <c r="C37" s="48"/>
      <c r="D37" s="48"/>
      <c r="E37" s="48"/>
      <c r="F37" s="48"/>
      <c r="G37" s="49"/>
    </row>
    <row r="38" spans="1:7" x14ac:dyDescent="0.2">
      <c r="A38" s="50"/>
      <c r="B38" s="51"/>
      <c r="C38" s="51"/>
      <c r="D38" s="51"/>
      <c r="E38" s="51"/>
      <c r="F38" s="51"/>
      <c r="G38" s="52"/>
    </row>
    <row r="39" spans="1:7" x14ac:dyDescent="0.2">
      <c r="A39" s="50"/>
      <c r="B39" s="51"/>
      <c r="C39" s="51"/>
      <c r="D39" s="51"/>
      <c r="E39" s="51"/>
      <c r="F39" s="51"/>
      <c r="G39" s="52"/>
    </row>
    <row r="40" spans="1:7" x14ac:dyDescent="0.2">
      <c r="A40" s="50"/>
      <c r="B40" s="51"/>
      <c r="C40" s="51"/>
      <c r="D40" s="51"/>
      <c r="E40" s="51"/>
      <c r="F40" s="51"/>
      <c r="G40" s="52"/>
    </row>
    <row r="41" spans="1:7" x14ac:dyDescent="0.2">
      <c r="A41" s="50"/>
      <c r="B41" s="51"/>
      <c r="C41" s="51"/>
      <c r="D41" s="51"/>
      <c r="E41" s="51"/>
      <c r="F41" s="51"/>
      <c r="G41" s="52"/>
    </row>
    <row r="42" spans="1:7" ht="17" thickBot="1" x14ac:dyDescent="0.25">
      <c r="A42" s="53"/>
      <c r="B42" s="54"/>
      <c r="C42" s="54"/>
      <c r="D42" s="54"/>
      <c r="E42" s="54"/>
      <c r="F42" s="54"/>
      <c r="G42" s="55"/>
    </row>
  </sheetData>
  <mergeCells count="4">
    <mergeCell ref="A29:G34"/>
    <mergeCell ref="A37:G42"/>
    <mergeCell ref="A7:G12"/>
    <mergeCell ref="A19:G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9FEA-0280-7840-9942-54AF5C221A45}">
  <dimension ref="A1:K20"/>
  <sheetViews>
    <sheetView workbookViewId="0"/>
  </sheetViews>
  <sheetFormatPr baseColWidth="10" defaultRowHeight="16" x14ac:dyDescent="0.2"/>
  <cols>
    <col min="4" max="4" width="14" bestFit="1" customWidth="1"/>
    <col min="10" max="10" width="18.83203125" bestFit="1" customWidth="1"/>
  </cols>
  <sheetData>
    <row r="1" spans="1:11" x14ac:dyDescent="0.2">
      <c r="A1" s="21">
        <v>3</v>
      </c>
    </row>
    <row r="2" spans="1:11" x14ac:dyDescent="0.2">
      <c r="A2" s="13" t="s">
        <v>0</v>
      </c>
      <c r="B2" s="14"/>
      <c r="C2" s="15"/>
      <c r="D2" s="34" t="s">
        <v>1</v>
      </c>
      <c r="E2" s="16"/>
      <c r="F2" s="15"/>
      <c r="G2" s="35" t="s">
        <v>2</v>
      </c>
      <c r="H2" s="17"/>
      <c r="I2" s="15"/>
      <c r="J2" s="36" t="s">
        <v>3</v>
      </c>
      <c r="K2" s="18"/>
    </row>
    <row r="3" spans="1:11" x14ac:dyDescent="0.2">
      <c r="A3" s="19" t="s">
        <v>4</v>
      </c>
      <c r="B3" s="20">
        <v>1</v>
      </c>
      <c r="C3" s="15"/>
      <c r="D3" s="19" t="s">
        <v>5</v>
      </c>
      <c r="E3" s="20">
        <v>28.213168778409663</v>
      </c>
      <c r="F3" s="15"/>
      <c r="G3" s="19" t="s">
        <v>6</v>
      </c>
      <c r="H3" s="20">
        <f>100 - 1.1 * E3</f>
        <v>68.965514343749362</v>
      </c>
      <c r="I3" s="15"/>
      <c r="J3" s="19" t="s">
        <v>7</v>
      </c>
      <c r="K3" s="20">
        <f>E3*H3</f>
        <v>1945.7356960700333</v>
      </c>
    </row>
    <row r="4" spans="1:11" x14ac:dyDescent="0.2">
      <c r="A4" s="15"/>
      <c r="B4" s="15"/>
      <c r="C4" s="15"/>
      <c r="D4" s="19" t="s">
        <v>8</v>
      </c>
      <c r="E4" s="20">
        <v>34.482755819727366</v>
      </c>
      <c r="F4" s="15"/>
      <c r="G4" s="19" t="s">
        <v>9</v>
      </c>
      <c r="H4" s="20">
        <f>B3 * H3- E4</f>
        <v>34.482758524021996</v>
      </c>
      <c r="I4" s="15"/>
      <c r="J4" s="19" t="s">
        <v>10</v>
      </c>
      <c r="K4" s="20">
        <f>E4*H4</f>
        <v>1189.0605421744729</v>
      </c>
    </row>
    <row r="5" spans="1:11" x14ac:dyDescent="0.2">
      <c r="A5" s="15"/>
      <c r="B5" s="15"/>
      <c r="C5" s="15"/>
      <c r="D5" s="15"/>
      <c r="E5" s="15"/>
      <c r="F5" s="15"/>
      <c r="G5" s="15"/>
      <c r="H5" s="15"/>
      <c r="I5" s="15"/>
      <c r="J5" s="19" t="s">
        <v>11</v>
      </c>
      <c r="K5" s="20">
        <f>K3+K4</f>
        <v>3134.7962382445062</v>
      </c>
    </row>
    <row r="6" spans="1:11" ht="17" thickBot="1" x14ac:dyDescent="0.25"/>
    <row r="7" spans="1:11" x14ac:dyDescent="0.2">
      <c r="A7" s="47" t="s">
        <v>20</v>
      </c>
      <c r="B7" s="48"/>
      <c r="C7" s="48"/>
      <c r="D7" s="48"/>
      <c r="E7" s="48"/>
      <c r="F7" s="48"/>
      <c r="G7" s="48"/>
      <c r="H7" s="49"/>
    </row>
    <row r="8" spans="1:11" x14ac:dyDescent="0.2">
      <c r="A8" s="50"/>
      <c r="B8" s="51"/>
      <c r="C8" s="51"/>
      <c r="D8" s="51"/>
      <c r="E8" s="51"/>
      <c r="F8" s="51"/>
      <c r="G8" s="51"/>
      <c r="H8" s="52"/>
    </row>
    <row r="9" spans="1:11" x14ac:dyDescent="0.2">
      <c r="A9" s="50"/>
      <c r="B9" s="51"/>
      <c r="C9" s="51"/>
      <c r="D9" s="51"/>
      <c r="E9" s="51"/>
      <c r="F9" s="51"/>
      <c r="G9" s="51"/>
      <c r="H9" s="52"/>
    </row>
    <row r="10" spans="1:11" x14ac:dyDescent="0.2">
      <c r="A10" s="50"/>
      <c r="B10" s="51"/>
      <c r="C10" s="51"/>
      <c r="D10" s="51"/>
      <c r="E10" s="51"/>
      <c r="F10" s="51"/>
      <c r="G10" s="51"/>
      <c r="H10" s="52"/>
    </row>
    <row r="11" spans="1:11" x14ac:dyDescent="0.2">
      <c r="A11" s="50"/>
      <c r="B11" s="51"/>
      <c r="C11" s="51"/>
      <c r="D11" s="51"/>
      <c r="E11" s="51"/>
      <c r="F11" s="51"/>
      <c r="G11" s="51"/>
      <c r="H11" s="52"/>
    </row>
    <row r="12" spans="1:11" ht="17" thickBot="1" x14ac:dyDescent="0.25">
      <c r="A12" s="53"/>
      <c r="B12" s="54"/>
      <c r="C12" s="54"/>
      <c r="D12" s="54"/>
      <c r="E12" s="54"/>
      <c r="F12" s="54"/>
      <c r="G12" s="54"/>
      <c r="H12" s="55"/>
    </row>
    <row r="13" spans="1:11" ht="17" thickBot="1" x14ac:dyDescent="0.25"/>
    <row r="14" spans="1:11" x14ac:dyDescent="0.2">
      <c r="A14" s="47" t="s">
        <v>21</v>
      </c>
      <c r="B14" s="48"/>
      <c r="C14" s="48"/>
      <c r="D14" s="48"/>
      <c r="E14" s="48"/>
      <c r="F14" s="48"/>
      <c r="G14" s="48"/>
      <c r="H14" s="49"/>
    </row>
    <row r="15" spans="1:11" x14ac:dyDescent="0.2">
      <c r="A15" s="50"/>
      <c r="B15" s="51"/>
      <c r="C15" s="51"/>
      <c r="D15" s="51"/>
      <c r="E15" s="51"/>
      <c r="F15" s="51"/>
      <c r="G15" s="51"/>
      <c r="H15" s="52"/>
    </row>
    <row r="16" spans="1:11" x14ac:dyDescent="0.2">
      <c r="A16" s="50"/>
      <c r="B16" s="51"/>
      <c r="C16" s="51"/>
      <c r="D16" s="51"/>
      <c r="E16" s="51"/>
      <c r="F16" s="51"/>
      <c r="G16" s="51"/>
      <c r="H16" s="52"/>
    </row>
    <row r="17" spans="1:8" x14ac:dyDescent="0.2">
      <c r="A17" s="50"/>
      <c r="B17" s="51"/>
      <c r="C17" s="51"/>
      <c r="D17" s="51"/>
      <c r="E17" s="51"/>
      <c r="F17" s="51"/>
      <c r="G17" s="51"/>
      <c r="H17" s="52"/>
    </row>
    <row r="18" spans="1:8" x14ac:dyDescent="0.2">
      <c r="A18" s="50"/>
      <c r="B18" s="51"/>
      <c r="C18" s="51"/>
      <c r="D18" s="51"/>
      <c r="E18" s="51"/>
      <c r="F18" s="51"/>
      <c r="G18" s="51"/>
      <c r="H18" s="52"/>
    </row>
    <row r="19" spans="1:8" x14ac:dyDescent="0.2">
      <c r="A19" s="50"/>
      <c r="B19" s="51"/>
      <c r="C19" s="51"/>
      <c r="D19" s="51"/>
      <c r="E19" s="51"/>
      <c r="F19" s="51"/>
      <c r="G19" s="51"/>
      <c r="H19" s="52"/>
    </row>
    <row r="20" spans="1:8" ht="17" thickBot="1" x14ac:dyDescent="0.25">
      <c r="A20" s="53"/>
      <c r="B20" s="54"/>
      <c r="C20" s="54"/>
      <c r="D20" s="54"/>
      <c r="E20" s="54"/>
      <c r="F20" s="54"/>
      <c r="G20" s="54"/>
      <c r="H20" s="55"/>
    </row>
  </sheetData>
  <mergeCells count="2">
    <mergeCell ref="A7:H12"/>
    <mergeCell ref="A14:H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3D283-1DE1-0B4C-A5C0-70D644C9196A}">
  <dimension ref="A1:K24"/>
  <sheetViews>
    <sheetView workbookViewId="0"/>
  </sheetViews>
  <sheetFormatPr baseColWidth="10" defaultRowHeight="16" x14ac:dyDescent="0.2"/>
  <cols>
    <col min="4" max="4" width="14" bestFit="1" customWidth="1"/>
    <col min="10" max="10" width="18.83203125" bestFit="1" customWidth="1"/>
  </cols>
  <sheetData>
    <row r="1" spans="1:11" x14ac:dyDescent="0.2">
      <c r="A1" s="26">
        <v>4</v>
      </c>
    </row>
    <row r="2" spans="1:11" x14ac:dyDescent="0.2">
      <c r="A2" s="22" t="s">
        <v>22</v>
      </c>
    </row>
    <row r="3" spans="1:11" x14ac:dyDescent="0.2">
      <c r="A3" s="6" t="s">
        <v>0</v>
      </c>
      <c r="B3" s="6"/>
      <c r="D3" s="31" t="s">
        <v>1</v>
      </c>
      <c r="E3" s="3"/>
      <c r="G3" s="32" t="s">
        <v>2</v>
      </c>
      <c r="H3" s="4"/>
      <c r="J3" s="33" t="s">
        <v>3</v>
      </c>
      <c r="K3" s="5"/>
    </row>
    <row r="4" spans="1:11" x14ac:dyDescent="0.2">
      <c r="A4" s="2" t="s">
        <v>4</v>
      </c>
      <c r="B4" s="2">
        <v>1</v>
      </c>
      <c r="D4" s="2" t="s">
        <v>5</v>
      </c>
      <c r="E4" s="7">
        <v>45.454545122063898</v>
      </c>
      <c r="G4" s="2" t="s">
        <v>6</v>
      </c>
      <c r="H4" s="9">
        <f>100 - 1.1 * E4</f>
        <v>50.000000365729711</v>
      </c>
      <c r="J4" s="37" t="s">
        <v>7</v>
      </c>
      <c r="K4" s="8">
        <f xml:space="preserve"> E4*H4</f>
        <v>2272.7272727272725</v>
      </c>
    </row>
    <row r="5" spans="1:11" x14ac:dyDescent="0.2">
      <c r="D5" s="2" t="s">
        <v>8</v>
      </c>
      <c r="E5" s="2">
        <v>1</v>
      </c>
      <c r="G5" s="2" t="s">
        <v>9</v>
      </c>
      <c r="H5" s="9">
        <f>B4 * H4- E5</f>
        <v>49.000000365729711</v>
      </c>
      <c r="J5" s="2" t="s">
        <v>10</v>
      </c>
      <c r="K5" s="8">
        <f>E5*H5</f>
        <v>49.000000365729711</v>
      </c>
    </row>
    <row r="6" spans="1:11" x14ac:dyDescent="0.2">
      <c r="J6" s="2" t="s">
        <v>11</v>
      </c>
      <c r="K6" s="8">
        <f>K4+K5</f>
        <v>2321.7272730930022</v>
      </c>
    </row>
    <row r="8" spans="1:11" x14ac:dyDescent="0.2">
      <c r="A8" s="4" t="s">
        <v>23</v>
      </c>
    </row>
    <row r="9" spans="1:11" x14ac:dyDescent="0.2">
      <c r="A9" s="13" t="s">
        <v>0</v>
      </c>
      <c r="B9" s="14"/>
      <c r="C9" s="15"/>
      <c r="D9" s="34" t="s">
        <v>1</v>
      </c>
      <c r="E9" s="16"/>
      <c r="F9" s="15"/>
      <c r="G9" s="35" t="s">
        <v>2</v>
      </c>
      <c r="H9" s="17"/>
      <c r="I9" s="15"/>
      <c r="J9" s="36" t="s">
        <v>3</v>
      </c>
      <c r="K9" s="18"/>
    </row>
    <row r="10" spans="1:11" x14ac:dyDescent="0.2">
      <c r="A10" s="19" t="s">
        <v>4</v>
      </c>
      <c r="B10" s="20">
        <v>1</v>
      </c>
      <c r="C10" s="15"/>
      <c r="D10" s="19" t="s">
        <v>5</v>
      </c>
      <c r="E10" s="20">
        <v>28.213168778409663</v>
      </c>
      <c r="F10" s="15"/>
      <c r="G10" s="19" t="s">
        <v>6</v>
      </c>
      <c r="H10" s="20">
        <f>100 - 1.1 * E10</f>
        <v>68.965514343749362</v>
      </c>
      <c r="I10" s="15"/>
      <c r="J10" s="19" t="s">
        <v>7</v>
      </c>
      <c r="K10" s="20">
        <f>E10*H10</f>
        <v>1945.7356960700333</v>
      </c>
    </row>
    <row r="11" spans="1:11" x14ac:dyDescent="0.2">
      <c r="A11" s="15"/>
      <c r="B11" s="15"/>
      <c r="C11" s="15"/>
      <c r="D11" s="19" t="s">
        <v>8</v>
      </c>
      <c r="E11" s="20">
        <v>34.482755819727366</v>
      </c>
      <c r="F11" s="15"/>
      <c r="G11" s="19" t="s">
        <v>9</v>
      </c>
      <c r="H11" s="20">
        <f>B10 * H10- E11</f>
        <v>34.482758524021996</v>
      </c>
      <c r="I11" s="15"/>
      <c r="J11" s="19" t="s">
        <v>10</v>
      </c>
      <c r="K11" s="20">
        <f>E11*H11</f>
        <v>1189.0605421744729</v>
      </c>
    </row>
    <row r="12" spans="1:11" x14ac:dyDescent="0.2">
      <c r="A12" s="15"/>
      <c r="B12" s="15"/>
      <c r="C12" s="15"/>
      <c r="D12" s="15"/>
      <c r="E12" s="15"/>
      <c r="F12" s="15"/>
      <c r="G12" s="15"/>
      <c r="H12" s="15"/>
      <c r="I12" s="15"/>
      <c r="J12" s="19" t="s">
        <v>11</v>
      </c>
      <c r="K12" s="20">
        <f>K10+K11</f>
        <v>3134.7962382445062</v>
      </c>
    </row>
    <row r="14" spans="1:11" ht="17" thickBot="1" x14ac:dyDescent="0.25"/>
    <row r="15" spans="1:11" ht="16" customHeight="1" x14ac:dyDescent="0.2">
      <c r="A15" s="65" t="s">
        <v>24</v>
      </c>
      <c r="B15" s="66"/>
      <c r="C15" s="66"/>
      <c r="D15" s="66"/>
      <c r="E15" s="66"/>
      <c r="F15" s="66"/>
      <c r="G15" s="66"/>
      <c r="H15" s="66"/>
      <c r="I15" s="67"/>
      <c r="J15" s="11"/>
    </row>
    <row r="16" spans="1:11" x14ac:dyDescent="0.2">
      <c r="A16" s="68"/>
      <c r="B16" s="69"/>
      <c r="C16" s="69"/>
      <c r="D16" s="69"/>
      <c r="E16" s="69"/>
      <c r="F16" s="69"/>
      <c r="G16" s="69"/>
      <c r="H16" s="69"/>
      <c r="I16" s="70"/>
      <c r="J16" s="11"/>
    </row>
    <row r="17" spans="1:10" x14ac:dyDescent="0.2">
      <c r="A17" s="68"/>
      <c r="B17" s="69"/>
      <c r="C17" s="69"/>
      <c r="D17" s="69"/>
      <c r="E17" s="69"/>
      <c r="F17" s="69"/>
      <c r="G17" s="69"/>
      <c r="H17" s="69"/>
      <c r="I17" s="70"/>
      <c r="J17" s="11"/>
    </row>
    <row r="18" spans="1:10" x14ac:dyDescent="0.2">
      <c r="A18" s="68"/>
      <c r="B18" s="69"/>
      <c r="C18" s="69"/>
      <c r="D18" s="69"/>
      <c r="E18" s="69"/>
      <c r="F18" s="69"/>
      <c r="G18" s="69"/>
      <c r="H18" s="69"/>
      <c r="I18" s="70"/>
      <c r="J18" s="11"/>
    </row>
    <row r="19" spans="1:10" ht="17" thickBot="1" x14ac:dyDescent="0.25">
      <c r="A19" s="71"/>
      <c r="B19" s="72"/>
      <c r="C19" s="72"/>
      <c r="D19" s="72"/>
      <c r="E19" s="72"/>
      <c r="F19" s="72"/>
      <c r="G19" s="72"/>
      <c r="H19" s="72"/>
      <c r="I19" s="73"/>
      <c r="J19" s="11"/>
    </row>
    <row r="20" spans="1:10" x14ac:dyDescent="0.2">
      <c r="A20" s="11"/>
      <c r="B20" s="11"/>
      <c r="C20" s="11"/>
      <c r="D20" s="11"/>
      <c r="E20" s="11"/>
      <c r="F20" s="11"/>
      <c r="G20" s="11"/>
      <c r="H20" s="11"/>
      <c r="I20" s="11"/>
      <c r="J20" s="11"/>
    </row>
    <row r="21" spans="1:10" x14ac:dyDescent="0.2">
      <c r="A21" s="11"/>
      <c r="B21" s="11"/>
      <c r="C21" s="11"/>
      <c r="D21" s="11"/>
      <c r="E21" s="11"/>
      <c r="F21" s="11"/>
      <c r="G21" s="11"/>
      <c r="H21" s="11"/>
      <c r="I21" s="11"/>
      <c r="J21" s="11"/>
    </row>
    <row r="22" spans="1:10" x14ac:dyDescent="0.2">
      <c r="A22" s="11"/>
      <c r="B22" s="11"/>
      <c r="C22" s="11"/>
      <c r="D22" s="11"/>
      <c r="E22" s="11"/>
      <c r="F22" s="11"/>
      <c r="G22" s="11"/>
      <c r="H22" s="11"/>
      <c r="I22" s="11"/>
      <c r="J22" s="11"/>
    </row>
    <row r="23" spans="1:10" x14ac:dyDescent="0.2">
      <c r="A23" s="11"/>
      <c r="B23" s="11"/>
      <c r="C23" s="11"/>
      <c r="D23" s="11"/>
      <c r="E23" s="11"/>
      <c r="F23" s="11"/>
      <c r="G23" s="11"/>
      <c r="H23" s="11"/>
      <c r="I23" s="11"/>
      <c r="J23" s="11"/>
    </row>
    <row r="24" spans="1:10" x14ac:dyDescent="0.2">
      <c r="A24" s="11"/>
      <c r="B24" s="11"/>
      <c r="C24" s="11"/>
      <c r="D24" s="11"/>
      <c r="E24" s="11"/>
      <c r="F24" s="11"/>
      <c r="G24" s="11"/>
      <c r="H24" s="11"/>
      <c r="I24" s="11"/>
      <c r="J24" s="11"/>
    </row>
  </sheetData>
  <mergeCells count="1">
    <mergeCell ref="A15:I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C074-C908-9146-85B2-C6EF59B168F7}">
  <dimension ref="A1:I14"/>
  <sheetViews>
    <sheetView workbookViewId="0">
      <selection activeCell="C5" sqref="C5"/>
    </sheetView>
  </sheetViews>
  <sheetFormatPr baseColWidth="10" defaultRowHeight="16" x14ac:dyDescent="0.2"/>
  <cols>
    <col min="1" max="1" width="19.5" bestFit="1" customWidth="1"/>
    <col min="2" max="2" width="17.5" bestFit="1" customWidth="1"/>
    <col min="3" max="3" width="11.1640625" bestFit="1" customWidth="1"/>
  </cols>
  <sheetData>
    <row r="1" spans="1:9" x14ac:dyDescent="0.2">
      <c r="A1" s="21">
        <v>5</v>
      </c>
    </row>
    <row r="2" spans="1:9" x14ac:dyDescent="0.2">
      <c r="A2" s="23"/>
      <c r="B2" s="23" t="s">
        <v>25</v>
      </c>
      <c r="C2" s="23" t="s">
        <v>26</v>
      </c>
    </row>
    <row r="3" spans="1:9" x14ac:dyDescent="0.2">
      <c r="A3" s="12" t="s">
        <v>5</v>
      </c>
      <c r="B3" s="24">
        <v>45.45</v>
      </c>
      <c r="C3" s="24">
        <v>28.213168799999998</v>
      </c>
    </row>
    <row r="4" spans="1:9" x14ac:dyDescent="0.2">
      <c r="A4" s="12" t="s">
        <v>27</v>
      </c>
      <c r="B4" s="24">
        <v>50</v>
      </c>
      <c r="C4" s="24">
        <v>68.965514299999995</v>
      </c>
    </row>
    <row r="5" spans="1:9" x14ac:dyDescent="0.2">
      <c r="A5" s="12" t="s">
        <v>28</v>
      </c>
      <c r="B5" s="24">
        <f>100/1.1</f>
        <v>90.909090909090907</v>
      </c>
      <c r="C5" s="24">
        <f>100/1.1</f>
        <v>90.909090909090907</v>
      </c>
    </row>
    <row r="6" spans="1:9" x14ac:dyDescent="0.2">
      <c r="A6" s="12" t="s">
        <v>29</v>
      </c>
      <c r="B6" s="24">
        <f>0.5*(B5-B3)*B4</f>
        <v>1136.4772727272725</v>
      </c>
      <c r="C6" s="24">
        <f>0.5*(C5-C3)*C4</f>
        <v>2161.9282563830975</v>
      </c>
    </row>
    <row r="7" spans="1:9" ht="17" thickBot="1" x14ac:dyDescent="0.25"/>
    <row r="8" spans="1:9" ht="16" customHeight="1" x14ac:dyDescent="0.2">
      <c r="A8" s="65" t="s">
        <v>30</v>
      </c>
      <c r="B8" s="66"/>
      <c r="C8" s="66"/>
      <c r="D8" s="66"/>
      <c r="E8" s="66"/>
      <c r="F8" s="66"/>
      <c r="G8" s="66"/>
      <c r="H8" s="66"/>
      <c r="I8" s="67"/>
    </row>
    <row r="9" spans="1:9" x14ac:dyDescent="0.2">
      <c r="A9" s="68"/>
      <c r="B9" s="69"/>
      <c r="C9" s="69"/>
      <c r="D9" s="69"/>
      <c r="E9" s="69"/>
      <c r="F9" s="69"/>
      <c r="G9" s="69"/>
      <c r="H9" s="69"/>
      <c r="I9" s="70"/>
    </row>
    <row r="10" spans="1:9" x14ac:dyDescent="0.2">
      <c r="A10" s="68"/>
      <c r="B10" s="69"/>
      <c r="C10" s="69"/>
      <c r="D10" s="69"/>
      <c r="E10" s="69"/>
      <c r="F10" s="69"/>
      <c r="G10" s="69"/>
      <c r="H10" s="69"/>
      <c r="I10" s="70"/>
    </row>
    <row r="11" spans="1:9" x14ac:dyDescent="0.2">
      <c r="A11" s="68"/>
      <c r="B11" s="69"/>
      <c r="C11" s="69"/>
      <c r="D11" s="69"/>
      <c r="E11" s="69"/>
      <c r="F11" s="69"/>
      <c r="G11" s="69"/>
      <c r="H11" s="69"/>
      <c r="I11" s="70"/>
    </row>
    <row r="12" spans="1:9" x14ac:dyDescent="0.2">
      <c r="A12" s="68"/>
      <c r="B12" s="69"/>
      <c r="C12" s="69"/>
      <c r="D12" s="69"/>
      <c r="E12" s="69"/>
      <c r="F12" s="69"/>
      <c r="G12" s="69"/>
      <c r="H12" s="69"/>
      <c r="I12" s="70"/>
    </row>
    <row r="13" spans="1:9" x14ac:dyDescent="0.2">
      <c r="A13" s="68"/>
      <c r="B13" s="69"/>
      <c r="C13" s="69"/>
      <c r="D13" s="69"/>
      <c r="E13" s="69"/>
      <c r="F13" s="69"/>
      <c r="G13" s="69"/>
      <c r="H13" s="69"/>
      <c r="I13" s="70"/>
    </row>
    <row r="14" spans="1:9" ht="17" thickBot="1" x14ac:dyDescent="0.25">
      <c r="A14" s="71"/>
      <c r="B14" s="72"/>
      <c r="C14" s="72"/>
      <c r="D14" s="72"/>
      <c r="E14" s="72"/>
      <c r="F14" s="72"/>
      <c r="G14" s="72"/>
      <c r="H14" s="72"/>
      <c r="I14" s="73"/>
    </row>
  </sheetData>
  <mergeCells count="1">
    <mergeCell ref="A8:I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B1C6-B863-204B-9C06-6C7D68620BDE}">
  <dimension ref="A1:G16"/>
  <sheetViews>
    <sheetView tabSelected="1" workbookViewId="0">
      <selection activeCell="B6" sqref="B6"/>
    </sheetView>
  </sheetViews>
  <sheetFormatPr baseColWidth="10" defaultRowHeight="16" x14ac:dyDescent="0.2"/>
  <cols>
    <col min="1" max="1" width="27.1640625" bestFit="1" customWidth="1"/>
    <col min="2" max="2" width="17.6640625" bestFit="1" customWidth="1"/>
    <col min="3" max="3" width="11.1640625" bestFit="1" customWidth="1"/>
  </cols>
  <sheetData>
    <row r="1" spans="1:7" x14ac:dyDescent="0.2">
      <c r="A1" s="21">
        <v>6</v>
      </c>
    </row>
    <row r="2" spans="1:7" x14ac:dyDescent="0.2">
      <c r="A2" s="23" t="s">
        <v>36</v>
      </c>
      <c r="B2" s="23" t="s">
        <v>31</v>
      </c>
      <c r="C2" s="23" t="s">
        <v>32</v>
      </c>
    </row>
    <row r="3" spans="1:7" x14ac:dyDescent="0.2">
      <c r="A3" s="23" t="s">
        <v>33</v>
      </c>
      <c r="B3" s="25">
        <v>25</v>
      </c>
      <c r="C3" s="25">
        <v>34.479999999999997</v>
      </c>
    </row>
    <row r="4" spans="1:7" x14ac:dyDescent="0.2">
      <c r="A4" s="23" t="s">
        <v>34</v>
      </c>
      <c r="B4" s="25">
        <v>25</v>
      </c>
      <c r="C4" s="25">
        <v>34.479999999999997</v>
      </c>
    </row>
    <row r="5" spans="1:7" x14ac:dyDescent="0.2">
      <c r="A5" s="23" t="s">
        <v>35</v>
      </c>
      <c r="B5" s="25">
        <v>50</v>
      </c>
      <c r="C5" s="25">
        <v>68.97</v>
      </c>
    </row>
    <row r="6" spans="1:7" x14ac:dyDescent="0.2">
      <c r="A6" s="23" t="s">
        <v>37</v>
      </c>
      <c r="B6" s="25">
        <f>100+B5</f>
        <v>150</v>
      </c>
      <c r="C6" s="25">
        <f>100+C5</f>
        <v>168.97</v>
      </c>
    </row>
    <row r="7" spans="1:7" x14ac:dyDescent="0.2">
      <c r="A7" s="23" t="s">
        <v>36</v>
      </c>
      <c r="B7" s="25">
        <f>0.5*(B6-B3)*B4</f>
        <v>1562.5</v>
      </c>
      <c r="C7" s="25">
        <f>0.5*(C6-C3)*C4</f>
        <v>2318.6075999999998</v>
      </c>
    </row>
    <row r="8" spans="1:7" ht="17" thickBot="1" x14ac:dyDescent="0.25"/>
    <row r="9" spans="1:7" x14ac:dyDescent="0.2">
      <c r="A9" s="47" t="s">
        <v>38</v>
      </c>
      <c r="B9" s="48"/>
      <c r="C9" s="48"/>
      <c r="D9" s="48"/>
      <c r="E9" s="48"/>
      <c r="F9" s="48"/>
      <c r="G9" s="49"/>
    </row>
    <row r="10" spans="1:7" x14ac:dyDescent="0.2">
      <c r="A10" s="50"/>
      <c r="B10" s="51"/>
      <c r="C10" s="51"/>
      <c r="D10" s="51"/>
      <c r="E10" s="51"/>
      <c r="F10" s="51"/>
      <c r="G10" s="52"/>
    </row>
    <row r="11" spans="1:7" x14ac:dyDescent="0.2">
      <c r="A11" s="50"/>
      <c r="B11" s="51"/>
      <c r="C11" s="51"/>
      <c r="D11" s="51"/>
      <c r="E11" s="51"/>
      <c r="F11" s="51"/>
      <c r="G11" s="52"/>
    </row>
    <row r="12" spans="1:7" x14ac:dyDescent="0.2">
      <c r="A12" s="50"/>
      <c r="B12" s="51"/>
      <c r="C12" s="51"/>
      <c r="D12" s="51"/>
      <c r="E12" s="51"/>
      <c r="F12" s="51"/>
      <c r="G12" s="52"/>
    </row>
    <row r="13" spans="1:7" x14ac:dyDescent="0.2">
      <c r="A13" s="50"/>
      <c r="B13" s="51"/>
      <c r="C13" s="51"/>
      <c r="D13" s="51"/>
      <c r="E13" s="51"/>
      <c r="F13" s="51"/>
      <c r="G13" s="52"/>
    </row>
    <row r="14" spans="1:7" x14ac:dyDescent="0.2">
      <c r="A14" s="50"/>
      <c r="B14" s="51"/>
      <c r="C14" s="51"/>
      <c r="D14" s="51"/>
      <c r="E14" s="51"/>
      <c r="F14" s="51"/>
      <c r="G14" s="52"/>
    </row>
    <row r="15" spans="1:7" x14ac:dyDescent="0.2">
      <c r="A15" s="50"/>
      <c r="B15" s="51"/>
      <c r="C15" s="51"/>
      <c r="D15" s="51"/>
      <c r="E15" s="51"/>
      <c r="F15" s="51"/>
      <c r="G15" s="52"/>
    </row>
    <row r="16" spans="1:7" ht="17" thickBot="1" x14ac:dyDescent="0.25">
      <c r="A16" s="53"/>
      <c r="B16" s="54"/>
      <c r="C16" s="54"/>
      <c r="D16" s="54"/>
      <c r="E16" s="54"/>
      <c r="F16" s="54"/>
      <c r="G16" s="55"/>
    </row>
  </sheetData>
  <mergeCells count="1">
    <mergeCell ref="A9:G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vt:lpstr>
      <vt:lpstr>Question 2</vt:lpstr>
      <vt:lpstr>Question 3</vt:lpstr>
      <vt:lpstr>Question 4</vt:lpstr>
      <vt:lpstr>Question 5</vt:lpstr>
      <vt:lpstr>Question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Moehring</dc:creator>
  <cp:keywords/>
  <dc:description/>
  <cp:lastModifiedBy>Ramana prabhu Sana</cp:lastModifiedBy>
  <cp:revision/>
  <dcterms:created xsi:type="dcterms:W3CDTF">2025-10-11T14:29:22Z</dcterms:created>
  <dcterms:modified xsi:type="dcterms:W3CDTF">2025-11-22T04:16:34Z</dcterms:modified>
  <cp:category/>
  <cp:contentStatus/>
</cp:coreProperties>
</file>